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_rels/sheet5.xml.rels" ContentType="application/vnd.openxmlformats-package.relationships+xml"/>
  <Override PartName="/xl/worksheets/_rels/sheet14.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comments5.xml" ContentType="application/vnd.openxmlformats-officedocument.spreadsheetml.comments+xml"/>
  <Override PartName="/xl/comments14.xml" ContentType="application/vnd.openxmlformats-officedocument.spreadsheetml.comments+xml"/>
  <Override PartName="/xl/comments18.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DISCLAIMER" sheetId="1" state="visible" r:id="rId3"/>
    <sheet name="Guideline" sheetId="2" state="visible" r:id="rId4"/>
    <sheet name="1. Project Summary" sheetId="3" state="visible" r:id="rId5"/>
    <sheet name="2. NPV" sheetId="4" state="visible" r:id="rId6"/>
    <sheet name="3. Assumptions" sheetId="5" state="visible" r:id="rId7"/>
    <sheet name="4.1 Revenue Build - VCU" sheetId="6" state="visible" r:id="rId8"/>
    <sheet name="4.2 Revenue Build - Other" sheetId="7" state="visible" r:id="rId9"/>
    <sheet name="5.1 Project Dev't &amp; Monitoring" sheetId="8" state="visible" r:id="rId10"/>
    <sheet name="5.2 Cost Build - ARR" sheetId="9" state="visible" r:id="rId11"/>
    <sheet name="5.3 Cost Build - Productive" sheetId="10" state="visible" r:id="rId12"/>
    <sheet name="6.P&amp;L" sheetId="11" state="visible" r:id="rId13"/>
    <sheet name="7.CFS" sheetId="12" state="visible" r:id="rId14"/>
    <sheet name="8.BS" sheetId="13" state="visible" r:id="rId15"/>
    <sheet name="9.BS Items" sheetId="14" state="visible" r:id="rId16"/>
    <sheet name="10.Depn" sheetId="15" state="visible" r:id="rId17"/>
    <sheet name="11.WACC" sheetId="16" state="visible" r:id="rId18"/>
    <sheet name="12. VCU Volume" sheetId="17" state="visible" r:id="rId19"/>
    <sheet name="Macro" sheetId="18" state="visible" r:id="rId20"/>
    <sheet name="Key Terminologies" sheetId="19" state="visible" r:id="rId21"/>
  </sheets>
  <definedNames>
    <definedName function="false" hidden="false" localSheetId="3" name="_xlnm.Print_Area" vbProcedure="false">'2. NPV'!$A$1:$AK$64</definedName>
    <definedName function="false" hidden="false" localSheetId="10" name="_xlnm.Print_Area" vbProcedure="false">'6.P&amp;L'!$A$1:$AK$57</definedName>
    <definedName function="false" hidden="false" name="Discount_Rate" vbProcedure="false">'2. NPV'!$E$45</definedName>
    <definedName function="false" hidden="false" name="NPV_Date" vbProcedure="false">'2. NPV'!$E$44</definedName>
    <definedName function="false" hidden="false" name="Number_of_Families" vbProcedure="false">'1. project summary'!#ref!</definedName>
    <definedName function="false" hidden="false" name="Period_Start" vbProcedure="false">'4.1 Revenue Build - VCU'!$H$7</definedName>
    <definedName function="false" hidden="false" name="Project_Name" vbProcedure="false">'1. Project Summary'!$F$7</definedName>
    <definedName function="false" hidden="false" name="Project_Start_Date" vbProcedure="false">'1. Project Summary'!$F$10</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E126" authorId="0">
      <text>
        <r>
          <rPr>
            <sz val="10"/>
            <rFont val="Arial"/>
            <family val="2"/>
          </rPr>
          <t xml:space="preserve">SS's note:
</t>
        </r>
        <r>
          <rPr>
            <sz val="9"/>
            <color rgb="FF000000"/>
            <rFont val="Tahoma"/>
            <family val="2"/>
            <charset val="1"/>
          </rPr>
          <t xml:space="preserve">Hardcoded number due to a lack of information
</t>
        </r>
      </text>
    </comment>
    <comment ref="F22" authorId="0">
      <text>
        <r>
          <rPr>
            <sz val="10"/>
            <rFont val="Arial"/>
            <family val="2"/>
          </rPr>
          <t xml:space="preserve">EP:
</t>
        </r>
        <r>
          <rPr>
            <sz val="9"/>
            <color rgb="FF000000"/>
            <rFont val="Tahoma"/>
            <family val="2"/>
            <charset val="1"/>
          </rPr>
          <t xml:space="preserve">Year count starts from 2023</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18" authorId="0">
      <text>
        <r>
          <rPr>
            <sz val="10"/>
            <rFont val="Arial"/>
            <family val="2"/>
          </rPr>
          <t xml:space="preserve">EP:
</t>
        </r>
        <r>
          <rPr>
            <sz val="9"/>
            <color rgb="FF000000"/>
            <rFont val="Tahoma"/>
            <family val="2"/>
            <charset val="1"/>
          </rPr>
          <t xml:space="preserve">Proponent calculated it from the processing fee revenue</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I3" authorId="0">
      <text>
        <r>
          <rPr>
            <sz val="10"/>
            <rFont val="Arial"/>
            <family val="2"/>
          </rPr>
          <t xml:space="preserve">EP:
</t>
        </r>
        <r>
          <rPr>
            <sz val="9"/>
            <color rgb="FF000000"/>
            <rFont val="Tahoma"/>
            <family val="2"/>
            <charset val="1"/>
          </rPr>
          <t xml:space="preserve">XOF = West African CFA franc</t>
        </r>
      </text>
    </comment>
  </commentList>
</comments>
</file>

<file path=xl/sharedStrings.xml><?xml version="1.0" encoding="utf-8"?>
<sst xmlns="http://schemas.openxmlformats.org/spreadsheetml/2006/main" count="1794" uniqueCount="876">
  <si>
    <t xml:space="preserve">DISCLAIMER</t>
  </si>
  <si>
    <t xml:space="preserve">The content of this model is intended for discussion and illustrative purposes only. </t>
  </si>
  <si>
    <t xml:space="preserve">This model does not represent advice or a recommendation to enter into any investment and/or to make a financial decision. </t>
  </si>
  <si>
    <t xml:space="preserve">The viewers should consider obtaining independent professional advice before making any financial decisions. </t>
  </si>
  <si>
    <t xml:space="preserve">General</t>
  </si>
  <si>
    <t xml:space="preserve">Introduction:</t>
  </si>
  <si>
    <t xml:space="preserve">This model provides an indicative 31-year financial forecast for Serious Shea's ARR project in Senegal (henceforth referred to as the "Project").</t>
  </si>
  <si>
    <t xml:space="preserve">The model includes the main costs for a VCS and CCB project. </t>
  </si>
  <si>
    <t xml:space="preserve">The net cash flows of the Project correspond to the net cash available to the project, after accounting for the main expenses including project development costs, ARR implementation costs, processing center costs, etc. </t>
  </si>
  <si>
    <t xml:space="preserve">The model does not account for taxes, and therefore, ignores the impact of tax losses carryforward, deferred tax assets, and deferred tax liabilities. </t>
  </si>
  <si>
    <t xml:space="preserve">The model ignores the impact of forex gains and losses. </t>
  </si>
  <si>
    <t xml:space="preserve">All financial figures are in EUR (unless stated otherwise).</t>
  </si>
  <si>
    <t xml:space="preserve">Formatting guideline:</t>
  </si>
  <si>
    <t xml:space="preserve">In black: formula-based cells. </t>
  </si>
  <si>
    <r>
      <rPr>
        <sz val="11"/>
        <color theme="1"/>
        <rFont val="Calibri"/>
        <family val="2"/>
        <charset val="1"/>
      </rPr>
      <t xml:space="preserve">In </t>
    </r>
    <r>
      <rPr>
        <sz val="11"/>
        <color rgb="FF0000FF"/>
        <rFont val="Calibri"/>
        <family val="2"/>
        <charset val="1"/>
      </rPr>
      <t xml:space="preserve">blue</t>
    </r>
    <r>
      <rPr>
        <sz val="11"/>
        <color theme="1"/>
        <rFont val="Calibri"/>
        <family val="2"/>
        <charset val="1"/>
      </rPr>
      <t xml:space="preserve">: hard-coded inputs. </t>
    </r>
  </si>
  <si>
    <r>
      <rPr>
        <sz val="11"/>
        <color theme="1"/>
        <rFont val="Calibri"/>
        <family val="2"/>
        <charset val="1"/>
      </rPr>
      <t xml:space="preserve">In </t>
    </r>
    <r>
      <rPr>
        <sz val="11"/>
        <color rgb="FF7030A0"/>
        <rFont val="Calibri"/>
        <family val="2"/>
        <charset val="1"/>
      </rPr>
      <t xml:space="preserve">purple</t>
    </r>
    <r>
      <rPr>
        <sz val="11"/>
        <color theme="1"/>
        <rFont val="Calibri"/>
        <family val="2"/>
        <charset val="1"/>
      </rPr>
      <t xml:space="preserve">: key parameters but linked to other tabs.</t>
    </r>
  </si>
  <si>
    <t xml:space="preserve">Pink-colored cell: Variables for users to adjust </t>
  </si>
  <si>
    <t xml:space="preserve">Content:</t>
  </si>
  <si>
    <t xml:space="preserve">1. Project Summary</t>
  </si>
  <si>
    <t xml:space="preserve">2. Net Present Value (NPV)</t>
  </si>
  <si>
    <t xml:space="preserve">3. Assumptions</t>
  </si>
  <si>
    <t xml:space="preserve">4.1 Revenue Build - VCU</t>
  </si>
  <si>
    <t xml:space="preserve">4.2 Revenue Build - Other</t>
  </si>
  <si>
    <t xml:space="preserve">5.1 Project Development &amp; Monitoring Cost</t>
  </si>
  <si>
    <t xml:space="preserve">5.2 Cost Build - ARR</t>
  </si>
  <si>
    <t xml:space="preserve">5.3 Cost Build - Productive Activities</t>
  </si>
  <si>
    <t xml:space="preserve">6. Profit &amp; Loss Statement (P&amp;L)</t>
  </si>
  <si>
    <t xml:space="preserve">7. Cash Flow Statement (CFS)</t>
  </si>
  <si>
    <t xml:space="preserve">8. Balance Sheet (BS)</t>
  </si>
  <si>
    <t xml:space="preserve">9. Balance Sheet Items (BS Items)</t>
  </si>
  <si>
    <t xml:space="preserve">10. Asset Depreciation (Depn)</t>
  </si>
  <si>
    <t xml:space="preserve">11. Weighted average cost of capital (WACC)</t>
  </si>
  <si>
    <t xml:space="preserve">12. VCU Volume</t>
  </si>
  <si>
    <t xml:space="preserve">Key model assumptions: </t>
  </si>
  <si>
    <t xml:space="preserve">This tab summarizes the volume and price scenarios and key model assumptions of the Project. A model user can choose the scenarios here.</t>
  </si>
  <si>
    <t xml:space="preserve">The model user can choose between nominal (takes into account inflations) and real (excludes inflations) terms. Also, the user can adjust the inflation rates here.</t>
  </si>
  <si>
    <t xml:space="preserve">Cash flow summary: </t>
  </si>
  <si>
    <t xml:space="preserve">For a presentation purpose only, the Project cash flows are summarized by 5 years here. If the user wants to see the annual cash flows, pls refer to the "2.NPV" tab.</t>
  </si>
  <si>
    <t xml:space="preserve">Return summary: </t>
  </si>
  <si>
    <t xml:space="preserve">This section shows discounted cash flows, NPV, IRR, and Discounted payback period for the Project.</t>
  </si>
  <si>
    <t xml:space="preserve">2. NPV</t>
  </si>
  <si>
    <t xml:space="preserve">This tab shows detailed NPV calculations along with the Project returns. </t>
  </si>
  <si>
    <t xml:space="preserve">1. Grant Funding. We inserted a blank line for the User to add a source of funding in the Cash Inflows. Note that the only funding source that can be added here is a grant.</t>
  </si>
  <si>
    <t xml:space="preserve">Note that the NPV calculations don't include cash inflows from an equity contribution or a loan as these are already reflected in the discount rate.</t>
  </si>
  <si>
    <t xml:space="preserve">2. We added two blank lines for any other type of cash inflows. As mentioned above, any financing cash inflow should not be included here except for grants. </t>
  </si>
  <si>
    <t xml:space="preserve">3. We added three additional blank lines under Cash Outflows for Users to add any operating cost items that they deem are missing. However, before adding a new cost item, the User should verify </t>
  </si>
  <si>
    <t xml:space="preserve">that this has not already been included in the Cost Build tabs to avoid double counting.  </t>
  </si>
  <si>
    <t xml:space="preserve">4. The expected NPV and IRR of the Project are based on pre-tax cash flows (i.e., excluding tax considerations). </t>
  </si>
  <si>
    <t xml:space="preserve">5. Net Cash Flows are discounted at the proponent's estimated discount rate of 13.5%. Instead of this 13.5%, WACC can be calculated and used as a project discount rate.</t>
  </si>
  <si>
    <t xml:space="preserve">These tab shows the list of most of the revenue and cost assumptions used the following tabs. The User can change the specific model assumptions in this tab.</t>
  </si>
  <si>
    <t xml:space="preserve">This tab calculates the carbon credit revenue reflecting the price assumptions and volume scenarios chosen in the "Project Summary" tab.</t>
  </si>
  <si>
    <t xml:space="preserve">We assumed a fixed carbon price of EUR 10 for Mirova's 1,000,000 VCUs. EUR 10 million will be received in advance as revenue between 2023 and 2025 and will be paid down over 7-year period per the schedule provided by the proponent.</t>
  </si>
  <si>
    <t xml:space="preserve">This tab calculates revenues from Productive Activities, which include sales of moringa oil, moringa leaves, dry mangoes, shea butter, and fertilizers compost.</t>
  </si>
  <si>
    <t xml:space="preserve">5. Cost Builds</t>
  </si>
  <si>
    <t xml:space="preserve">This tab shows detailed calculations of all the costs included in the model.</t>
  </si>
  <si>
    <t xml:space="preserve">4.1 Project Development &amp; Monitoring</t>
  </si>
  <si>
    <t xml:space="preserve">A majority of the inputs are linked to the 3. Assumptions tab. The user cannot change the purple-colored items, instead they should be adjusted in the 3. Assumptions tab.</t>
  </si>
  <si>
    <t xml:space="preserve">4.2 Cost Build - ARR</t>
  </si>
  <si>
    <t xml:space="preserve">This tab outlines step-by-step calculations of the ARR implement costs. </t>
  </si>
  <si>
    <t xml:space="preserve">4.3 Cost Build - Productive Activities</t>
  </si>
  <si>
    <t xml:space="preserve">This tab outlines step-by-step calculations of the Productive Activity related costs.</t>
  </si>
  <si>
    <t xml:space="preserve">6. P&amp;L</t>
  </si>
  <si>
    <t xml:space="preserve">This tab's income and expenses are based on an accounting accrual basis rather than a cash basis. The NPV calculation is calculated on a cash basis.  </t>
  </si>
  <si>
    <t xml:space="preserve">Profit after tax (net income) is not calculated as the model ignores tax considerations. </t>
  </si>
  <si>
    <t xml:space="preserve">Main differences from the "2.NPV" tab</t>
  </si>
  <si>
    <t xml:space="preserve">1. Accrues revenue on an annual basis. This is relevant when credit issuance happens every 2 or more years (not every year)</t>
  </si>
  <si>
    <t xml:space="preserve">1. According to an accrual basis, revenue will be recognized in the P&amp;L when the project is validated. So, the cash inflow from pre-sales should be recorded in the BS as unearned revenue temporarily. </t>
  </si>
  <si>
    <t xml:space="preserve">2. Amortized the initial Project development cost over the project period to match income and expenses.</t>
  </si>
  <si>
    <t xml:space="preserve">3. CAPEX is excluded as it is not a P&amp;L item. Instead, depreciation is added. </t>
  </si>
  <si>
    <t xml:space="preserve">7. CFS</t>
  </si>
  <si>
    <t xml:space="preserve">This tab shows an actual Cash Flow Statement of the Project and it includes the project fundings. </t>
  </si>
  <si>
    <t xml:space="preserve">Cash flows are divided into three activities (Operating, Investing, and Financing) in-line with the generally accepted accounting principles.</t>
  </si>
  <si>
    <t xml:space="preserve">The user should add any expected equity contributions and/or dividends in the pink cells.  </t>
  </si>
  <si>
    <t xml:space="preserve">8 &amp; 9. BS and BS Items</t>
  </si>
  <si>
    <t xml:space="preserve">The "8.BS" tab shows the balance sheet of the Project. While, the "9.BS Items" tab includes necessary back-up calculations to build the balance sheet, such as Working Capital and Loan Schedules. </t>
  </si>
  <si>
    <t xml:space="preserve">Accrued income refers to carbon credit revenue that is recognized in the P&amp;L but the credit has not been issued, therefore the revenue is not realized. The concept is similar to accounts receivable.</t>
  </si>
  <si>
    <t xml:space="preserve">Prepayment refers to the project development cost paid in the beginning of the Project.</t>
  </si>
  <si>
    <t xml:space="preserve">Unearned revenue means the cash is received in advance, however the credit has not been issued/validated yet.</t>
  </si>
  <si>
    <t xml:space="preserve">This tab calculates the annual depreciation of the project assets. </t>
  </si>
  <si>
    <t xml:space="preserve">We ignored the capitalization of some ARR-related costs due to its complexity. Instead, these expenses are being recognized directly in the P&amp;L.</t>
  </si>
  <si>
    <t xml:space="preserve">11. Discount rate</t>
  </si>
  <si>
    <t xml:space="preserve">We estimated the project WACC based on the expected capital structure. However, to be conservative, we used the higher discount rate of 13.5% provided by the proponent. </t>
  </si>
  <si>
    <t xml:space="preserve">The model currently assumes 100% debt financing.</t>
  </si>
  <si>
    <t xml:space="preserve">11. VCU Volume</t>
  </si>
  <si>
    <t xml:space="preserve">This tab summarizes the output of EP Carbon's carbon accounting model. It is linked to the "4.1 Revenue Build - VCU" tab.</t>
  </si>
  <si>
    <t xml:space="preserve">(in EUR, unless otherwise stated)</t>
  </si>
  <si>
    <t xml:space="preserve">Key Model Assumptions</t>
  </si>
  <si>
    <t xml:space="preserve">Unit</t>
  </si>
  <si>
    <t xml:space="preserve">Notes</t>
  </si>
  <si>
    <t xml:space="preserve">Project Info</t>
  </si>
  <si>
    <t xml:space="preserve">Project Name</t>
  </si>
  <si>
    <t xml:space="preserve">Serious Shea</t>
  </si>
  <si>
    <t xml:space="preserve">Location </t>
  </si>
  <si>
    <t xml:space="preserve">Senegal</t>
  </si>
  <si>
    <t xml:space="preserve">Project Start Date</t>
  </si>
  <si>
    <t xml:space="preserve">date</t>
  </si>
  <si>
    <t xml:space="preserve">Project Validation Date</t>
  </si>
  <si>
    <t xml:space="preserve">Model assumptions</t>
  </si>
  <si>
    <t xml:space="preserve">Nominal or real terms</t>
  </si>
  <si>
    <t xml:space="preserve">Nominal</t>
  </si>
  <si>
    <t xml:space="preserve">Choose "Real" if the user would like to exclude the inflation impact. </t>
  </si>
  <si>
    <t xml:space="preserve">Discount rate</t>
  </si>
  <si>
    <t xml:space="preserve">%</t>
  </si>
  <si>
    <t xml:space="preserve">Based on the proponent's estimated discount rate. </t>
  </si>
  <si>
    <t xml:space="preserve">Inflation rate </t>
  </si>
  <si>
    <t xml:space="preserve">% per annum</t>
  </si>
  <si>
    <t xml:space="preserve">Based on the European Union's last 10-year average inflation rate as the cost and revenue estimates are in EUR. </t>
  </si>
  <si>
    <t xml:space="preserve">USD/EUR exchange rate</t>
  </si>
  <si>
    <t xml:space="preserve">Exchange rate as of April 27, 2023 by Bloomberg</t>
  </si>
  <si>
    <t xml:space="preserve">Revenue assumptions</t>
  </si>
  <si>
    <t xml:space="preserve">Carbon Credit Price</t>
  </si>
  <si>
    <t xml:space="preserve">Scenario 1: Low Price</t>
  </si>
  <si>
    <t xml:space="preserve">EUR</t>
  </si>
  <si>
    <t xml:space="preserve">Based on the similar project in Africa.</t>
  </si>
  <si>
    <t xml:space="preserve">Scenario 2: Medium Price</t>
  </si>
  <si>
    <t xml:space="preserve">Based on the Proponent's expected pricing scenarios.</t>
  </si>
  <si>
    <t xml:space="preserve">Scenario 3: High Price</t>
  </si>
  <si>
    <t xml:space="preserve">Based on the lowest range of the ARR carbon prices published by Abatable</t>
  </si>
  <si>
    <t xml:space="preserve">Scenario 4: Trove - Low Demand, Loose Supply</t>
  </si>
  <si>
    <t xml:space="preserve">Pricing scenario requested by Mirova. Source: Trove Intelligence</t>
  </si>
  <si>
    <t xml:space="preserve">Scenario 5: Trove - High Demand, Loose Supply</t>
  </si>
  <si>
    <t xml:space="preserve">Scenario 6: Trove - Low Demand,Tight Supply</t>
  </si>
  <si>
    <t xml:space="preserve">Scenario 7: Trove - High Demand, Tight Supply</t>
  </si>
  <si>
    <t xml:space="preserve">User to Select Scenario for Carbon Credit Price</t>
  </si>
  <si>
    <t xml:space="preserve">EUR/VCU</t>
  </si>
  <si>
    <t xml:space="preserve">Choose the Carbon Credit Price Scenario here.</t>
  </si>
  <si>
    <t xml:space="preserve">Carbon Credit Price Increase</t>
  </si>
  <si>
    <t xml:space="preserve">We assume that the carbon price will increase in-line with the inflation rate.</t>
  </si>
  <si>
    <t xml:space="preserve">Carbon Crediting Scenarios</t>
  </si>
  <si>
    <t xml:space="preserve">Total VCUs</t>
  </si>
  <si>
    <t xml:space="preserve">Scenario 1: Low Crediting Scenario</t>
  </si>
  <si>
    <t xml:space="preserve">VCU</t>
  </si>
  <si>
    <t xml:space="preserve">These crediting scenarios originate from the carbon accounting model produced by EP Carbon.</t>
  </si>
  <si>
    <t xml:space="preserve">Scenario 2: High Crediting Scenario</t>
  </si>
  <si>
    <t xml:space="preserve">Scenario 3: Maximum Mitigation Potential</t>
  </si>
  <si>
    <t xml:space="preserve">User to Select Scenario for Carbon Crediting</t>
  </si>
  <si>
    <t xml:space="preserve">Choose the ARR VCU crediting scenario here.</t>
  </si>
  <si>
    <t xml:space="preserve">Cash Flow Summary</t>
  </si>
  <si>
    <t xml:space="preserve">Total</t>
  </si>
  <si>
    <t xml:space="preserve">Year 1-5</t>
  </si>
  <si>
    <t xml:space="preserve">Year 6-10</t>
  </si>
  <si>
    <t xml:space="preserve">Year 11-15</t>
  </si>
  <si>
    <t xml:space="preserve">Year 16-20</t>
  </si>
  <si>
    <t xml:space="preserve">Year 21-25</t>
  </si>
  <si>
    <t xml:space="preserve">Year 26-31</t>
  </si>
  <si>
    <t xml:space="preserve">Cash Inflows</t>
  </si>
  <si>
    <t xml:space="preserve">Grant Funding</t>
  </si>
  <si>
    <t xml:space="preserve">Other Income</t>
  </si>
  <si>
    <t xml:space="preserve">Total Cash Inflows</t>
  </si>
  <si>
    <t xml:space="preserve">Cash Outflows</t>
  </si>
  <si>
    <t xml:space="preserve">Project Development Costs</t>
  </si>
  <si>
    <t xml:space="preserve">Project Monitoring Costs</t>
  </si>
  <si>
    <t xml:space="preserve">ARR Activity Costs</t>
  </si>
  <si>
    <t xml:space="preserve">Productive Activity Costs</t>
  </si>
  <si>
    <t xml:space="preserve">Increase in Net Working Capital</t>
  </si>
  <si>
    <t xml:space="preserve">Other expenses</t>
  </si>
  <si>
    <t xml:space="preserve">Total Cash Outflows</t>
  </si>
  <si>
    <t xml:space="preserve">Net Cash Flow in Period</t>
  </si>
  <si>
    <t xml:space="preserve">Beginning Cash Balance</t>
  </si>
  <si>
    <t xml:space="preserve">Ending Cash Balance</t>
  </si>
  <si>
    <t xml:space="preserve">Return Summary</t>
  </si>
  <si>
    <t xml:space="preserve">Discounted cash flow</t>
  </si>
  <si>
    <t xml:space="preserve">NPV (31-year, pre-tax) </t>
  </si>
  <si>
    <t xml:space="preserve">USD</t>
  </si>
  <si>
    <t xml:space="preserve">IRR (31-year, pre-tax) </t>
  </si>
  <si>
    <t xml:space="preserve">Discounted payback period</t>
  </si>
  <si>
    <t xml:space="preserve">Year</t>
  </si>
  <si>
    <t xml:space="preserve">Capital requirement</t>
  </si>
  <si>
    <t xml:space="preserve">First 5-year Cash Flow (before discounting)</t>
  </si>
  <si>
    <t xml:space="preserve">First 10-year Cash Flow (before discounting)</t>
  </si>
  <si>
    <t xml:space="preserve">Sensitivity Tables</t>
  </si>
  <si>
    <t xml:space="preserve">NPV Sensitivity</t>
  </si>
  <si>
    <t xml:space="preserve">Carbon Pricing Scenarios</t>
  </si>
  <si>
    <t xml:space="preserve">Low Price</t>
  </si>
  <si>
    <t xml:space="preserve">Medium Price</t>
  </si>
  <si>
    <t xml:space="preserve">High Price</t>
  </si>
  <si>
    <t xml:space="preserve">Scenario 1: </t>
  </si>
  <si>
    <t xml:space="preserve">&lt;&lt; hardcoded</t>
  </si>
  <si>
    <t xml:space="preserve">Scenario 2: </t>
  </si>
  <si>
    <t xml:space="preserve">Scenario 3: </t>
  </si>
  <si>
    <t xml:space="preserve">IRR Sensitivity</t>
  </si>
  <si>
    <t xml:space="preserve">Revenue</t>
  </si>
  <si>
    <t xml:space="preserve">Net Present Value Calculations</t>
  </si>
  <si>
    <t xml:space="preserve">2024-2054</t>
  </si>
  <si>
    <t xml:space="preserve">Estimate</t>
  </si>
  <si>
    <t xml:space="preserve">Revenue from ARR</t>
  </si>
  <si>
    <t xml:space="preserve">Revenue from Productive Activities</t>
  </si>
  <si>
    <t xml:space="preserve">Other income 1</t>
  </si>
  <si>
    <t xml:space="preserve">Other income 2</t>
  </si>
  <si>
    <t xml:space="preserve">Project Development and Monitoring Expenses </t>
  </si>
  <si>
    <t xml:space="preserve">Project Development Cost</t>
  </si>
  <si>
    <t xml:space="preserve">Project Monitoring Cost</t>
  </si>
  <si>
    <t xml:space="preserve">ARR Costs</t>
  </si>
  <si>
    <t xml:space="preserve">Other expenses 1</t>
  </si>
  <si>
    <t xml:space="preserve">Other expenses 2</t>
  </si>
  <si>
    <t xml:space="preserve">Other expenses 3</t>
  </si>
  <si>
    <t xml:space="preserve">Project Returns</t>
  </si>
  <si>
    <t xml:space="preserve">NPV Date</t>
  </si>
  <si>
    <t xml:space="preserve">Discount Rate</t>
  </si>
  <si>
    <t xml:space="preserve">year</t>
  </si>
  <si>
    <t xml:space="preserve">Period Start Date</t>
  </si>
  <si>
    <t xml:space="preserve">Period End Date</t>
  </si>
  <si>
    <t xml:space="preserve">Days from NPV to Period End </t>
  </si>
  <si>
    <t xml:space="preserve">days</t>
  </si>
  <si>
    <t xml:space="preserve">Discount Factor </t>
  </si>
  <si>
    <t xml:space="preserve">factor</t>
  </si>
  <si>
    <t xml:space="preserve">Net Cash Flow (pre-tax)</t>
  </si>
  <si>
    <t xml:space="preserve">Cumulative cash flow</t>
  </si>
  <si>
    <t xml:space="preserve">Year fraction</t>
  </si>
  <si>
    <t xml:space="preserve">years</t>
  </si>
  <si>
    <t xml:space="preserve">Capital requirement (inc. pre-sales)</t>
  </si>
  <si>
    <t xml:space="preserve">Revenue Assumptions</t>
  </si>
  <si>
    <t xml:space="preserve">Revenues from Productive Activities</t>
  </si>
  <si>
    <t xml:space="preserve">Price</t>
  </si>
  <si>
    <t xml:space="preserve">Price CAGR</t>
  </si>
  <si>
    <t xml:space="preserve">Revenue Attributable to Serious Shea</t>
  </si>
  <si>
    <t xml:space="preserve">Refined Oil</t>
  </si>
  <si>
    <t xml:space="preserve">EUR per metric ton</t>
  </si>
  <si>
    <t xml:space="preserve">Based on the benchmark price discounted to ~60-70%</t>
  </si>
  <si>
    <t xml:space="preserve">Moringa Leaves</t>
  </si>
  <si>
    <t xml:space="preserve">Dry Mangos</t>
  </si>
  <si>
    <t xml:space="preserve">Shea Butter</t>
  </si>
  <si>
    <t xml:space="preserve">Fertilisers Compost</t>
  </si>
  <si>
    <t xml:space="preserve">Based on the benchmark price discounted to ~20%</t>
  </si>
  <si>
    <t xml:space="preserve">Biochar</t>
  </si>
  <si>
    <t xml:space="preserve">Revenue from Processing Fee</t>
  </si>
  <si>
    <t xml:space="preserve">Cost Inputs/Assumptions</t>
  </si>
  <si>
    <t xml:space="preserve">5.1 Project Development &amp; Monitoring</t>
  </si>
  <si>
    <t xml:space="preserve">Timing Assumptions</t>
  </si>
  <si>
    <t xml:space="preserve">First Year of Credit Issuance</t>
  </si>
  <si>
    <t xml:space="preserve">The model assumes the First Year of Credit Issuance will happen in 2025.</t>
  </si>
  <si>
    <t xml:space="preserve">Interval between Credit Issuances/Sales after First Issuance</t>
  </si>
  <si>
    <t xml:space="preserve">The Projects assumes that verifications and credit issuances will take place in the same years. This can be changed to 2 years depending on the sales &amp; marketing strategy.</t>
  </si>
  <si>
    <t xml:space="preserve">Year of Validation</t>
  </si>
  <si>
    <t xml:space="preserve">The typical timeline that we see for project development from Feasibility Assessment to Validation is 12-18 months. We assume that the Project will be validated in 2024.  </t>
  </si>
  <si>
    <t xml:space="preserve">First Verification Year</t>
  </si>
  <si>
    <t xml:space="preserve">Same time as validation. </t>
  </si>
  <si>
    <t xml:space="preserve">Verification Interval Thereafter</t>
  </si>
  <si>
    <t xml:space="preserve">Frequency of Revisions</t>
  </si>
  <si>
    <t xml:space="preserve">The baseline revision is subject to changes by Verra. We assume it will happen every 6 years based on its existing guideline. </t>
  </si>
  <si>
    <t xml:space="preserve">Project Development Work</t>
  </si>
  <si>
    <t xml:space="preserve">Feasibility assessment</t>
  </si>
  <si>
    <t xml:space="preserve">Feasibility Assessment Fee to EP Carbon</t>
  </si>
  <si>
    <t xml:space="preserve">Low</t>
  </si>
  <si>
    <t xml:space="preserve">High </t>
  </si>
  <si>
    <t xml:space="preserve">Work plan</t>
  </si>
  <si>
    <t xml:space="preserve">Provisional estimates included in the Feasibility Assessment proposal</t>
  </si>
  <si>
    <t xml:space="preserve">Project Description Document</t>
  </si>
  <si>
    <t xml:space="preserve">Audit support to issuance</t>
  </si>
  <si>
    <t xml:space="preserve">First MIR </t>
  </si>
  <si>
    <t xml:space="preserve">Provisional estimates included in the Feasibility Assessment proposal (PDD + MIR ranges between US$250k and US$350k)</t>
  </si>
  <si>
    <t xml:space="preserve">VCS + CCB Validation</t>
  </si>
  <si>
    <t xml:space="preserve">Estimated fee to VCS for the assessment of the Project's conformance to VCS rules and applied methodology. CCB Validation is US$2,500 per CCB Standards Fee Schedule v3.4.</t>
  </si>
  <si>
    <t xml:space="preserve">Additional costs for CCB</t>
  </si>
  <si>
    <t xml:space="preserve">EP Carbon estimate.</t>
  </si>
  <si>
    <t xml:space="preserve">Project Monitoring Work</t>
  </si>
  <si>
    <t xml:space="preserve">Verra Registry Account Opening Fee VCS</t>
  </si>
  <si>
    <t xml:space="preserve">VCS Program Fee Schedule v4.3</t>
  </si>
  <si>
    <t xml:space="preserve">https://verra.org/wp-content/uploads/2023/03/Program-Fee-Schedule-v4.3-FINAL.pdf </t>
  </si>
  <si>
    <t xml:space="preserve">VCS Account maintenance fee</t>
  </si>
  <si>
    <t xml:space="preserve">USD per annum</t>
  </si>
  <si>
    <t xml:space="preserve">VCS Pipeline Listing request fee</t>
  </si>
  <si>
    <t xml:space="preserve">USD </t>
  </si>
  <si>
    <t xml:space="preserve">VCS Project registeration request review fee</t>
  </si>
  <si>
    <t xml:space="preserve">VCU Issuance levy</t>
  </si>
  <si>
    <t xml:space="preserve">USD per VCU</t>
  </si>
  <si>
    <t xml:space="preserve">CCB Label fee</t>
  </si>
  <si>
    <t xml:space="preserve">USD per label</t>
  </si>
  <si>
    <t xml:space="preserve">CCB Program Fee Schedule v3.5</t>
  </si>
  <si>
    <t xml:space="preserve">https://verra.org/wp-content/uploads/2023/03/CCB-Standards-Fee-Schedule-v3.5-final.pdf</t>
  </si>
  <si>
    <t xml:space="preserve">CCB Account maintenance fee</t>
  </si>
  <si>
    <t xml:space="preserve">VCS Verification</t>
  </si>
  <si>
    <t xml:space="preserve">EP Carbon estimate for the verification audit and audit preparation</t>
  </si>
  <si>
    <t xml:space="preserve">CCB Verification</t>
  </si>
  <si>
    <t xml:space="preserve">For each application for CCB certfication</t>
  </si>
  <si>
    <t xml:space="preserve">VCS Baseline Revision and Validation</t>
  </si>
  <si>
    <t xml:space="preserve">Subsequent MIRs Cost per Year</t>
  </si>
  <si>
    <t xml:space="preserve">Trees Produced</t>
  </si>
  <si>
    <t xml:space="preserve"># of trees</t>
  </si>
  <si>
    <t xml:space="preserve">Total Trees Produced</t>
  </si>
  <si>
    <t xml:space="preserve">Tree Loss</t>
  </si>
  <si>
    <t xml:space="preserve">Nursery Costs</t>
  </si>
  <si>
    <t xml:space="preserve">Land required per nursery</t>
  </si>
  <si>
    <t xml:space="preserve">ha</t>
  </si>
  <si>
    <t xml:space="preserve">Production capacity per nursery </t>
  </si>
  <si>
    <t xml:space="preserve">seedlings per annum</t>
  </si>
  <si>
    <t xml:space="preserve">Nursery CAPEX</t>
  </si>
  <si>
    <t xml:space="preserve">Unit cost (EUR)</t>
  </si>
  <si>
    <t xml:space="preserve">Quantity</t>
  </si>
  <si>
    <t xml:space="preserve">Cost (EUR)</t>
  </si>
  <si>
    <t xml:space="preserve">Land Acquisition</t>
  </si>
  <si>
    <t xml:space="preserve">per ha</t>
  </si>
  <si>
    <t xml:space="preserve">Land</t>
  </si>
  <si>
    <t xml:space="preserve">Fence</t>
  </si>
  <si>
    <t xml:space="preserve">per meter</t>
  </si>
  <si>
    <t xml:space="preserve">Buildings</t>
  </si>
  <si>
    <t xml:space="preserve">Shelters (40,000 sq.m)</t>
  </si>
  <si>
    <t xml:space="preserve">per unit</t>
  </si>
  <si>
    <t xml:space="preserve">Office and Storage</t>
  </si>
  <si>
    <t xml:space="preserve">Wells</t>
  </si>
  <si>
    <t xml:space="preserve">per item</t>
  </si>
  <si>
    <t xml:space="preserve">Irrigation</t>
  </si>
  <si>
    <t xml:space="preserve">Solar Water Pump</t>
  </si>
  <si>
    <t xml:space="preserve">Water Storage (10m3)</t>
  </si>
  <si>
    <t xml:space="preserve">Pipes and Drip </t>
  </si>
  <si>
    <t xml:space="preserve">Lot </t>
  </si>
  <si>
    <t xml:space="preserve">Water Tanks (800L)</t>
  </si>
  <si>
    <t xml:space="preserve">Nursery Trays</t>
  </si>
  <si>
    <t xml:space="preserve">Per item</t>
  </si>
  <si>
    <t xml:space="preserve">Pick-up Truck</t>
  </si>
  <si>
    <t xml:space="preserve">Vehicles</t>
  </si>
  <si>
    <t xml:space="preserve">Tractor </t>
  </si>
  <si>
    <t xml:space="preserve">Trailers for Seedling Transport</t>
  </si>
  <si>
    <t xml:space="preserve">Total CAPEX per nursery</t>
  </si>
  <si>
    <t xml:space="preserve">Nurseries to be added</t>
  </si>
  <si>
    <t xml:space="preserve">Total nurseries</t>
  </si>
  <si>
    <t xml:space="preserve">Nursery OPEX</t>
  </si>
  <si>
    <t xml:space="preserve">Unit cost</t>
  </si>
  <si>
    <t xml:space="preserve">Opex Nursery, Production fees to Cooperatives</t>
  </si>
  <si>
    <t xml:space="preserve">EUR per tree</t>
  </si>
  <si>
    <t xml:space="preserve">Supplies</t>
  </si>
  <si>
    <t xml:space="preserve">Plantation Costs</t>
  </si>
  <si>
    <t xml:space="preserve">Plantation OPEX</t>
  </si>
  <si>
    <t xml:space="preserve">Plantation and Transport fee to the Cooperatives</t>
  </si>
  <si>
    <t xml:space="preserve">Maintenance by Cooperatives</t>
  </si>
  <si>
    <t xml:space="preserve">Plantation Overhead</t>
  </si>
  <si>
    <t xml:space="preserve">Salary</t>
  </si>
  <si>
    <t xml:space="preserve">Annual Salary</t>
  </si>
  <si>
    <t xml:space="preserve">Annual Salary CAGR</t>
  </si>
  <si>
    <t xml:space="preserve">2031 &amp; Beyond</t>
  </si>
  <si>
    <t xml:space="preserve">Country Manager</t>
  </si>
  <si>
    <t xml:space="preserve">Headcount</t>
  </si>
  <si>
    <t xml:space="preserve">Director of Reforestation Operations</t>
  </si>
  <si>
    <t xml:space="preserve">CFO</t>
  </si>
  <si>
    <t xml:space="preserve">Director of HR</t>
  </si>
  <si>
    <t xml:space="preserve">Director of Partnership&amp;ITC</t>
  </si>
  <si>
    <t xml:space="preserve">Managers</t>
  </si>
  <si>
    <t xml:space="preserve">Technical Staff</t>
  </si>
  <si>
    <t xml:space="preserve">Forest Engineer</t>
  </si>
  <si>
    <t xml:space="preserve">Employees</t>
  </si>
  <si>
    <t xml:space="preserve">Executive Secretary</t>
  </si>
  <si>
    <t xml:space="preserve">Secretaries</t>
  </si>
  <si>
    <t xml:space="preserve">Trainees/Students</t>
  </si>
  <si>
    <t xml:space="preserve">Drivers</t>
  </si>
  <si>
    <t xml:space="preserve">Accountant</t>
  </si>
  <si>
    <t xml:space="preserve">Field Agent</t>
  </si>
  <si>
    <t xml:space="preserve">Maintenance Personnel</t>
  </si>
  <si>
    <t xml:space="preserve">Security</t>
  </si>
  <si>
    <t xml:space="preserve">Total headcount</t>
  </si>
  <si>
    <t xml:space="preserve">Production and Harvesting Service Fees for Moringa</t>
  </si>
  <si>
    <t xml:space="preserve">Production</t>
  </si>
  <si>
    <t xml:space="preserve">per kg</t>
  </si>
  <si>
    <t xml:space="preserve">Harvesting</t>
  </si>
  <si>
    <t xml:space="preserve">Rental</t>
  </si>
  <si>
    <t xml:space="preserve">2028 &amp; Beyond</t>
  </si>
  <si>
    <t xml:space="preserve">Office Space</t>
  </si>
  <si>
    <t xml:space="preserve">sq.ft</t>
  </si>
  <si>
    <t xml:space="preserve">Annual office rent rate</t>
  </si>
  <si>
    <t xml:space="preserve">per sq.ft</t>
  </si>
  <si>
    <t xml:space="preserve">Office rent increase</t>
  </si>
  <si>
    <t xml:space="preserve">per annum</t>
  </si>
  <si>
    <t xml:space="preserve">Utilities</t>
  </si>
  <si>
    <t xml:space="preserve">Starting value</t>
  </si>
  <si>
    <t xml:space="preserve">Annual increment value until 2033</t>
  </si>
  <si>
    <t xml:space="preserve">Insurance</t>
  </si>
  <si>
    <t xml:space="preserve">Office equipment</t>
  </si>
  <si>
    <t xml:space="preserve">2029 &amp; Beyond</t>
  </si>
  <si>
    <t xml:space="preserve"># of staff who need equipment</t>
  </si>
  <si>
    <t xml:space="preserve">Computers</t>
  </si>
  <si>
    <t xml:space="preserve">Office set</t>
  </si>
  <si>
    <t xml:space="preserve">Other furniture and IT equipment</t>
  </si>
  <si>
    <t xml:space="preserve">Software and Digital services</t>
  </si>
  <si>
    <t xml:space="preserve">Other</t>
  </si>
  <si>
    <t xml:space="preserve">Annual increase</t>
  </si>
  <si>
    <t xml:space="preserve">Vehicles for Management</t>
  </si>
  <si>
    <t xml:space="preserve">Utility vehicle management</t>
  </si>
  <si>
    <t xml:space="preserve">Processing Center Inputs</t>
  </si>
  <si>
    <t xml:space="preserve"># of Processing Centers</t>
  </si>
  <si>
    <t xml:space="preserve">Multi-Function Center</t>
  </si>
  <si>
    <t xml:space="preserve">Shea Collection Center</t>
  </si>
  <si>
    <t xml:space="preserve">Shea Processing Center</t>
  </si>
  <si>
    <t xml:space="preserve"># of plants in operation</t>
  </si>
  <si>
    <t xml:space="preserve">Processing Capacity</t>
  </si>
  <si>
    <t xml:space="preserve">Moringa oil </t>
  </si>
  <si>
    <t xml:space="preserve">Kg</t>
  </si>
  <si>
    <t xml:space="preserve">Moringa Powder </t>
  </si>
  <si>
    <t xml:space="preserve">Dried Mangoes</t>
  </si>
  <si>
    <t xml:space="preserve">Shea butter</t>
  </si>
  <si>
    <t xml:space="preserve">Shea Nuts</t>
  </si>
  <si>
    <t xml:space="preserve">Processing Volume</t>
  </si>
  <si>
    <t xml:space="preserve">Liquid Compost</t>
  </si>
  <si>
    <t xml:space="preserve">CAPEX CAGR</t>
  </si>
  <si>
    <t xml:space="preserve">CAPEX</t>
  </si>
  <si>
    <t xml:space="preserve">Qty</t>
  </si>
  <si>
    <t xml:space="preserve">Capacity / Day  Kg</t>
  </si>
  <si>
    <t xml:space="preserve">Cost</t>
  </si>
  <si>
    <t xml:space="preserve">Total Cost</t>
  </si>
  <si>
    <t xml:space="preserve">Production steps: </t>
  </si>
  <si>
    <t xml:space="preserve">Products: </t>
  </si>
  <si>
    <t xml:space="preserve">Applications</t>
  </si>
  <si>
    <t xml:space="preserve">1. Extraction</t>
  </si>
  <si>
    <t xml:space="preserve">Moringa</t>
  </si>
  <si>
    <t xml:space="preserve">Food and cosmetics</t>
  </si>
  <si>
    <t xml:space="preserve">Building</t>
  </si>
  <si>
    <t xml:space="preserve">2. Drying</t>
  </si>
  <si>
    <t xml:space="preserve">Dried Pulp</t>
  </si>
  <si>
    <t xml:space="preserve">Food  </t>
  </si>
  <si>
    <t xml:space="preserve">Construction design permits</t>
  </si>
  <si>
    <t xml:space="preserve">3. Wet waste Biogaz</t>
  </si>
  <si>
    <t xml:space="preserve">Liquid fertilizer</t>
  </si>
  <si>
    <t xml:space="preserve">Sold in local market</t>
  </si>
  <si>
    <t xml:space="preserve">Water supply equipment</t>
  </si>
  <si>
    <t xml:space="preserve">4. Syngaz Waste</t>
  </si>
  <si>
    <t xml:space="preserve">Bio Char</t>
  </si>
  <si>
    <t xml:space="preserve">Soil Conditioners</t>
  </si>
  <si>
    <t xml:space="preserve">Transportation</t>
  </si>
  <si>
    <t xml:space="preserve">Installation</t>
  </si>
  <si>
    <t xml:space="preserve">Lab</t>
  </si>
  <si>
    <t xml:space="preserve">Equipment Cost</t>
  </si>
  <si>
    <t xml:space="preserve">Washing and sorting (Stainless)</t>
  </si>
  <si>
    <t xml:space="preserve">Stainless product separation table</t>
  </si>
  <si>
    <t xml:space="preserve">Leaves DRYER </t>
  </si>
  <si>
    <t xml:space="preserve">PULP DRYER </t>
  </si>
  <si>
    <t xml:space="preserve">Dried pulp Packaging (Vacuumed)</t>
  </si>
  <si>
    <t xml:space="preserve">Cold Press </t>
  </si>
  <si>
    <t xml:space="preserve">Filter</t>
  </si>
  <si>
    <t xml:space="preserve">Grinder</t>
  </si>
  <si>
    <t xml:space="preserve">SCALE</t>
  </si>
  <si>
    <t xml:space="preserve">Manual </t>
  </si>
  <si>
    <t xml:space="preserve">Sack Sewing Machine</t>
  </si>
  <si>
    <t xml:space="preserve">Biogaz System</t>
  </si>
  <si>
    <t xml:space="preserve">400 kg fert 20K gaz</t>
  </si>
  <si>
    <t xml:space="preserve">Rain water harvesting tanks</t>
  </si>
  <si>
    <t xml:space="preserve">Solar Panels 40 KW with Batteries</t>
  </si>
  <si>
    <t xml:space="preserve">10 KW</t>
  </si>
  <si>
    <t xml:space="preserve">Total Vehicles</t>
  </si>
  <si>
    <t xml:space="preserve">Utility Vehicle </t>
  </si>
  <si>
    <t xml:space="preserve">Tractor/Tricycle </t>
  </si>
  <si>
    <t xml:space="preserve">Total CAPEX</t>
  </si>
  <si>
    <t xml:space="preserve">Spare Parts</t>
  </si>
  <si>
    <t xml:space="preserve">Details</t>
  </si>
  <si>
    <t xml:space="preserve">Gear Engine, Fan Engine, Conveyor Engines</t>
  </si>
  <si>
    <t xml:space="preserve">PULP DRYER with Electricty</t>
  </si>
  <si>
    <t xml:space="preserve">Vacuum valve kit</t>
  </si>
  <si>
    <t xml:space="preserve">Filter </t>
  </si>
  <si>
    <t xml:space="preserve">Back Up Steam Generator with electricty</t>
  </si>
  <si>
    <t xml:space="preserve">Relay, Contactors, Resistances</t>
  </si>
  <si>
    <t xml:space="preserve">Biogas System</t>
  </si>
  <si>
    <t xml:space="preserve">Pressures censors, safety valves, relay</t>
  </si>
  <si>
    <t xml:space="preserve">Capacity</t>
  </si>
  <si>
    <t xml:space="preserve">Moringa leaves Drying Capacity</t>
  </si>
  <si>
    <t xml:space="preserve">Kg per annum</t>
  </si>
  <si>
    <t xml:space="preserve">Mangoes Drying Capacity</t>
  </si>
  <si>
    <t xml:space="preserve">Oil Production capacity</t>
  </si>
  <si>
    <t xml:space="preserve">Inputs</t>
  </si>
  <si>
    <t xml:space="preserve">Dried pulp</t>
  </si>
  <si>
    <t xml:space="preserve">Wet Waste</t>
  </si>
  <si>
    <t xml:space="preserve">Dry Waste</t>
  </si>
  <si>
    <t xml:space="preserve">Cooker/Boiler Steam from syngas / Biogas</t>
  </si>
  <si>
    <t xml:space="preserve">NUTS / ALMOND Drying Machine (It will work with gas from syngas generator)</t>
  </si>
  <si>
    <t xml:space="preserve">Shelling</t>
  </si>
  <si>
    <t xml:space="preserve">Resistances, Electricty engines</t>
  </si>
  <si>
    <t xml:space="preserve">Censors, Electricty engine</t>
  </si>
  <si>
    <t xml:space="preserve">Shea nut capacity</t>
  </si>
  <si>
    <t xml:space="preserve">Roasting &amp; Drying Line (With Gas from Syngas Generator)</t>
  </si>
  <si>
    <t xml:space="preserve">Crusher </t>
  </si>
  <si>
    <t xml:space="preserve">Continous heater above Press Extractor</t>
  </si>
  <si>
    <t xml:space="preserve">PRESS BUTTER EXTRACTOR</t>
  </si>
  <si>
    <t xml:space="preserve">Packaging / Filling Machine</t>
  </si>
  <si>
    <t xml:space="preserve">Packaging Machine 20gr….100gr (for green pulp dried fruits)</t>
  </si>
  <si>
    <t xml:space="preserve">Syngaz </t>
  </si>
  <si>
    <t xml:space="preserve">200 SQM</t>
  </si>
  <si>
    <t xml:space="preserve">40 KW</t>
  </si>
  <si>
    <t xml:space="preserve">Roasting &amp; Drying Line (With gas from Syngas)</t>
  </si>
  <si>
    <t xml:space="preserve">Electricity engine, chopper edges</t>
  </si>
  <si>
    <t xml:space="preserve">Cartridges, Transfer pumps</t>
  </si>
  <si>
    <t xml:space="preserve">Valves, Filling Pumps</t>
  </si>
  <si>
    <t xml:space="preserve">Backup Steam Generator with Electricity</t>
  </si>
  <si>
    <t xml:space="preserve">Packaging Machine 20gr….100gr</t>
  </si>
  <si>
    <t xml:space="preserve">Pneumatic equipments</t>
  </si>
  <si>
    <t xml:space="preserve">syngaz dryer</t>
  </si>
  <si>
    <t xml:space="preserve">Relay, contactors, valves</t>
  </si>
  <si>
    <t xml:space="preserve">Was excluded in the proponent's model</t>
  </si>
  <si>
    <t xml:space="preserve">Shea butter capacity</t>
  </si>
  <si>
    <t xml:space="preserve">Dried</t>
  </si>
  <si>
    <t xml:space="preserve">Fats</t>
  </si>
  <si>
    <t xml:space="preserve">Fruits</t>
  </si>
  <si>
    <t xml:space="preserve">Wet</t>
  </si>
  <si>
    <t xml:space="preserve">Dry</t>
  </si>
  <si>
    <t xml:space="preserve">OPEX - related Assumptions</t>
  </si>
  <si>
    <t xml:space="preserve">Transportation for Spare Parts</t>
  </si>
  <si>
    <t xml:space="preserve">of Total Spare Parts Cost</t>
  </si>
  <si>
    <t xml:space="preserve">Maintenance Cost of Processing Centers</t>
  </si>
  <si>
    <t xml:space="preserve">of Total CAPEX</t>
  </si>
  <si>
    <t xml:space="preserve">Packing Material</t>
  </si>
  <si>
    <t xml:space="preserve">of Revenue from products</t>
  </si>
  <si>
    <t xml:space="preserve">Productive Activities' Overhead</t>
  </si>
  <si>
    <t xml:space="preserve">2032 &amp; Beyond</t>
  </si>
  <si>
    <t xml:space="preserve">Director of Industrial Ops</t>
  </si>
  <si>
    <t xml:space="preserve">Factory Managers - Shea Processing</t>
  </si>
  <si>
    <t xml:space="preserve">Factory Managers - Shea Collection</t>
  </si>
  <si>
    <t xml:space="preserve">Factory Managers - Multi Center</t>
  </si>
  <si>
    <t xml:space="preserve">Assistant Manager</t>
  </si>
  <si>
    <t xml:space="preserve">Food Engineer</t>
  </si>
  <si>
    <t xml:space="preserve">Logistics specialist</t>
  </si>
  <si>
    <t xml:space="preserve">Security Personnel</t>
  </si>
  <si>
    <t xml:space="preserve">per center</t>
  </si>
  <si>
    <t xml:space="preserve">Revenue Build</t>
  </si>
  <si>
    <t xml:space="preserve">Year count</t>
  </si>
  <si>
    <t xml:space="preserve">Credit Issuance Dates</t>
  </si>
  <si>
    <t xml:space="preserve">Interval between Credit Issuances</t>
  </si>
  <si>
    <t xml:space="preserve">Year for Flag Credit Issuance</t>
  </si>
  <si>
    <t xml:space="preserve">Credit Price Escalation</t>
  </si>
  <si>
    <t xml:space="preserve">ARR</t>
  </si>
  <si>
    <t xml:space="preserve">Carbon Price Scenario Chosen</t>
  </si>
  <si>
    <t xml:space="preserve">Applicable Credit Price</t>
  </si>
  <si>
    <t xml:space="preserve">Carbon Crediting Scenario Chosen</t>
  </si>
  <si>
    <t xml:space="preserve">Applicable Credit Volume</t>
  </si>
  <si>
    <t xml:space="preserve">Cummulative VCUs</t>
  </si>
  <si>
    <t xml:space="preserve">VCUs to be issued</t>
  </si>
  <si>
    <t xml:space="preserve">VCUs attributable to Mirova</t>
  </si>
  <si>
    <t xml:space="preserve">VCUs attributable to Others</t>
  </si>
  <si>
    <t xml:space="preserve">ARR Revenue (to be recognized)</t>
  </si>
  <si>
    <t xml:space="preserve">Revenue attributable to Mirova</t>
  </si>
  <si>
    <t xml:space="preserve">Revenue attributable to Others</t>
  </si>
  <si>
    <t xml:space="preserve">ARR Revenue</t>
  </si>
  <si>
    <t xml:space="preserve">ARR Revenue (cash based)</t>
  </si>
  <si>
    <t xml:space="preserve">Prepayment from Mirova</t>
  </si>
  <si>
    <t xml:space="preserve">Revenue from Others</t>
  </si>
  <si>
    <t xml:space="preserve">ARR Revenue (cash)</t>
  </si>
  <si>
    <t xml:space="preserve">Assuming:</t>
  </si>
  <si>
    <t xml:space="preserve">Repayment Schedule to Mirova</t>
  </si>
  <si>
    <t xml:space="preserve">1-yr interval between Credit Issuances</t>
  </si>
  <si>
    <t xml:space="preserve">2-yr interval between Credit Issuances</t>
  </si>
  <si>
    <t xml:space="preserve">3-yr interval between Credit Issuances</t>
  </si>
  <si>
    <t xml:space="preserve">Prices</t>
  </si>
  <si>
    <t xml:space="preserve">Volume</t>
  </si>
  <si>
    <t xml:space="preserve">Average</t>
  </si>
  <si>
    <t xml:space="preserve">tn</t>
  </si>
  <si>
    <t xml:space="preserve">Revenue from products</t>
  </si>
  <si>
    <t xml:space="preserve">Revenue from processing fee</t>
  </si>
  <si>
    <t xml:space="preserve">Combined Revenue of Serious Shea &amp; its Partners</t>
  </si>
  <si>
    <t xml:space="preserve">Variables: </t>
  </si>
  <si>
    <t xml:space="preserve">Medium</t>
  </si>
  <si>
    <t xml:space="preserve">High</t>
  </si>
  <si>
    <t xml:space="preserve"> - Utilisation</t>
  </si>
  <si>
    <t xml:space="preserve">Y1</t>
  </si>
  <si>
    <t xml:space="preserve">Y2</t>
  </si>
  <si>
    <t xml:space="preserve">Y3</t>
  </si>
  <si>
    <t xml:space="preserve">Y4</t>
  </si>
  <si>
    <t xml:space="preserve">Leaves  / kg</t>
  </si>
  <si>
    <t xml:space="preserve">Seeds /trees kg</t>
  </si>
  <si>
    <t xml:space="preserve">Plantation</t>
  </si>
  <si>
    <t xml:space="preserve">Production Fresh Leaves</t>
  </si>
  <si>
    <t xml:space="preserve">Utilization</t>
  </si>
  <si>
    <t xml:space="preserve">Net production</t>
  </si>
  <si>
    <t xml:space="preserve">Production Seeds</t>
  </si>
  <si>
    <t xml:space="preserve">Cost Build</t>
  </si>
  <si>
    <t xml:space="preserve">Project Development &amp; Monitoring Costs</t>
  </si>
  <si>
    <t xml:space="preserve">Cost Inflation</t>
  </si>
  <si>
    <t xml:space="preserve">Carbon Technical Work (VCS + CCB)</t>
  </si>
  <si>
    <t xml:space="preserve">Project Description</t>
  </si>
  <si>
    <t xml:space="preserve">Payment schedule</t>
  </si>
  <si>
    <t xml:space="preserve">Validation Audit</t>
  </si>
  <si>
    <t xml:space="preserve">Validation Audit Fee </t>
  </si>
  <si>
    <t xml:space="preserve">Year of validation</t>
  </si>
  <si>
    <t xml:space="preserve">Registration Fees and Issuance Levies (VCS + CCB)</t>
  </si>
  <si>
    <t xml:space="preserve">Total VCU Issuance</t>
  </si>
  <si>
    <t xml:space="preserve">VCUs</t>
  </si>
  <si>
    <t xml:space="preserve">VCS Account Maintenance Fee</t>
  </si>
  <si>
    <t xml:space="preserve">Project registeration request review fee</t>
  </si>
  <si>
    <t xml:space="preserve">VCS Issuance Levy</t>
  </si>
  <si>
    <t xml:space="preserve">CCB Label Fee</t>
  </si>
  <si>
    <t xml:space="preserve">VCS </t>
  </si>
  <si>
    <t xml:space="preserve">CCB</t>
  </si>
  <si>
    <t xml:space="preserve">Revision</t>
  </si>
  <si>
    <t xml:space="preserve">Subsequent MIRs Cost</t>
  </si>
  <si>
    <t xml:space="preserve">Index</t>
  </si>
  <si>
    <t xml:space="preserve">Nursery Cost</t>
  </si>
  <si>
    <t xml:space="preserve">Trees produced</t>
  </si>
  <si>
    <t xml:space="preserve"># of nurseries</t>
  </si>
  <si>
    <t xml:space="preserve">Total Nurseries</t>
  </si>
  <si>
    <t xml:space="preserve">Nursery Production Capacity</t>
  </si>
  <si>
    <t xml:space="preserve">Seedlings p.a</t>
  </si>
  <si>
    <t xml:space="preserve"># of seedlings</t>
  </si>
  <si>
    <t xml:space="preserve">CAPEX per nursery</t>
  </si>
  <si>
    <t xml:space="preserve">Nursery trays</t>
  </si>
  <si>
    <t xml:space="preserve">Production fees to Cooperatives</t>
  </si>
  <si>
    <t xml:space="preserve">Fee per tree</t>
  </si>
  <si>
    <t xml:space="preserve">Cost per tree</t>
  </si>
  <si>
    <t xml:space="preserve">Plantation Cost</t>
  </si>
  <si>
    <t xml:space="preserve">Plantation &amp; Transportation Cost</t>
  </si>
  <si>
    <t xml:space="preserve">Trees to be Planted</t>
  </si>
  <si>
    <t xml:space="preserve">Plantation and Transport</t>
  </si>
  <si>
    <t xml:space="preserve">Trees Planted</t>
  </si>
  <si>
    <t xml:space="preserve">Tree loss</t>
  </si>
  <si>
    <t xml:space="preserve">Trees on the ground</t>
  </si>
  <si>
    <t xml:space="preserve">Total trees on the ground</t>
  </si>
  <si>
    <t xml:space="preserve"># of trees to be Maintained</t>
  </si>
  <si>
    <t xml:space="preserve">Maintenance Cost</t>
  </si>
  <si>
    <t xml:space="preserve">Annual salary</t>
  </si>
  <si>
    <t xml:space="preserve">CAGR</t>
  </si>
  <si>
    <t xml:space="preserve">headcount</t>
  </si>
  <si>
    <t xml:space="preserve">Production Services</t>
  </si>
  <si>
    <t xml:space="preserve">Harvesting Services</t>
  </si>
  <si>
    <t xml:space="preserve">Office space</t>
  </si>
  <si>
    <t xml:space="preserve">Office rental rate (annual)</t>
  </si>
  <si>
    <t xml:space="preserve">Annual office rent</t>
  </si>
  <si>
    <t xml:space="preserve">Office Equipment</t>
  </si>
  <si>
    <t xml:space="preserve">Cost per staff</t>
  </si>
  <si>
    <t xml:space="preserve">Annual cost</t>
  </si>
  <si>
    <t xml:space="preserve">ARR Cost Summary</t>
  </si>
  <si>
    <t xml:space="preserve">Nursery - CAPEX</t>
  </si>
  <si>
    <t xml:space="preserve">Nursery - OPEX</t>
  </si>
  <si>
    <t xml:space="preserve">Maintenance cost</t>
  </si>
  <si>
    <t xml:space="preserve">Production &amp; Harvesting Service Fee</t>
  </si>
  <si>
    <t xml:space="preserve">Office Equipment &amp; Vehicles</t>
  </si>
  <si>
    <t xml:space="preserve">Total ARR Cost</t>
  </si>
  <si>
    <t xml:space="preserve">Productive Activities</t>
  </si>
  <si>
    <t xml:space="preserve">Processing Centers - CAPEX</t>
  </si>
  <si>
    <t xml:space="preserve"># of Processing Centers to be Built</t>
  </si>
  <si>
    <t xml:space="preserve">Multi- Function Centers</t>
  </si>
  <si>
    <t xml:space="preserve">Shea Collection Centers</t>
  </si>
  <si>
    <t xml:space="preserve">Shea Processing Centers</t>
  </si>
  <si>
    <t xml:space="preserve">Processing Center - CAPEX</t>
  </si>
  <si>
    <t xml:space="preserve">CAPEX per center</t>
  </si>
  <si>
    <t xml:space="preserve">Equipment</t>
  </si>
  <si>
    <t xml:space="preserve">Processing Centers - OPEX</t>
  </si>
  <si>
    <t xml:space="preserve">#</t>
  </si>
  <si>
    <t xml:space="preserve">OPEX</t>
  </si>
  <si>
    <t xml:space="preserve">External Maintenance Cost</t>
  </si>
  <si>
    <t xml:space="preserve">Overhead - Productive Activities</t>
  </si>
  <si>
    <t xml:space="preserve">Starting cost</t>
  </si>
  <si>
    <t xml:space="preserve">Cost per center</t>
  </si>
  <si>
    <t xml:space="preserve">Productive Activities' Cost Summary</t>
  </si>
  <si>
    <t xml:space="preserve">Processing Centers - Spare parts</t>
  </si>
  <si>
    <t xml:space="preserve">CAPEX Summary - Processing Plants</t>
  </si>
  <si>
    <t xml:space="preserve">Equipment </t>
  </si>
  <si>
    <t xml:space="preserve">Total CAPEX for Processing Plants</t>
  </si>
  <si>
    <t xml:space="preserve">Profit &amp; Loss Statement</t>
  </si>
  <si>
    <t xml:space="preserve">Revenue - ARR (VCUs)</t>
  </si>
  <si>
    <t xml:space="preserve">Accrued</t>
  </si>
  <si>
    <t xml:space="preserve">Revenue - Productive Activities</t>
  </si>
  <si>
    <t xml:space="preserve">Y-o-Y growth</t>
  </si>
  <si>
    <t xml:space="preserve">Operating Expenses</t>
  </si>
  <si>
    <t xml:space="preserve">Amortized</t>
  </si>
  <si>
    <t xml:space="preserve">ARR Activities</t>
  </si>
  <si>
    <t xml:space="preserve">EBITDA</t>
  </si>
  <si>
    <t xml:space="preserve">EBITDA margin</t>
  </si>
  <si>
    <t xml:space="preserve">Depreciation &amp; Amortization</t>
  </si>
  <si>
    <t xml:space="preserve">EBIT</t>
  </si>
  <si>
    <t xml:space="preserve">EBIT margin</t>
  </si>
  <si>
    <t xml:space="preserve">Interest expenses</t>
  </si>
  <si>
    <t xml:space="preserve">EBT</t>
  </si>
  <si>
    <t xml:space="preserve">EBT margin</t>
  </si>
  <si>
    <t xml:space="preserve">Retained earnings (b/f)</t>
  </si>
  <si>
    <t xml:space="preserve">(+) Profit for the year</t>
  </si>
  <si>
    <t xml:space="preserve">(-) Dividends</t>
  </si>
  <si>
    <t xml:space="preserve">Retained earnings (c/f)</t>
  </si>
  <si>
    <t xml:space="preserve">P&amp;L Build</t>
  </si>
  <si>
    <t xml:space="preserve">Revenue adjustment due to the price change</t>
  </si>
  <si>
    <t xml:space="preserve">Cash revenue - ARR</t>
  </si>
  <si>
    <t xml:space="preserve">Applicable price - ARR</t>
  </si>
  <si>
    <t xml:space="preserve">Issued VCU - ARR</t>
  </si>
  <si>
    <t xml:space="preserve">Revenue to be recognized in P&amp;L</t>
  </si>
  <si>
    <t xml:space="preserve">Cumulative accrued/unearned revenue</t>
  </si>
  <si>
    <t xml:space="preserve">Cumulative cash revenue</t>
  </si>
  <si>
    <t xml:space="preserve">Adjustment</t>
  </si>
  <si>
    <t xml:space="preserve">Carbon Technical Development and Monitoring Expense Amortization</t>
  </si>
  <si>
    <t xml:space="preserve">Project Development Costs VCS</t>
  </si>
  <si>
    <t xml:space="preserve">Cash Flow Statement</t>
  </si>
  <si>
    <t xml:space="preserve">Cash Flow from Operating Activities</t>
  </si>
  <si>
    <t xml:space="preserve">Revenues - VCUs</t>
  </si>
  <si>
    <t xml:space="preserve">Revenues - Productive Activities</t>
  </si>
  <si>
    <t xml:space="preserve">(-) Carbon Technical Development and Monitoring Expenses</t>
  </si>
  <si>
    <t xml:space="preserve">(-) Operating Expenses</t>
  </si>
  <si>
    <t xml:space="preserve">(-) Increase in Net Working Capital</t>
  </si>
  <si>
    <t xml:space="preserve">Net cash flow from Operating Activities</t>
  </si>
  <si>
    <t xml:space="preserve">Cash Flow from Investing Activities</t>
  </si>
  <si>
    <t xml:space="preserve">(-) Capital Expenditure</t>
  </si>
  <si>
    <t xml:space="preserve">Net cash flow from Investing Activities</t>
  </si>
  <si>
    <t xml:space="preserve">Cash Flow from Financing Activities</t>
  </si>
  <si>
    <t xml:space="preserve">Equity Injection</t>
  </si>
  <si>
    <t xml:space="preserve">(-) Dividend</t>
  </si>
  <si>
    <t xml:space="preserve">Loan proceeds</t>
  </si>
  <si>
    <t xml:space="preserve">(-) Loan repayments</t>
  </si>
  <si>
    <t xml:space="preserve">(-) Interest payments</t>
  </si>
  <si>
    <t xml:space="preserve">Net cash flow from Financing Activities</t>
  </si>
  <si>
    <t xml:space="preserve">Net cash flow for the period</t>
  </si>
  <si>
    <t xml:space="preserve">Beginning cash balance</t>
  </si>
  <si>
    <t xml:space="preserve">Ending cash balance</t>
  </si>
  <si>
    <t xml:space="preserve">Balance check</t>
  </si>
  <si>
    <t xml:space="preserve">Cash vs. NPV check</t>
  </si>
  <si>
    <t xml:space="preserve">Balance Sheet</t>
  </si>
  <si>
    <t xml:space="preserve">Current assets</t>
  </si>
  <si>
    <t xml:space="preserve">Cash and cash equivalents</t>
  </si>
  <si>
    <t xml:space="preserve">Receivables</t>
  </si>
  <si>
    <t xml:space="preserve">Inventory</t>
  </si>
  <si>
    <t xml:space="preserve">Accrued income</t>
  </si>
  <si>
    <t xml:space="preserve">Prepayments</t>
  </si>
  <si>
    <t xml:space="preserve">Total current assets</t>
  </si>
  <si>
    <t xml:space="preserve">Non-current assets</t>
  </si>
  <si>
    <t xml:space="preserve">Long-term prepayments</t>
  </si>
  <si>
    <t xml:space="preserve">Total non-current assets</t>
  </si>
  <si>
    <t xml:space="preserve">Total assets</t>
  </si>
  <si>
    <t xml:space="preserve">Current liabilities</t>
  </si>
  <si>
    <t xml:space="preserve">Payables</t>
  </si>
  <si>
    <t xml:space="preserve">Short-term loan</t>
  </si>
  <si>
    <t xml:space="preserve">Unearned revenue</t>
  </si>
  <si>
    <t xml:space="preserve">Total current liabilities</t>
  </si>
  <si>
    <t xml:space="preserve">Non-current liabilities</t>
  </si>
  <si>
    <t xml:space="preserve">Long-term loan</t>
  </si>
  <si>
    <t xml:space="preserve">Total non-current liabilities</t>
  </si>
  <si>
    <t xml:space="preserve">Equity</t>
  </si>
  <si>
    <t xml:space="preserve">Share capital</t>
  </si>
  <si>
    <t xml:space="preserve">Retained earnings</t>
  </si>
  <si>
    <t xml:space="preserve">Total equity</t>
  </si>
  <si>
    <t xml:space="preserve">Total liabilities &amp; Equity</t>
  </si>
  <si>
    <t xml:space="preserve">Check</t>
  </si>
  <si>
    <t xml:space="preserve">Working Capital Calculation</t>
  </si>
  <si>
    <t xml:space="preserve">Processing fees</t>
  </si>
  <si>
    <t xml:space="preserve">Procurement for nurseries</t>
  </si>
  <si>
    <t xml:space="preserve">Min Days</t>
  </si>
  <si>
    <t xml:space="preserve">Max Days</t>
  </si>
  <si>
    <t xml:space="preserve">Total Receivables</t>
  </si>
  <si>
    <t xml:space="preserve">Spare parts</t>
  </si>
  <si>
    <t xml:space="preserve">Total Inventory</t>
  </si>
  <si>
    <t xml:space="preserve">Payables for Nursery costs</t>
  </si>
  <si>
    <t xml:space="preserve">Other payables</t>
  </si>
  <si>
    <t xml:space="preserve">Ending balance</t>
  </si>
  <si>
    <t xml:space="preserve">Working Capital Required</t>
  </si>
  <si>
    <t xml:space="preserve">Net Working Capital Changes</t>
  </si>
  <si>
    <t xml:space="preserve">Working Capital Days to Sales</t>
  </si>
  <si>
    <t xml:space="preserve">Accrued income Or Unearned Revenue</t>
  </si>
  <si>
    <t xml:space="preserve">Beginning balance</t>
  </si>
  <si>
    <t xml:space="preserve">(+) Recognized in P&amp;L</t>
  </si>
  <si>
    <t xml:space="preserve">(-) Realized in cash</t>
  </si>
  <si>
    <t xml:space="preserve">Accrued Carbon Income</t>
  </si>
  <si>
    <t xml:space="preserve">Unearned Carbon Revenue</t>
  </si>
  <si>
    <t xml:space="preserve">(+) Prepaid expense</t>
  </si>
  <si>
    <t xml:space="preserve">(-) Expensed to P&amp;L</t>
  </si>
  <si>
    <t xml:space="preserve">Current portion</t>
  </si>
  <si>
    <t xml:space="preserve">Non-current portion</t>
  </si>
  <si>
    <t xml:space="preserve">Loan Schedules</t>
  </si>
  <si>
    <t xml:space="preserve">Int. </t>
  </si>
  <si>
    <t xml:space="preserve">Rate</t>
  </si>
  <si>
    <t xml:space="preserve">Loan #1 - DFC/BADFA</t>
  </si>
  <si>
    <t xml:space="preserve">(+) Additions</t>
  </si>
  <si>
    <t xml:space="preserve">(-) Prepayments</t>
  </si>
  <si>
    <t xml:space="preserve">Interest expense</t>
  </si>
  <si>
    <t xml:space="preserve">Loan #2 - DFC/BADFA</t>
  </si>
  <si>
    <t xml:space="preserve">Loan #3 - Commercial Bank</t>
  </si>
  <si>
    <t xml:space="preserve">Total Loan</t>
  </si>
  <si>
    <t xml:space="preserve">Current portion of the loan</t>
  </si>
  <si>
    <t xml:space="preserve">Non-current portion of the loan</t>
  </si>
  <si>
    <t xml:space="preserve">Depreciation &amp; Asset Summary</t>
  </si>
  <si>
    <t xml:space="preserve">Useful lives</t>
  </si>
  <si>
    <t xml:space="preserve">Offset</t>
  </si>
  <si>
    <t xml:space="preserve">Equipment CAPEX</t>
  </si>
  <si>
    <t xml:space="preserve">Nursery - Land</t>
  </si>
  <si>
    <t xml:space="preserve">n/a</t>
  </si>
  <si>
    <t xml:space="preserve">Nursery - Buildings</t>
  </si>
  <si>
    <t xml:space="preserve">Nursery - Vehicles</t>
  </si>
  <si>
    <t xml:space="preserve">Nursery - Irrigation</t>
  </si>
  <si>
    <t xml:space="preserve">Plantation - Vehicles</t>
  </si>
  <si>
    <t xml:space="preserve">Plantation - Office Equipment</t>
  </si>
  <si>
    <t xml:space="preserve">Processing Plants - Land</t>
  </si>
  <si>
    <t xml:space="preserve">Processing Plants - Building</t>
  </si>
  <si>
    <t xml:space="preserve">Processing Plants - Equipment</t>
  </si>
  <si>
    <t xml:space="preserve">Processing Plants - Vehicles</t>
  </si>
  <si>
    <t xml:space="preserve">Productive Activities OH - Office Equipment</t>
  </si>
  <si>
    <t xml:space="preserve">Productive Activities OH - Vehicles</t>
  </si>
  <si>
    <t xml:space="preserve">Depreciation Schedule</t>
  </si>
  <si>
    <t xml:space="preserve">Opening balance</t>
  </si>
  <si>
    <t xml:space="preserve">Additions </t>
  </si>
  <si>
    <t xml:space="preserve">(-) Depreciation</t>
  </si>
  <si>
    <t xml:space="preserve">Closing balance</t>
  </si>
  <si>
    <t xml:space="preserve">Depreciation</t>
  </si>
  <si>
    <t xml:space="preserve">Net Book Value</t>
  </si>
  <si>
    <t xml:space="preserve">Buildings &amp; Infrastructure</t>
  </si>
  <si>
    <t xml:space="preserve">Asset Summary</t>
  </si>
  <si>
    <t xml:space="preserve">WACC Calculations</t>
  </si>
  <si>
    <t xml:space="preserve">Model assumption</t>
  </si>
  <si>
    <t xml:space="preserve">Project Funding</t>
  </si>
  <si>
    <t xml:space="preserve">Equity </t>
  </si>
  <si>
    <t xml:space="preserve">Debt</t>
  </si>
  <si>
    <t xml:space="preserve">Cost of Equity</t>
  </si>
  <si>
    <t xml:space="preserve">Links</t>
  </si>
  <si>
    <t xml:space="preserve">Risk Free Rate </t>
  </si>
  <si>
    <t xml:space="preserve">30-year Treasury Yield in Euro area as of Apr 25, 2023</t>
  </si>
  <si>
    <t xml:space="preserve">https://sdw.ecb.europa.eu/quickview.do?SERIES_KEY=165.YC.B.U2.EUR.4F.G_N_A.SV_C_YM.SR_30Y</t>
  </si>
  <si>
    <t xml:space="preserve">Debt / (Debt + Equity)</t>
  </si>
  <si>
    <t xml:space="preserve">Corporate Tax Rate</t>
  </si>
  <si>
    <t xml:space="preserve">https://taxsummaries.pwc.com/senegal</t>
  </si>
  <si>
    <t xml:space="preserve">Industry Unlevered Beta </t>
  </si>
  <si>
    <t xml:space="preserve">Green &amp; Renewable Energy industry unlevered beta as of Jan 2023</t>
  </si>
  <si>
    <t xml:space="preserve">https://pages.stern.nyu.edu/~adamodar/New_Home_Page/datafile/Betas.html </t>
  </si>
  <si>
    <t xml:space="preserve">Levered Beta</t>
  </si>
  <si>
    <t xml:space="preserve">US Equity Market Risk Premium</t>
  </si>
  <si>
    <t xml:space="preserve">Euro-zone Equity Risk Premium as of Oct 2022</t>
  </si>
  <si>
    <t xml:space="preserve">https://www.kroll.com/en/insights/publications/cost-of-capital/recommended-eurozone-equity-risk-premium-corresponding-risk-free-rates </t>
  </si>
  <si>
    <t xml:space="preserve">Country Risk Premium</t>
  </si>
  <si>
    <t xml:space="preserve">Senegal Risk Premium as of Jan 2023</t>
  </si>
  <si>
    <t xml:space="preserve">https://pages.stern.nyu.edu/~adamodar/New_Home_Page/datafile/ctryprem.html</t>
  </si>
  <si>
    <t xml:space="preserve">Carbon Asset Class Risk Premium </t>
  </si>
  <si>
    <t xml:space="preserve">Asset Specific Risk Premium </t>
  </si>
  <si>
    <t xml:space="preserve">Market Risk Premium </t>
  </si>
  <si>
    <t xml:space="preserve">Cost of Debt</t>
  </si>
  <si>
    <t xml:space="preserve">Weight</t>
  </si>
  <si>
    <t xml:space="preserve">Loan 1 - DFC/BADFA</t>
  </si>
  <si>
    <t xml:space="preserve">Loan 2 - DFC/BADFA</t>
  </si>
  <si>
    <t xml:space="preserve">Loan 3 - Commercial</t>
  </si>
  <si>
    <t xml:space="preserve">Cost of Debt (pre-tax)</t>
  </si>
  <si>
    <t xml:space="preserve">Cost of Debt (post-tax)</t>
  </si>
  <si>
    <t xml:space="preserve">WACC (pre-tax)</t>
  </si>
  <si>
    <t xml:space="preserve">WACC (post-tax)</t>
  </si>
  <si>
    <t xml:space="preserve">Implied Real WACC (pre-tax)</t>
  </si>
  <si>
    <t xml:space="preserve">Inflation</t>
  </si>
  <si>
    <t xml:space="preserve">Based on the last 10-year average inflation in EU</t>
  </si>
  <si>
    <t xml:space="preserve">The proponent's estimated discount rate</t>
  </si>
  <si>
    <t xml:space="preserve">Formulas</t>
  </si>
  <si>
    <t xml:space="preserve">WACC (nominal, post-tax)</t>
  </si>
  <si>
    <t xml:space="preserve">Re (E/A) + Rd (D/A) (1 - tc)</t>
  </si>
  <si>
    <t xml:space="preserve">WACC (nominal, pre-tax)</t>
  </si>
  <si>
    <t xml:space="preserve">WACC (nominal, post-tax) / (1 - tc)</t>
  </si>
  <si>
    <t xml:space="preserve">WACC (real, pre-tax) </t>
  </si>
  <si>
    <t xml:space="preserve">(1 + WACC (nominal, pre-tax)) / (1 + i) – 1</t>
  </si>
  <si>
    <t xml:space="preserve">CAPM </t>
  </si>
  <si>
    <t xml:space="preserve">Re = Rf + βe (Rm - Rf)</t>
  </si>
  <si>
    <t xml:space="preserve">Asset Levered Beta</t>
  </si>
  <si>
    <t xml:space="preserve">βa [1 + (1 - tc) (D / E)]</t>
  </si>
  <si>
    <t xml:space="preserve">Input from the Carbon Accounting Model</t>
  </si>
  <si>
    <t xml:space="preserve">LCS</t>
  </si>
  <si>
    <t xml:space="preserve">CCS</t>
  </si>
  <si>
    <t xml:space="preserve">MMP</t>
  </si>
  <si>
    <t xml:space="preserve">To the Financial Model: </t>
  </si>
  <si>
    <t xml:space="preserve">Crediting Volume</t>
  </si>
  <si>
    <t xml:space="preserve">Scenario 1</t>
  </si>
  <si>
    <t xml:space="preserve">Scenario 2</t>
  </si>
  <si>
    <t xml:space="preserve">Scenario 3</t>
  </si>
  <si>
    <t xml:space="preserve">Papsen New x4</t>
  </si>
  <si>
    <r>
      <rPr>
        <b val="true"/>
        <sz val="11"/>
        <color rgb="FF628F5F"/>
        <rFont val="Apercu Pro Light"/>
        <family val="0"/>
        <charset val="1"/>
      </rPr>
      <t xml:space="preserve">Table </t>
    </r>
    <r>
      <rPr>
        <b val="true"/>
        <sz val="11"/>
        <color rgb="FF7E7979"/>
        <rFont val="Apercu Pro Light"/>
        <family val="0"/>
        <charset val="1"/>
      </rPr>
      <t xml:space="preserve">41</t>
    </r>
    <r>
      <rPr>
        <b val="true"/>
        <sz val="11"/>
        <color rgb="FF628F5F"/>
        <rFont val="Apercu Pro Light"/>
        <family val="0"/>
        <charset val="1"/>
      </rPr>
      <t xml:space="preserve">: Annual Crediting by Project Site INITIAL </t>
    </r>
  </si>
  <si>
    <r>
      <rPr>
        <b val="true"/>
        <sz val="11"/>
        <color rgb="FF628F5F"/>
        <rFont val="Apercu Pro Light"/>
        <family val="0"/>
        <charset val="1"/>
      </rPr>
      <t xml:space="preserve">Table </t>
    </r>
    <r>
      <rPr>
        <b val="true"/>
        <sz val="11"/>
        <color rgb="FF7E7979"/>
        <rFont val="Apercu Pro Light"/>
        <family val="0"/>
        <charset val="1"/>
      </rPr>
      <t xml:space="preserve">41</t>
    </r>
    <r>
      <rPr>
        <b val="true"/>
        <sz val="11"/>
        <color rgb="FF628F5F"/>
        <rFont val="Apercu Pro Light"/>
        <family val="0"/>
        <charset val="1"/>
      </rPr>
      <t xml:space="preserve">: Annual Crediting by Project Site NEW X4</t>
    </r>
  </si>
  <si>
    <t xml:space="preserve">HCS</t>
  </si>
  <si>
    <t xml:space="preserve">PAPSEN</t>
  </si>
  <si>
    <t xml:space="preserve">Inflation rate</t>
  </si>
  <si>
    <t xml:space="preserve">Exchange rate</t>
  </si>
  <si>
    <t xml:space="preserve">European Union </t>
  </si>
  <si>
    <t xml:space="preserve">Closing Rate</t>
  </si>
  <si>
    <t xml:space="preserve">XOF/EUR rate</t>
  </si>
  <si>
    <t xml:space="preserve">Fluctuation</t>
  </si>
  <si>
    <t xml:space="preserve">USD/EUR rate</t>
  </si>
  <si>
    <t xml:space="preserve">Forecast</t>
  </si>
  <si>
    <t xml:space="preserve">5-year CAGR</t>
  </si>
  <si>
    <t xml:space="preserve">10-year CAGR</t>
  </si>
  <si>
    <t xml:space="preserve">https://www.imf.org/en/Countries/SEN</t>
  </si>
  <si>
    <t xml:space="preserve">https://www.exchangerates.org.uk/EUR-XOF-spot-exchange-rates-history-2022.html</t>
  </si>
  <si>
    <t xml:space="preserve">https://www.wsj.com/market-data/quotes/fx/EURUSD/historical-prices</t>
  </si>
  <si>
    <t xml:space="preserve">Last 5 years</t>
  </si>
  <si>
    <t xml:space="preserve">Last 10 years</t>
  </si>
  <si>
    <t xml:space="preserve">Next 5 year</t>
  </si>
  <si>
    <t xml:space="preserve">KEY FINANCIAL TERMINOLOGIES (used in the Report)</t>
  </si>
  <si>
    <t xml:space="preserve">Output</t>
  </si>
  <si>
    <t xml:space="preserve">Description</t>
  </si>
  <si>
    <t xml:space="preserve">Capital Requirement</t>
  </si>
  <si>
    <t xml:space="preserve">Capital requirement corresponds to the funds that will need to be raised from external parties to develop the project. </t>
  </si>
  <si>
    <t xml:space="preserve">The Net Present Value (NPV)</t>
  </si>
  <si>
    <t xml:space="preserve">Present value of all the cash inflows and outflows of the project calculated over the project lifetime (before-tax). </t>
  </si>
  <si>
    <t xml:space="preserve">The Internal Rate of Return (IRR)</t>
  </si>
  <si>
    <t xml:space="preserve">Financial return that the project is expected to generate annually over 30 years (before-tax). IRR is the discount rate that makes NPV equal to nil. </t>
  </si>
  <si>
    <t xml:space="preserve">Discounted Payback Period </t>
  </si>
  <si>
    <t xml:space="preserve">Discounted payback period gives the number of years the project takes to break even, but it reflects the time value of money and is calculated from the discounted cash flows.</t>
  </si>
  <si>
    <t xml:space="preserve">First X-Year Cash Flow</t>
  </si>
  <si>
    <t xml:space="preserve">This corresponds to the cumulative net cash flows generated by (or required for) the project in the first 5 and 10 years and over the project lifetime. When negative, the project incurs more costs than its revenue and external capital is required to fund the deficit. </t>
  </si>
  <si>
    <t xml:space="preserve">Real term vs. Nominal term </t>
  </si>
  <si>
    <t xml:space="preserve">Nominal term means cash flows are presented in actual prices that exist at the time. Real term means the cash flows are presented at today’s price. (i.e., Nominal value = Real value * inflation)</t>
  </si>
</sst>
</file>

<file path=xl/styles.xml><?xml version="1.0" encoding="utf-8"?>
<styleSheet xmlns="http://schemas.openxmlformats.org/spreadsheetml/2006/main">
  <numFmts count="29">
    <numFmt numFmtId="164" formatCode="General"/>
    <numFmt numFmtId="165" formatCode="_-* #,##0.00_-;\-* #,##0.00_-;_-* \-??_-;_-@_-"/>
    <numFmt numFmtId="166" formatCode="General"/>
    <numFmt numFmtId="167" formatCode="0"/>
    <numFmt numFmtId="168" formatCode="_(* #,##0_);_(* \(#,##0\);_(* \-??_);_(@_)"/>
    <numFmt numFmtId="169" formatCode="_(* #,##0_);_(* \(#,##0\);_(* \-_);_(@_)"/>
    <numFmt numFmtId="170" formatCode="d\-mmm\-yy"/>
    <numFmt numFmtId="171" formatCode="_-* #,##0_-;\-* #,##0_-;_-* \-_-;_-@_-"/>
    <numFmt numFmtId="172" formatCode="0%"/>
    <numFmt numFmtId="173" formatCode="0.0%"/>
    <numFmt numFmtId="174" formatCode="_(* #,##0.00_);_(* \(#,##0.00\);_(* \-??_);_(@_)"/>
    <numFmt numFmtId="175" formatCode="_([$€-2]\ * #,##0.0_);_([$€-2]\ * \(#,##0.0\);_([$€-2]\ * \-??_);_(@_)"/>
    <numFmt numFmtId="176" formatCode="_-* #,##0.00_-;\-* #,##0.00_-;_-* \-_-;_-@_-"/>
    <numFmt numFmtId="177" formatCode="_(* #,##0.0_);_(* \(#,##0.0\);_(* \-??_);_(@_)"/>
    <numFmt numFmtId="178" formatCode="_(\$* #,##0.00_);_(\$* \(#,##0.00\);_(\$* \-??_);_(@_)"/>
    <numFmt numFmtId="179" formatCode="_(\$* #,##0_);_(\$* \(#,##0\);_(\$* \-??_);_(@_)"/>
    <numFmt numFmtId="180" formatCode="_(\$* #,##0.0_);_(\$* \(#,##0.0\);_(\$* \-??_);_(@_)"/>
    <numFmt numFmtId="181" formatCode="[$-409]dd\-mmm\-yy;@"/>
    <numFmt numFmtId="182" formatCode="_(* #,##0.000_);_(* \(#,##0.000\);_(* \-??_);_(@_)"/>
    <numFmt numFmtId="183" formatCode="0.0000%"/>
    <numFmt numFmtId="184" formatCode="0.00%"/>
    <numFmt numFmtId="185" formatCode="#,##0_ ;[RED]\-#,##0\ "/>
    <numFmt numFmtId="186" formatCode="#,##0"/>
    <numFmt numFmtId="187" formatCode="_-* #,##0.0_-;\-* #,##0.0_-;_-* \-_-;_-@_-"/>
    <numFmt numFmtId="188" formatCode="0.00"/>
    <numFmt numFmtId="189" formatCode="@"/>
    <numFmt numFmtId="190" formatCode="_([$€-2]\ * #,##0_);_([$€-2]\ * \(#,##0\);_([$€-2]\ * \-??_);_(@_)"/>
    <numFmt numFmtId="191" formatCode="_(* #,##0.000_);_(* \(#,##0.000\);_(* \-_);_(@_)"/>
    <numFmt numFmtId="192" formatCode="m/d/yyyy"/>
  </numFmts>
  <fonts count="57">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20"/>
      <name val="Arial"/>
      <family val="2"/>
      <charset val="1"/>
    </font>
    <font>
      <sz val="11"/>
      <color rgb="FF000000"/>
      <name val="Calibri"/>
      <family val="2"/>
      <charset val="1"/>
    </font>
    <font>
      <b val="true"/>
      <sz val="24"/>
      <color theme="1"/>
      <name val="Calibri"/>
      <family val="2"/>
      <charset val="1"/>
    </font>
    <font>
      <sz val="11"/>
      <color rgb="FFFF0000"/>
      <name val="Calibri"/>
      <family val="2"/>
      <charset val="1"/>
    </font>
    <font>
      <b val="true"/>
      <sz val="14"/>
      <color theme="1"/>
      <name val="Calibri"/>
      <family val="2"/>
      <charset val="1"/>
    </font>
    <font>
      <b val="true"/>
      <sz val="11"/>
      <color theme="0"/>
      <name val="Calibri"/>
      <family val="2"/>
      <charset val="1"/>
    </font>
    <font>
      <sz val="11"/>
      <color theme="0"/>
      <name val="Calibri"/>
      <family val="2"/>
      <charset val="1"/>
    </font>
    <font>
      <b val="true"/>
      <sz val="11"/>
      <color theme="1"/>
      <name val="Calibri"/>
      <family val="2"/>
      <charset val="1"/>
    </font>
    <font>
      <sz val="11"/>
      <color rgb="FF0000FF"/>
      <name val="Calibri"/>
      <family val="2"/>
      <charset val="1"/>
    </font>
    <font>
      <sz val="11"/>
      <color rgb="FF7030A0"/>
      <name val="Calibri"/>
      <family val="2"/>
      <charset val="1"/>
    </font>
    <font>
      <b val="true"/>
      <u val="single"/>
      <sz val="11"/>
      <color theme="1"/>
      <name val="Calibri"/>
      <family val="0"/>
    </font>
    <font>
      <sz val="11"/>
      <color theme="1"/>
      <name val="Calibri"/>
      <family val="0"/>
    </font>
    <font>
      <i val="true"/>
      <sz val="11"/>
      <color theme="1"/>
      <name val="Calibri"/>
      <family val="0"/>
    </font>
    <font>
      <b val="true"/>
      <u val="single"/>
      <sz val="11"/>
      <color theme="1"/>
      <name val="Calibri"/>
      <family val="2"/>
      <charset val="1"/>
    </font>
    <font>
      <i val="true"/>
      <sz val="11"/>
      <color theme="1"/>
      <name val="Calibri"/>
      <family val="2"/>
      <charset val="1"/>
    </font>
    <font>
      <sz val="11"/>
      <color theme="2" tint="-0.25"/>
      <name val="Calibri"/>
      <family val="2"/>
      <charset val="1"/>
    </font>
    <font>
      <sz val="11"/>
      <name val="Calibri"/>
      <family val="2"/>
      <charset val="1"/>
    </font>
    <font>
      <u val="single"/>
      <sz val="11"/>
      <name val="Calibri"/>
      <family val="2"/>
      <charset val="1"/>
    </font>
    <font>
      <b val="true"/>
      <sz val="11"/>
      <name val="Calibri"/>
      <family val="2"/>
      <charset val="1"/>
    </font>
    <font>
      <b val="true"/>
      <i val="true"/>
      <sz val="11"/>
      <color theme="0"/>
      <name val="Calibri"/>
      <family val="2"/>
      <charset val="1"/>
    </font>
    <font>
      <b val="true"/>
      <i val="true"/>
      <sz val="11"/>
      <color theme="1"/>
      <name val="Calibri"/>
      <family val="2"/>
      <charset val="1"/>
    </font>
    <font>
      <b val="true"/>
      <sz val="11"/>
      <color rgb="FF0000FF"/>
      <name val="Calibri"/>
      <family val="2"/>
      <charset val="1"/>
    </font>
    <font>
      <i val="true"/>
      <sz val="11"/>
      <name val="Calibri"/>
      <family val="2"/>
      <charset val="1"/>
    </font>
    <font>
      <i val="true"/>
      <sz val="11"/>
      <color rgb="FF0000FF"/>
      <name val="Calibri"/>
      <family val="2"/>
      <charset val="1"/>
    </font>
    <font>
      <i val="true"/>
      <u val="single"/>
      <sz val="11"/>
      <color theme="1"/>
      <name val="Calibri"/>
      <family val="2"/>
      <charset val="1"/>
    </font>
    <font>
      <u val="single"/>
      <sz val="11"/>
      <color theme="10"/>
      <name val="Calibri"/>
      <family val="2"/>
      <charset val="1"/>
    </font>
    <font>
      <b val="true"/>
      <i val="true"/>
      <sz val="11"/>
      <name val="Calibri"/>
      <family val="2"/>
      <charset val="1"/>
    </font>
    <font>
      <u val="single"/>
      <sz val="11"/>
      <color theme="1"/>
      <name val="Calibri"/>
      <family val="2"/>
      <charset val="1"/>
    </font>
    <font>
      <sz val="10"/>
      <name val="Arial"/>
      <family val="2"/>
    </font>
    <font>
      <sz val="9"/>
      <color rgb="FF000000"/>
      <name val="Tahoma"/>
      <family val="2"/>
      <charset val="1"/>
    </font>
    <font>
      <sz val="11"/>
      <color theme="2"/>
      <name val="Calibri"/>
      <family val="2"/>
      <charset val="1"/>
    </font>
    <font>
      <b val="true"/>
      <sz val="11"/>
      <color theme="2" tint="-0.25"/>
      <name val="Calibri"/>
      <family val="2"/>
      <charset val="1"/>
    </font>
    <font>
      <sz val="11"/>
      <color rgb="FF0000CC"/>
      <name val="Calibri"/>
      <family val="2"/>
      <charset val="1"/>
    </font>
    <font>
      <i val="true"/>
      <sz val="11"/>
      <color rgb="FF7030A0"/>
      <name val="Calibri"/>
      <family val="2"/>
      <charset val="1"/>
    </font>
    <font>
      <b val="true"/>
      <sz val="12"/>
      <color theme="1"/>
      <name val="Calibri"/>
      <family val="2"/>
      <charset val="1"/>
    </font>
    <font>
      <i val="true"/>
      <sz val="11"/>
      <color theme="0"/>
      <name val="Calibri"/>
      <family val="2"/>
      <charset val="1"/>
    </font>
    <font>
      <b val="true"/>
      <sz val="11"/>
      <color rgb="FFC00000"/>
      <name val="Calibri"/>
      <family val="2"/>
      <charset val="1"/>
    </font>
    <font>
      <sz val="11"/>
      <color rgb="FFC00000"/>
      <name val="Calibri"/>
      <family val="2"/>
      <charset val="1"/>
    </font>
    <font>
      <i val="true"/>
      <sz val="9"/>
      <color theme="1"/>
      <name val="Calibri"/>
      <family val="2"/>
      <charset val="1"/>
    </font>
    <font>
      <i val="true"/>
      <sz val="9"/>
      <color rgb="FFFF0000"/>
      <name val="Calibri"/>
      <family val="2"/>
      <charset val="1"/>
    </font>
    <font>
      <i val="true"/>
      <sz val="11"/>
      <color rgb="FFFF0000"/>
      <name val="Calibri"/>
      <family val="2"/>
      <charset val="1"/>
    </font>
    <font>
      <i val="true"/>
      <sz val="9"/>
      <color rgb="FFC00000"/>
      <name val="Calibri"/>
      <family val="2"/>
      <charset val="1"/>
    </font>
    <font>
      <i val="true"/>
      <sz val="11"/>
      <color theme="2" tint="-0.25"/>
      <name val="Calibri"/>
      <family val="2"/>
      <charset val="1"/>
    </font>
    <font>
      <i val="true"/>
      <sz val="11"/>
      <color theme="8"/>
      <name val="Calibri"/>
      <family val="2"/>
      <charset val="1"/>
    </font>
    <font>
      <b val="true"/>
      <i val="true"/>
      <u val="single"/>
      <sz val="11"/>
      <color theme="1"/>
      <name val="Calibri"/>
      <family val="2"/>
      <charset val="1"/>
    </font>
    <font>
      <b val="true"/>
      <sz val="11"/>
      <color rgb="FF628F5F"/>
      <name val="Apercu Pro Light"/>
      <family val="0"/>
      <charset val="1"/>
    </font>
    <font>
      <b val="true"/>
      <sz val="11"/>
      <color rgb="FF7E7979"/>
      <name val="Apercu Pro Light"/>
      <family val="0"/>
      <charset val="1"/>
    </font>
    <font>
      <b val="true"/>
      <sz val="11"/>
      <color rgb="FFFFFFFF"/>
      <name val="Apercu Pro Light"/>
      <family val="0"/>
      <charset val="1"/>
    </font>
    <font>
      <sz val="11"/>
      <color rgb="FF000000"/>
      <name val="Apercu Pro Light"/>
      <family val="0"/>
      <charset val="1"/>
    </font>
    <font>
      <b val="true"/>
      <sz val="11"/>
      <color rgb="FF000000"/>
      <name val="Apercu Pro Light"/>
      <family val="0"/>
      <charset val="1"/>
    </font>
    <font>
      <b val="true"/>
      <sz val="11"/>
      <color rgb="FFFFFFFF"/>
      <name val="Calibri"/>
      <family val="2"/>
      <charset val="1"/>
    </font>
    <font>
      <b val="true"/>
      <sz val="11"/>
      <color rgb="FF000000"/>
      <name val="Calibri"/>
      <family val="2"/>
      <charset val="1"/>
    </font>
  </fonts>
  <fills count="18">
    <fill>
      <patternFill patternType="none"/>
    </fill>
    <fill>
      <patternFill patternType="gray125"/>
    </fill>
    <fill>
      <patternFill patternType="solid">
        <fgColor theme="0"/>
        <bgColor rgb="FFF2F2F2"/>
      </patternFill>
    </fill>
    <fill>
      <patternFill patternType="solid">
        <fgColor theme="9" tint="-0.5"/>
        <bgColor rgb="FF333300"/>
      </patternFill>
    </fill>
    <fill>
      <patternFill patternType="solid">
        <fgColor theme="5" tint="0.7999"/>
        <bgColor rgb="FFE7E6E6"/>
      </patternFill>
    </fill>
    <fill>
      <patternFill patternType="solid">
        <fgColor theme="9" tint="0.7999"/>
        <bgColor rgb="FFE8EFE7"/>
      </patternFill>
    </fill>
    <fill>
      <patternFill patternType="solid">
        <fgColor theme="2" tint="-0.1"/>
        <bgColor rgb="FFBAD1C7"/>
      </patternFill>
    </fill>
    <fill>
      <patternFill patternType="solid">
        <fgColor theme="0" tint="-0.05"/>
        <bgColor rgb="FFE8EFE7"/>
      </patternFill>
    </fill>
    <fill>
      <patternFill patternType="solid">
        <fgColor theme="9" tint="-0.25"/>
        <bgColor rgb="FF628F5F"/>
      </patternFill>
    </fill>
    <fill>
      <patternFill patternType="solid">
        <fgColor theme="9" tint="0.3999"/>
        <bgColor rgb="FFBAD1C7"/>
      </patternFill>
    </fill>
    <fill>
      <patternFill patternType="solid">
        <fgColor theme="2"/>
        <bgColor rgb="FFDCE8E3"/>
      </patternFill>
    </fill>
    <fill>
      <patternFill patternType="solid">
        <fgColor theme="3" tint="0.7999"/>
        <bgColor rgb="FFDCE8E3"/>
      </patternFill>
    </fill>
    <fill>
      <patternFill patternType="solid">
        <fgColor theme="9" tint="0.5999"/>
        <bgColor rgb="FFBAD1C7"/>
      </patternFill>
    </fill>
    <fill>
      <patternFill patternType="solid">
        <fgColor rgb="FF5A8773"/>
        <bgColor rgb="FF628F5F"/>
      </patternFill>
    </fill>
    <fill>
      <patternFill patternType="solid">
        <fgColor rgb="FFBAD1C7"/>
        <bgColor rgb="FFD0CECE"/>
      </patternFill>
    </fill>
    <fill>
      <patternFill patternType="solid">
        <fgColor rgb="FFDCE8E3"/>
        <bgColor rgb="FFE7E6E6"/>
      </patternFill>
    </fill>
    <fill>
      <patternFill patternType="solid">
        <fgColor rgb="FF8FB38C"/>
        <bgColor rgb="FFAFABAB"/>
      </patternFill>
    </fill>
    <fill>
      <patternFill patternType="solid">
        <fgColor rgb="FFE8EFE7"/>
        <bgColor rgb="FFE2F0D9"/>
      </patternFill>
    </fill>
  </fills>
  <borders count="31">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medium">
        <color rgb="FFFFFFFF"/>
      </left>
      <right style="medium">
        <color rgb="FFFFFFFF"/>
      </right>
      <top/>
      <bottom style="medium">
        <color rgb="FFFFFFFF"/>
      </bottom>
      <diagonal/>
    </border>
    <border diagonalUp="false" diagonalDown="false">
      <left/>
      <right style="medium">
        <color rgb="FFFFFFFF"/>
      </right>
      <top/>
      <bottom style="medium">
        <color rgb="FFFFFFFF"/>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8"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72" fontId="0" fillId="0" borderId="0" applyFont="true" applyBorder="false" applyAlignment="true" applyProtection="false">
      <alignment horizontal="general" vertical="bottom" textRotation="0" wrapText="false" indent="0" shrinkToFit="false"/>
    </xf>
    <xf numFmtId="164" fontId="3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top" textRotation="0" wrapText="false" indent="0" shrinkToFit="false"/>
      <protection locked="true" hidden="false"/>
    </xf>
  </cellStyleXfs>
  <cellXfs count="5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22"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4" fontId="0" fillId="2"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0" fillId="2" borderId="0" xfId="0" applyFont="true" applyBorder="false" applyAlignment="true" applyProtection="false">
      <alignment horizontal="left" vertical="bottom" textRotation="0" wrapText="false" indent="1" shrinkToFit="false"/>
      <protection locked="true" hidden="false"/>
    </xf>
    <xf numFmtId="167" fontId="0" fillId="2" borderId="0" xfId="0" applyFont="true" applyBorder="false" applyAlignment="true" applyProtection="false">
      <alignment horizontal="left"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right"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1" fontId="20" fillId="2" borderId="0" xfId="0" applyFont="true" applyBorder="false" applyAlignment="false" applyProtection="false">
      <alignment horizontal="general" vertical="bottom" textRotation="0" wrapText="false" indent="0" shrinkToFit="false"/>
      <protection locked="true" hidden="false"/>
    </xf>
    <xf numFmtId="170" fontId="13" fillId="4" borderId="1"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73" fontId="13" fillId="4" borderId="1" xfId="19" applyFont="true" applyBorder="true" applyAlignment="true" applyProtection="true">
      <alignment horizontal="right" vertical="center" textRotation="0" wrapText="false" indent="0" shrinkToFit="false"/>
      <protection locked="true" hidden="false"/>
    </xf>
    <xf numFmtId="164" fontId="21" fillId="0" borderId="2" xfId="0" applyFont="true" applyBorder="true" applyAlignment="true" applyProtection="false">
      <alignment horizontal="left" vertical="bottom"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73" fontId="13" fillId="4" borderId="1" xfId="19" applyFont="true" applyBorder="true" applyAlignment="true" applyProtection="true">
      <alignment horizontal="right" vertical="bottom" textRotation="0" wrapText="false" indent="0" shrinkToFit="false"/>
      <protection locked="true" hidden="false"/>
    </xf>
    <xf numFmtId="173" fontId="21" fillId="0" borderId="0" xfId="19" applyFont="true" applyBorder="true" applyAlignment="true" applyProtection="true">
      <alignment horizontal="general" vertical="bottom" textRotation="0" wrapText="false" indent="0" shrinkToFit="false"/>
      <protection locked="true" hidden="false"/>
    </xf>
    <xf numFmtId="174" fontId="13" fillId="4" borderId="1" xfId="15" applyFont="true" applyBorder="true" applyAlignment="true" applyProtection="true">
      <alignment horizontal="right"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left" vertical="bottom"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0" shrinkToFit="false"/>
      <protection locked="true" hidden="false"/>
    </xf>
    <xf numFmtId="175" fontId="13" fillId="4" borderId="1" xfId="0" applyFont="true" applyBorder="true" applyAlignment="true" applyProtection="false">
      <alignment horizontal="right" vertical="bottom" textRotation="0" wrapText="false" indent="0" shrinkToFit="false"/>
      <protection locked="true" hidden="false"/>
    </xf>
    <xf numFmtId="164" fontId="19" fillId="2" borderId="0" xfId="0" applyFont="true" applyBorder="false" applyAlignment="true" applyProtection="false">
      <alignment horizontal="right" vertical="bottom" textRotation="0" wrapText="false" indent="0" shrinkToFit="false"/>
      <protection locked="true" hidden="false"/>
    </xf>
    <xf numFmtId="168" fontId="19" fillId="0" borderId="0" xfId="15" applyFont="true" applyBorder="true" applyAlignment="true" applyProtection="true">
      <alignment horizontal="general" vertical="bottom" textRotation="0" wrapText="false" indent="0" shrinkToFit="false"/>
      <protection locked="true" hidden="false"/>
    </xf>
    <xf numFmtId="176" fontId="13" fillId="4" borderId="1" xfId="0" applyFont="true" applyBorder="true" applyAlignment="true" applyProtection="false">
      <alignment horizontal="left" vertical="bottom" textRotation="0" wrapText="false" indent="0" shrinkToFit="false"/>
      <protection locked="true" hidden="false"/>
    </xf>
    <xf numFmtId="164" fontId="21" fillId="2" borderId="0" xfId="0" applyFont="true" applyBorder="false" applyAlignment="true" applyProtection="false">
      <alignment horizontal="general" vertical="center" textRotation="0" wrapText="false" indent="0" shrinkToFit="false"/>
      <protection locked="true" hidden="false"/>
    </xf>
    <xf numFmtId="176" fontId="22" fillId="2" borderId="0" xfId="0" applyFont="true" applyBorder="false" applyAlignment="true" applyProtection="false">
      <alignment horizontal="right" vertical="bottom" textRotation="0" wrapText="false" indent="0" shrinkToFit="false"/>
      <protection locked="true" hidden="false"/>
    </xf>
    <xf numFmtId="171" fontId="21" fillId="2"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bottom" textRotation="0" wrapText="true" indent="0" shrinkToFit="false"/>
      <protection locked="true" hidden="false"/>
    </xf>
    <xf numFmtId="164" fontId="10" fillId="3" borderId="0" xfId="0" applyFont="true" applyBorder="false" applyAlignment="true" applyProtection="false">
      <alignment horizontal="right" vertical="bottom" textRotation="0" wrapText="false" indent="0" shrinkToFit="false"/>
      <protection locked="true" hidden="false"/>
    </xf>
    <xf numFmtId="168" fontId="0" fillId="0" borderId="0" xfId="15"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2" borderId="3" xfId="0" applyFont="true" applyBorder="true" applyAlignment="true" applyProtection="false">
      <alignment horizontal="left" vertical="bottom" textRotation="0" wrapText="false" indent="0" shrinkToFit="false"/>
      <protection locked="true" hidden="false"/>
    </xf>
    <xf numFmtId="168" fontId="0" fillId="0" borderId="3" xfId="0" applyFont="false" applyBorder="true" applyAlignment="false" applyProtection="false">
      <alignment horizontal="general" vertical="bottom" textRotation="0" wrapText="false" indent="0" shrinkToFit="false"/>
      <protection locked="true" hidden="false"/>
    </xf>
    <xf numFmtId="168" fontId="0" fillId="0" borderId="3" xfId="15" applyFont="true" applyBorder="true" applyAlignment="true" applyProtection="tru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15" applyFont="true" applyBorder="true" applyAlignment="true" applyProtection="true">
      <alignment horizontal="general" vertical="bottom" textRotation="0" wrapText="false" indent="0" shrinkToFit="false"/>
      <protection locked="true" hidden="false"/>
    </xf>
    <xf numFmtId="169" fontId="0" fillId="0" borderId="3" xfId="0" applyFont="false" applyBorder="tru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4" fontId="23" fillId="2" borderId="0" xfId="24" applyFont="true" applyBorder="false" applyAlignment="true" applyProtection="false">
      <alignment horizontal="general" vertical="bottom" textRotation="0" wrapText="false" indent="0" shrinkToFit="false"/>
      <protection locked="true" hidden="false"/>
    </xf>
    <xf numFmtId="164" fontId="21" fillId="2" borderId="0" xfId="24" applyFont="true" applyBorder="false" applyAlignment="true" applyProtection="false">
      <alignment horizontal="left" vertical="bottom" textRotation="0" wrapText="false" indent="0" shrinkToFit="false"/>
      <protection locked="true" hidden="false"/>
    </xf>
    <xf numFmtId="164" fontId="0" fillId="2" borderId="3" xfId="0" applyFont="false" applyBorder="true" applyAlignment="true" applyProtection="false">
      <alignment horizontal="left" vertical="bottom" textRotation="0" wrapText="false" indent="1" shrinkToFit="false"/>
      <protection locked="true" hidden="false"/>
    </xf>
    <xf numFmtId="168" fontId="12" fillId="0" borderId="3" xfId="0" applyFont="true" applyBorder="true" applyAlignment="false" applyProtection="false">
      <alignment horizontal="general" vertical="bottom" textRotation="0" wrapText="false" indent="0" shrinkToFit="false"/>
      <protection locked="true" hidden="false"/>
    </xf>
    <xf numFmtId="164" fontId="12" fillId="2" borderId="4" xfId="0" applyFont="true" applyBorder="tru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21" fillId="5" borderId="5" xfId="24" applyFont="true" applyBorder="true" applyAlignment="true" applyProtection="false">
      <alignment horizontal="left" vertical="bottom" textRotation="0" wrapText="false" indent="0" shrinkToFit="false"/>
      <protection locked="true" hidden="false"/>
    </xf>
    <xf numFmtId="164" fontId="0" fillId="5" borderId="4" xfId="0" applyFont="false" applyBorder="true" applyAlignment="false" applyProtection="false">
      <alignment horizontal="general" vertical="bottom" textRotation="0" wrapText="false" indent="0" shrinkToFit="false"/>
      <protection locked="true" hidden="false"/>
    </xf>
    <xf numFmtId="168" fontId="0" fillId="5" borderId="6" xfId="15" applyFont="true" applyBorder="true" applyAlignment="true" applyProtection="true">
      <alignment horizontal="general" vertical="bottom" textRotation="0" wrapText="false" indent="0" shrinkToFit="false"/>
      <protection locked="true" hidden="false"/>
    </xf>
    <xf numFmtId="164" fontId="21" fillId="5" borderId="2" xfId="24" applyFont="true" applyBorder="true" applyAlignment="true" applyProtection="false">
      <alignment horizontal="left"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73" fontId="0" fillId="5" borderId="7" xfId="19" applyFont="true" applyBorder="true" applyAlignment="true" applyProtection="true">
      <alignment horizontal="general" vertical="bottom" textRotation="0" wrapText="false" indent="0" shrinkToFit="false"/>
      <protection locked="true" hidden="false"/>
    </xf>
    <xf numFmtId="177" fontId="0" fillId="5" borderId="7" xfId="15" applyFont="true" applyBorder="true" applyAlignment="true" applyProtection="true">
      <alignment horizontal="right" vertical="bottom" textRotation="0" wrapText="false" indent="0" shrinkToFit="false"/>
      <protection locked="true" hidden="false"/>
    </xf>
    <xf numFmtId="168" fontId="0" fillId="5" borderId="7" xfId="15" applyFont="true" applyBorder="true" applyAlignment="true" applyProtection="true">
      <alignment horizontal="right" vertical="bottom" textRotation="0" wrapText="false" indent="0" shrinkToFit="false"/>
      <protection locked="true" hidden="false"/>
    </xf>
    <xf numFmtId="164" fontId="0" fillId="5" borderId="2" xfId="0" applyFont="true" applyBorder="true" applyAlignment="false" applyProtection="false">
      <alignment horizontal="general" vertical="bottom" textRotation="0" wrapText="false" indent="0" shrinkToFit="false"/>
      <protection locked="true" hidden="false"/>
    </xf>
    <xf numFmtId="168" fontId="0" fillId="5" borderId="7" xfId="15" applyFont="true" applyBorder="true" applyAlignment="true" applyProtection="true">
      <alignment horizontal="general" vertical="bottom" textRotation="0" wrapText="false" indent="0" shrinkToFit="false"/>
      <protection locked="true" hidden="false"/>
    </xf>
    <xf numFmtId="164" fontId="0" fillId="5" borderId="8" xfId="0" applyFont="tru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8" fontId="0" fillId="5" borderId="9" xfId="15"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center"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7" borderId="0" xfId="0" applyFont="true" applyBorder="false" applyAlignment="true" applyProtection="false">
      <alignment horizontal="left" vertical="bottom" textRotation="0" wrapText="false" indent="0" shrinkToFit="false"/>
      <protection locked="true" hidden="false"/>
    </xf>
    <xf numFmtId="179" fontId="0" fillId="0" borderId="0" xfId="17" applyFont="true" applyBorder="true" applyAlignment="true" applyProtection="tru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21" fillId="7" borderId="0" xfId="0" applyFont="true" applyBorder="false" applyAlignment="true" applyProtection="false">
      <alignment horizontal="left" vertical="bottom" textRotation="0" wrapText="false" indent="0" shrinkToFit="false"/>
      <protection locked="true" hidden="false"/>
    </xf>
    <xf numFmtId="173" fontId="0" fillId="0" borderId="0" xfId="19" applyFont="true" applyBorder="true" applyAlignment="true" applyProtection="true">
      <alignment horizontal="general" vertical="bottom" textRotation="0" wrapText="false" indent="0" shrinkToFit="false"/>
      <protection locked="true" hidden="false"/>
    </xf>
    <xf numFmtId="172" fontId="0" fillId="0" borderId="0" xfId="15" applyFont="true" applyBorder="true" applyAlignment="true" applyProtection="true">
      <alignment horizontal="general" vertical="bottom" textRotation="0" wrapText="false" indent="0" shrinkToFit="false"/>
      <protection locked="true" hidden="false"/>
    </xf>
    <xf numFmtId="177" fontId="0" fillId="0" borderId="0" xfId="15" applyFont="tru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0" fillId="2" borderId="0" xfId="0" applyFont="false" applyBorder="false" applyAlignment="false" applyProtection="false">
      <alignment horizontal="general"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0" fillId="3" borderId="0" xfId="15" applyFont="true" applyBorder="true" applyAlignment="true" applyProtection="true">
      <alignment horizontal="right"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left" vertical="bottom" textRotation="0" wrapText="false" indent="1" shrinkToFit="false"/>
      <protection locked="true" hidden="false"/>
    </xf>
    <xf numFmtId="169" fontId="13" fillId="4" borderId="10" xfId="0" applyFont="true" applyBorder="tru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64" fontId="12" fillId="2" borderId="4" xfId="0" applyFont="true" applyBorder="true" applyAlignment="true" applyProtection="false">
      <alignment horizontal="left" vertical="bottom" textRotation="0" wrapText="false" indent="0" shrinkToFit="false"/>
      <protection locked="true" hidden="false"/>
    </xf>
    <xf numFmtId="164" fontId="25" fillId="2" borderId="4" xfId="0" applyFont="true" applyBorder="true" applyAlignment="false" applyProtection="false">
      <alignment horizontal="general" vertical="bottom" textRotation="0" wrapText="false" indent="0" shrinkToFit="false"/>
      <protection locked="true" hidden="false"/>
    </xf>
    <xf numFmtId="169" fontId="12" fillId="2" borderId="4" xfId="0" applyFont="true" applyBorder="true" applyAlignment="false" applyProtection="false">
      <alignment horizontal="general" vertical="bottom" textRotation="0" wrapText="false" indent="0" shrinkToFit="false"/>
      <protection locked="true" hidden="false"/>
    </xf>
    <xf numFmtId="169" fontId="12" fillId="2" borderId="0" xfId="0" applyFont="true" applyBorder="false" applyAlignment="false" applyProtection="false">
      <alignment horizontal="general" vertical="bottom" textRotation="0" wrapText="false" indent="0" shrinkToFit="false"/>
      <protection locked="true" hidden="false"/>
    </xf>
    <xf numFmtId="173" fontId="0" fillId="2" borderId="0" xfId="19"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3" shrinkToFit="false"/>
      <protection locked="true" hidden="false"/>
    </xf>
    <xf numFmtId="172" fontId="0" fillId="2" borderId="0" xfId="19" applyFont="true" applyBorder="true" applyAlignment="true" applyProtection="true">
      <alignment horizontal="general" vertical="bottom" textRotation="0" wrapText="false" indent="0" shrinkToFit="false"/>
      <protection locked="true" hidden="false"/>
    </xf>
    <xf numFmtId="169" fontId="0" fillId="2" borderId="0" xfId="19" applyFont="true" applyBorder="true" applyAlignment="true" applyProtection="tru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69" fontId="0" fillId="2" borderId="3" xfId="0" applyFont="false" applyBorder="true" applyAlignment="false" applyProtection="false">
      <alignment horizontal="general" vertical="bottom" textRotation="0" wrapText="false" indent="0" shrinkToFit="false"/>
      <protection locked="true" hidden="false"/>
    </xf>
    <xf numFmtId="172" fontId="12" fillId="2" borderId="4" xfId="0" applyFont="true" applyBorder="true" applyAlignment="false" applyProtection="false">
      <alignment horizontal="general" vertical="bottom" textRotation="0" wrapText="false" indent="0" shrinkToFit="false"/>
      <protection locked="true" hidden="false"/>
    </xf>
    <xf numFmtId="169" fontId="12" fillId="0" borderId="4" xfId="0" applyFont="true" applyBorder="true" applyAlignment="false" applyProtection="false">
      <alignment horizontal="general" vertical="bottom" textRotation="0" wrapText="false" indent="0" shrinkToFit="false"/>
      <protection locked="true" hidden="false"/>
    </xf>
    <xf numFmtId="164" fontId="19" fillId="2" borderId="3" xfId="0" applyFont="true" applyBorder="true" applyAlignment="false" applyProtection="false">
      <alignment horizontal="general" vertical="bottom" textRotation="0" wrapText="false" indent="0" shrinkToFit="false"/>
      <protection locked="true" hidden="false"/>
    </xf>
    <xf numFmtId="164" fontId="26" fillId="2" borderId="1"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24" fillId="8"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right" vertical="bottom" textRotation="0" wrapText="false" indent="0" shrinkToFit="false"/>
      <protection locked="true" hidden="false"/>
    </xf>
    <xf numFmtId="181" fontId="13" fillId="0" borderId="1" xfId="0" applyFont="true" applyBorder="true" applyAlignment="false" applyProtection="false">
      <alignment horizontal="general" vertical="bottom" textRotation="0" wrapText="false" indent="0" shrinkToFit="false"/>
      <protection locked="true" hidden="false"/>
    </xf>
    <xf numFmtId="181" fontId="14" fillId="2"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4" fontId="27" fillId="2" borderId="0" xfId="0" applyFont="true" applyBorder="false" applyAlignment="false" applyProtection="false">
      <alignment horizontal="general" vertical="bottom" textRotation="0" wrapText="false" indent="0" shrinkToFit="false"/>
      <protection locked="true" hidden="false"/>
    </xf>
    <xf numFmtId="181" fontId="21" fillId="2" borderId="0" xfId="0" applyFont="true" applyBorder="false" applyAlignment="false" applyProtection="false">
      <alignment horizontal="general" vertical="bottom" textRotation="0" wrapText="false" indent="0" shrinkToFit="false"/>
      <protection locked="true" hidden="false"/>
    </xf>
    <xf numFmtId="181" fontId="0" fillId="2" borderId="0" xfId="0" applyFont="false" applyBorder="false" applyAlignment="false" applyProtection="false">
      <alignment horizontal="general" vertical="bottom" textRotation="0" wrapText="false" indent="0" shrinkToFit="false"/>
      <protection locked="true" hidden="false"/>
    </xf>
    <xf numFmtId="168" fontId="0" fillId="2" borderId="0" xfId="15" applyFont="true" applyBorder="true" applyAlignment="true" applyProtection="true">
      <alignment horizontal="general" vertical="bottom" textRotation="0" wrapText="false" indent="0" shrinkToFit="false"/>
      <protection locked="true" hidden="false"/>
    </xf>
    <xf numFmtId="182" fontId="0" fillId="2" borderId="0" xfId="15" applyFont="true" applyBorder="true" applyAlignment="true" applyProtection="true">
      <alignment horizontal="general" vertical="bottom" textRotation="0" wrapText="false" indent="0" shrinkToFit="false"/>
      <protection locked="true" hidden="false"/>
    </xf>
    <xf numFmtId="164" fontId="21" fillId="2" borderId="3" xfId="24" applyFont="true" applyBorder="true" applyAlignment="true" applyProtection="false">
      <alignment horizontal="left"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23" fillId="2" borderId="0" xfId="24" applyFont="true" applyBorder="false" applyAlignment="true" applyProtection="false">
      <alignment horizontal="left" vertical="bottom" textRotation="0" wrapText="false" indent="0" shrinkToFit="false"/>
      <protection locked="true" hidden="false"/>
    </xf>
    <xf numFmtId="164" fontId="21" fillId="2" borderId="0" xfId="24" applyFont="true" applyBorder="false" applyAlignment="true" applyProtection="false">
      <alignment horizontal="left" vertical="bottom" textRotation="0" wrapText="false" indent="1" shrinkToFit="false"/>
      <protection locked="true" hidden="false"/>
    </xf>
    <xf numFmtId="183" fontId="0" fillId="2" borderId="0" xfId="19" applyFont="true" applyBorder="true" applyAlignment="true" applyProtection="true">
      <alignment horizontal="general" vertical="bottom" textRotation="0" wrapText="false" indent="0" shrinkToFit="false"/>
      <protection locked="true" hidden="false"/>
    </xf>
    <xf numFmtId="174" fontId="0" fillId="2" borderId="0" xfId="15" applyFont="true" applyBorder="true" applyAlignment="true" applyProtection="true">
      <alignment horizontal="general" vertical="bottom" textRotation="0" wrapText="false" indent="0" shrinkToFit="false"/>
      <protection locked="true" hidden="false"/>
    </xf>
    <xf numFmtId="164" fontId="19" fillId="5" borderId="4" xfId="0" applyFont="true" applyBorder="true" applyAlignment="false" applyProtection="false">
      <alignment horizontal="general" vertical="bottom" textRotation="0" wrapText="false" indent="0" shrinkToFit="false"/>
      <protection locked="true" hidden="false"/>
    </xf>
    <xf numFmtId="169" fontId="27" fillId="5" borderId="6" xfId="0" applyFont="true" applyBorder="true" applyAlignment="false" applyProtection="false">
      <alignment horizontal="general" vertical="bottom" textRotation="0" wrapText="false" indent="0" shrinkToFit="false"/>
      <protection locked="true" hidden="false"/>
    </xf>
    <xf numFmtId="164" fontId="27" fillId="5" borderId="0" xfId="0" applyFont="true" applyBorder="false" applyAlignment="false" applyProtection="false">
      <alignment horizontal="general" vertical="bottom" textRotation="0" wrapText="false" indent="0" shrinkToFit="false"/>
      <protection locked="true" hidden="false"/>
    </xf>
    <xf numFmtId="173" fontId="27" fillId="5" borderId="7" xfId="0" applyFont="true" applyBorder="true" applyAlignment="false" applyProtection="false">
      <alignment horizontal="general" vertical="bottom" textRotation="0" wrapText="false" indent="0" shrinkToFit="false"/>
      <protection locked="true" hidden="false"/>
    </xf>
    <xf numFmtId="177" fontId="27" fillId="5" borderId="7" xfId="15" applyFont="true" applyBorder="true" applyAlignment="true" applyProtection="true">
      <alignment horizontal="right" vertical="bottom" textRotation="0" wrapText="false" indent="0" shrinkToFit="false"/>
      <protection locked="true" hidden="false"/>
    </xf>
    <xf numFmtId="164" fontId="21" fillId="5" borderId="8" xfId="24" applyFont="true" applyBorder="true" applyAlignment="true" applyProtection="false">
      <alignment horizontal="left" vertical="bottom" textRotation="0" wrapText="false" indent="0" shrinkToFit="false"/>
      <protection locked="true" hidden="false"/>
    </xf>
    <xf numFmtId="164" fontId="27" fillId="5" borderId="3" xfId="0" applyFont="true" applyBorder="true" applyAlignment="false" applyProtection="false">
      <alignment horizontal="general" vertical="bottom" textRotation="0" wrapText="false" indent="0" shrinkToFit="false"/>
      <protection locked="true" hidden="false"/>
    </xf>
    <xf numFmtId="168" fontId="27" fillId="5" borderId="9" xfId="15" applyFont="true" applyBorder="true" applyAlignment="true" applyProtection="true">
      <alignment horizontal="right" vertical="bottom" textRotation="0" wrapText="false" indent="0" shrinkToFit="false"/>
      <protection locked="true" hidden="false"/>
    </xf>
    <xf numFmtId="168" fontId="12" fillId="2" borderId="0" xfId="15" applyFont="true" applyBorder="true" applyAlignment="true" applyProtection="true">
      <alignment horizontal="general"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73" fontId="0" fillId="2" borderId="0" xfId="0" applyFont="false" applyBorder="false" applyAlignment="false" applyProtection="false">
      <alignment horizontal="general"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72" fontId="21" fillId="2" borderId="0" xfId="0" applyFont="true" applyBorder="false" applyAlignment="false" applyProtection="false">
      <alignment horizontal="general" vertical="bottom" textRotation="0" wrapText="false" indent="0" shrinkToFit="false"/>
      <protection locked="true" hidden="false"/>
    </xf>
    <xf numFmtId="177" fontId="19" fillId="0" borderId="0" xfId="15" applyFont="true" applyBorder="true" applyAlignment="true" applyProtection="true">
      <alignment horizontal="general" vertical="bottom" textRotation="0" wrapText="false" indent="0" shrinkToFit="false"/>
      <protection locked="true" hidden="false"/>
    </xf>
    <xf numFmtId="177" fontId="24" fillId="3" borderId="0" xfId="15" applyFont="true" applyBorder="true" applyAlignment="true" applyProtection="true">
      <alignment horizontal="general" vertical="bottom" textRotation="0" wrapText="false" indent="0" shrinkToFit="false"/>
      <protection locked="true" hidden="false"/>
    </xf>
    <xf numFmtId="168" fontId="28" fillId="4" borderId="1" xfId="15" applyFont="true" applyBorder="true" applyAlignment="true" applyProtection="true">
      <alignment horizontal="general" vertical="bottom" textRotation="0" wrapText="false" indent="0" shrinkToFit="false"/>
      <protection locked="true" hidden="false"/>
    </xf>
    <xf numFmtId="173" fontId="13" fillId="4" borderId="1" xfId="0" applyFont="true" applyBorder="true" applyAlignment="false" applyProtection="false">
      <alignment horizontal="general" vertical="bottom" textRotation="0" wrapText="false" indent="0" shrinkToFit="false"/>
      <protection locked="true" hidden="false"/>
    </xf>
    <xf numFmtId="172" fontId="28" fillId="4" borderId="1" xfId="15" applyFont="true" applyBorder="true" applyAlignment="true" applyProtection="true">
      <alignment horizontal="general" vertical="bottom" textRotation="0" wrapText="false" indent="0" shrinkToFit="false"/>
      <protection locked="true" hidden="false"/>
    </xf>
    <xf numFmtId="172" fontId="19" fillId="0" borderId="0" xfId="15" applyFont="true" applyBorder="true" applyAlignment="true" applyProtection="true">
      <alignment horizontal="general" vertical="bottom" textRotation="0" wrapText="false" indent="0" shrinkToFit="false"/>
      <protection locked="true" hidden="false"/>
    </xf>
    <xf numFmtId="184" fontId="13" fillId="4" borderId="1" xfId="0" applyFont="true" applyBorder="true" applyAlignment="false" applyProtection="false">
      <alignment horizontal="general" vertical="bottom" textRotation="0" wrapText="false" indent="0" shrinkToFit="false"/>
      <protection locked="true" hidden="false"/>
    </xf>
    <xf numFmtId="164" fontId="23"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9" fillId="9" borderId="0" xfId="0" applyFont="true" applyBorder="false" applyAlignment="false" applyProtection="false">
      <alignment horizontal="general" vertical="bottom" textRotation="0" wrapText="false" indent="0" shrinkToFit="false"/>
      <protection locked="true" hidden="false"/>
    </xf>
    <xf numFmtId="177" fontId="19" fillId="9" borderId="0" xfId="15"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71" fontId="13" fillId="4" borderId="1" xfId="0" applyFont="true" applyBorder="true" applyAlignment="true" applyProtection="false">
      <alignment horizontal="general" vertical="center" textRotation="0" wrapText="false" indent="0" shrinkToFit="false"/>
      <protection locked="true" hidden="false"/>
    </xf>
    <xf numFmtId="179" fontId="21" fillId="4" borderId="1" xfId="17"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79" fontId="13" fillId="4" borderId="1" xfId="17"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79" fontId="21" fillId="0" borderId="1" xfId="0" applyFont="true" applyBorder="true" applyAlignment="false" applyProtection="false">
      <alignment horizontal="general" vertical="bottom" textRotation="0" wrapText="false" indent="0" shrinkToFit="false"/>
      <protection locked="true" hidden="false"/>
    </xf>
    <xf numFmtId="179" fontId="0" fillId="0" borderId="1" xfId="0" applyFont="false" applyBorder="true" applyAlignment="false" applyProtection="false">
      <alignment horizontal="general" vertical="bottom" textRotation="0" wrapText="false" indent="0" shrinkToFit="false"/>
      <protection locked="true" hidden="false"/>
    </xf>
    <xf numFmtId="179" fontId="0" fillId="0" borderId="1" xfId="17" applyFont="true" applyBorder="true" applyAlignment="true" applyProtection="true">
      <alignment horizontal="general" vertical="bottom" textRotation="0" wrapText="false" indent="0" shrinkToFit="false"/>
      <protection locked="true" hidden="false"/>
    </xf>
    <xf numFmtId="179" fontId="13"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30" fillId="0" borderId="0" xfId="20" applyFont="true" applyBorder="true" applyAlignment="true" applyProtection="true">
      <alignment horizontal="general" vertical="bottom" textRotation="0" wrapText="false" indent="0" shrinkToFit="false"/>
      <protection locked="true" hidden="false"/>
    </xf>
    <xf numFmtId="178" fontId="13" fillId="4" borderId="1" xfId="17" applyFont="true" applyBorder="true" applyAlignment="true" applyProtection="tru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4" fontId="24" fillId="9" borderId="0" xfId="0" applyFont="true" applyBorder="false" applyAlignment="false" applyProtection="false">
      <alignment horizontal="general" vertical="bottom" textRotation="0" wrapText="false" indent="0" shrinkToFit="false"/>
      <protection locked="true" hidden="false"/>
    </xf>
    <xf numFmtId="168" fontId="13" fillId="4" borderId="1" xfId="15" applyFont="true" applyBorder="true" applyAlignment="true" applyProtection="true">
      <alignment horizontal="general" vertical="bottom" textRotation="0" wrapText="false" indent="0" shrinkToFit="false"/>
      <protection locked="true" hidden="false"/>
    </xf>
    <xf numFmtId="168" fontId="25" fillId="0" borderId="1" xfId="0" applyFont="true" applyBorder="true" applyAlignment="false" applyProtection="false">
      <alignment horizontal="general" vertical="bottom" textRotation="0" wrapText="false" indent="0" shrinkToFit="false"/>
      <protection locked="true" hidden="false"/>
    </xf>
    <xf numFmtId="172" fontId="28" fillId="4" borderId="1" xfId="19" applyFont="true" applyBorder="true" applyAlignment="true" applyProtection="true">
      <alignment horizontal="general" vertical="bottom" textRotation="0" wrapText="false" indent="0" shrinkToFit="false"/>
      <protection locked="true" hidden="false"/>
    </xf>
    <xf numFmtId="164" fontId="23" fillId="10" borderId="0" xfId="0" applyFont="true" applyBorder="false" applyAlignment="false" applyProtection="false">
      <alignment horizontal="general" vertical="bottom" textRotation="0" wrapText="false" indent="0" shrinkToFit="false"/>
      <protection locked="true" hidden="false"/>
    </xf>
    <xf numFmtId="164" fontId="31" fillId="10" borderId="0" xfId="0" applyFont="true" applyBorder="false" applyAlignment="false" applyProtection="false">
      <alignment horizontal="general" vertical="bottom" textRotation="0" wrapText="false" indent="0" shrinkToFit="false"/>
      <protection locked="true" hidden="false"/>
    </xf>
    <xf numFmtId="164" fontId="24" fillId="1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8" fontId="0" fillId="0" borderId="1" xfId="15" applyFont="true" applyBorder="true" applyAlignment="true" applyProtection="true">
      <alignment horizontal="general" vertical="bottom" textRotation="0" wrapText="false" indent="0" shrinkToFit="false"/>
      <protection locked="true" hidden="false"/>
    </xf>
    <xf numFmtId="185" fontId="0" fillId="2" borderId="0" xfId="0" applyFont="true" applyBorder="false" applyAlignment="false" applyProtection="false">
      <alignment horizontal="general" vertical="bottom" textRotation="0" wrapText="false" indent="0" shrinkToFit="false"/>
      <protection locked="true" hidden="false"/>
    </xf>
    <xf numFmtId="164" fontId="28"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6" fontId="25" fillId="0" borderId="1" xfId="0" applyFont="true" applyBorder="true" applyAlignment="false" applyProtection="false">
      <alignment horizontal="general" vertical="bottom" textRotation="0" wrapText="false" indent="0" shrinkToFit="false"/>
      <protection locked="true" hidden="false"/>
    </xf>
    <xf numFmtId="172" fontId="13" fillId="4" borderId="1" xfId="17" applyFont="true" applyBorder="true" applyAlignment="true" applyProtection="true">
      <alignment horizontal="general" vertical="bottom" textRotation="0" wrapText="false" indent="0" shrinkToFit="false"/>
      <protection locked="true" hidden="false"/>
    </xf>
    <xf numFmtId="167" fontId="13" fillId="4" borderId="1" xfId="17" applyFont="true" applyBorder="true" applyAlignment="true" applyProtection="true">
      <alignment horizontal="general" vertical="bottom" textRotation="0" wrapText="false" indent="0" shrinkToFit="false"/>
      <protection locked="true" hidden="false"/>
    </xf>
    <xf numFmtId="168" fontId="23" fillId="0" borderId="0" xfId="15" applyFont="true" applyBorder="true" applyAlignment="true" applyProtection="true">
      <alignment horizontal="general" vertical="bottom" textRotation="0" wrapText="false" indent="0" shrinkToFit="false"/>
      <protection locked="true" hidden="false"/>
    </xf>
    <xf numFmtId="177" fontId="13" fillId="4" borderId="1" xfId="15" applyFont="true" applyBorder="true" applyAlignment="true" applyProtection="true">
      <alignment horizontal="general" vertical="bottom" textRotation="0" wrapText="false" indent="0" shrinkToFit="false"/>
      <protection locked="true" hidden="false"/>
    </xf>
    <xf numFmtId="177" fontId="21" fillId="4" borderId="1" xfId="15"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2" fontId="13" fillId="4" borderId="1" xfId="19" applyFont="true" applyBorder="true" applyAlignment="true" applyProtection="true">
      <alignment horizontal="general" vertical="bottom" textRotation="0" wrapText="false" indent="0" shrinkToFit="false"/>
      <protection locked="true" hidden="false"/>
    </xf>
    <xf numFmtId="179" fontId="19"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7" fontId="0" fillId="0" borderId="1" xfId="15" applyFont="true" applyBorder="true" applyAlignment="true" applyProtection="true">
      <alignment horizontal="general" vertical="bottom" textRotation="0" wrapText="false" indent="0" shrinkToFit="false"/>
      <protection locked="true" hidden="false"/>
    </xf>
    <xf numFmtId="168" fontId="0" fillId="4" borderId="1" xfId="15" applyFont="true" applyBorder="true" applyAlignment="true" applyProtection="true">
      <alignment horizontal="general" vertical="bottom" textRotation="0" wrapText="false" indent="0" shrinkToFit="false"/>
      <protection locked="true" hidden="false"/>
    </xf>
    <xf numFmtId="168" fontId="13" fillId="0" borderId="0" xfId="15" applyFont="true" applyBorder="true" applyAlignment="true" applyProtection="true">
      <alignment horizontal="general" vertical="bottom" textRotation="0" wrapText="false" indent="0" shrinkToFit="false"/>
      <protection locked="true" hidden="false"/>
    </xf>
    <xf numFmtId="172" fontId="28" fillId="4" borderId="1" xfId="0" applyFont="true" applyBorder="true" applyAlignment="false" applyProtection="false">
      <alignment horizontal="general" vertical="bottom" textRotation="0" wrapText="false" indent="0" shrinkToFit="false"/>
      <protection locked="true" hidden="false"/>
    </xf>
    <xf numFmtId="164" fontId="18" fillId="10" borderId="0" xfId="0" applyFont="true" applyBorder="false" applyAlignment="false" applyProtection="false">
      <alignment horizontal="general" vertical="bottom" textRotation="0" wrapText="false" indent="0" shrinkToFit="false"/>
      <protection locked="true" hidden="false"/>
    </xf>
    <xf numFmtId="164" fontId="32" fillId="10" borderId="0" xfId="0" applyFont="true" applyBorder="false" applyAlignment="false" applyProtection="false">
      <alignment horizontal="general" vertical="bottom" textRotation="0" wrapText="false" indent="0" shrinkToFit="false"/>
      <protection locked="true" hidden="false"/>
    </xf>
    <xf numFmtId="177" fontId="29" fillId="0" borderId="0" xfId="15"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9" fillId="0" borderId="3" xfId="0" applyFont="true" applyBorder="true" applyAlignment="false" applyProtection="false">
      <alignment horizontal="general" vertical="bottom" textRotation="0" wrapText="false" indent="0" shrinkToFit="false"/>
      <protection locked="true" hidden="false"/>
    </xf>
    <xf numFmtId="164" fontId="0" fillId="2" borderId="3"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bottom" textRotation="0" wrapText="false" indent="0" shrinkToFit="false"/>
      <protection locked="true" hidden="false"/>
    </xf>
    <xf numFmtId="168" fontId="13" fillId="2" borderId="0" xfId="15" applyFont="true" applyBorder="true" applyAlignment="true" applyProtection="true">
      <alignment horizontal="general" vertical="bottom" textRotation="0" wrapText="false" indent="0" shrinkToFit="false"/>
      <protection locked="true" hidden="false"/>
    </xf>
    <xf numFmtId="186" fontId="0" fillId="2" borderId="0" xfId="0" applyFont="true" applyBorder="false" applyAlignment="false" applyProtection="false">
      <alignment horizontal="general" vertical="bottom" textRotation="0" wrapText="false" indent="0" shrinkToFit="false"/>
      <protection locked="true" hidden="false"/>
    </xf>
    <xf numFmtId="164" fontId="0" fillId="2" borderId="3" xfId="0" applyFont="true" applyBorder="true" applyAlignment="false" applyProtection="false">
      <alignment horizontal="general" vertical="bottom" textRotation="0" wrapText="false" indent="0" shrinkToFit="false"/>
      <protection locked="true" hidden="false"/>
    </xf>
    <xf numFmtId="186" fontId="0" fillId="2" borderId="3" xfId="0" applyFont="true" applyBorder="tru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left" vertical="bottom" textRotation="0" wrapText="false" indent="1" shrinkToFit="false"/>
      <protection locked="true" hidden="false"/>
    </xf>
    <xf numFmtId="164" fontId="28" fillId="4" borderId="1" xfId="0" applyFont="true" applyBorder="true" applyAlignment="true" applyProtection="false">
      <alignment horizontal="center" vertical="bottom" textRotation="0" wrapText="false" indent="0" shrinkToFit="false"/>
      <protection locked="true" hidden="false"/>
    </xf>
    <xf numFmtId="168" fontId="19" fillId="2" borderId="0" xfId="15" applyFont="true" applyBorder="true" applyAlignment="true" applyProtection="true">
      <alignment horizontal="general" vertical="bottom" textRotation="0" wrapText="false" indent="0" shrinkToFit="false"/>
      <protection locked="true" hidden="false"/>
    </xf>
    <xf numFmtId="164" fontId="28" fillId="4" borderId="1" xfId="0" applyFont="true" applyBorder="true" applyAlignment="true" applyProtection="false">
      <alignment horizontal="right" vertical="bottom" textRotation="0" wrapText="false" indent="0" shrinkToFit="false"/>
      <protection locked="true" hidden="false"/>
    </xf>
    <xf numFmtId="186" fontId="28" fillId="4" borderId="1" xfId="0" applyFont="true" applyBorder="true" applyAlignment="true" applyProtection="false">
      <alignment horizontal="center" vertical="bottom" textRotation="0" wrapText="false" indent="0" shrinkToFit="false"/>
      <protection locked="true" hidden="false"/>
    </xf>
    <xf numFmtId="186" fontId="28" fillId="4" borderId="1" xfId="0" applyFont="true" applyBorder="true" applyAlignment="true" applyProtection="false">
      <alignment horizontal="right" vertical="bottom" textRotation="0" wrapText="false" indent="0" shrinkToFit="false"/>
      <protection locked="true" hidden="false"/>
    </xf>
    <xf numFmtId="186" fontId="28" fillId="4" borderId="1" xfId="15" applyFont="true" applyBorder="true" applyAlignment="true" applyProtection="true">
      <alignment horizontal="center" vertical="bottom" textRotation="0" wrapText="false" indent="0" shrinkToFit="false"/>
      <protection locked="true" hidden="false"/>
    </xf>
    <xf numFmtId="186" fontId="28" fillId="4" borderId="1" xfId="15" applyFont="true" applyBorder="true" applyAlignment="true" applyProtection="true">
      <alignment horizontal="right"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right"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8" fontId="12" fillId="0" borderId="1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8" fontId="12" fillId="2" borderId="11" xfId="15" applyFont="true" applyBorder="true" applyAlignment="true" applyProtection="true">
      <alignment horizontal="general" vertical="bottom" textRotation="0" wrapText="false" indent="0" shrinkToFit="false"/>
      <protection locked="true" hidden="false"/>
    </xf>
    <xf numFmtId="164" fontId="19" fillId="0" borderId="3" xfId="0" applyFont="true" applyBorder="true" applyAlignment="true" applyProtection="false">
      <alignment horizontal="right" vertical="bottom" textRotation="0" wrapText="false" indent="0" shrinkToFit="false"/>
      <protection locked="true" hidden="false"/>
    </xf>
    <xf numFmtId="172" fontId="13" fillId="4" borderId="1" xfId="0" applyFont="true" applyBorder="true" applyAlignment="false" applyProtection="false">
      <alignment horizontal="general" vertical="bottom" textRotation="0" wrapText="false" indent="0" shrinkToFit="false"/>
      <protection locked="true" hidden="false"/>
    </xf>
    <xf numFmtId="186" fontId="13" fillId="4" borderId="1" xfId="0" applyFont="true" applyBorder="true" applyAlignment="true" applyProtection="false">
      <alignment horizontal="center" vertical="bottom" textRotation="0" wrapText="false" indent="0" shrinkToFit="false"/>
      <protection locked="true" hidden="false"/>
    </xf>
    <xf numFmtId="186" fontId="13" fillId="4" borderId="1" xfId="15" applyFont="true" applyBorder="true" applyAlignment="true" applyProtection="true">
      <alignment horizontal="center" vertical="bottom" textRotation="0" wrapText="false" indent="0" shrinkToFit="false"/>
      <protection locked="true" hidden="false"/>
    </xf>
    <xf numFmtId="168" fontId="21" fillId="0" borderId="0" xfId="15" applyFont="true" applyBorder="true" applyAlignment="true" applyProtection="tru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1" fontId="13" fillId="2" borderId="0" xfId="0" applyFont="true" applyBorder="false" applyAlignment="false" applyProtection="false">
      <alignment horizontal="general" vertical="bottom" textRotation="0" wrapText="false" indent="0" shrinkToFit="false"/>
      <protection locked="true" hidden="false"/>
    </xf>
    <xf numFmtId="171" fontId="21" fillId="2" borderId="0" xfId="0" applyFont="true" applyBorder="false" applyAlignment="false" applyProtection="false">
      <alignment horizontal="general" vertical="bottom" textRotation="0" wrapText="false" indent="0" shrinkToFit="false"/>
      <protection locked="true" hidden="false"/>
    </xf>
    <xf numFmtId="173" fontId="14" fillId="0" borderId="1" xfId="19" applyFont="true" applyBorder="true" applyAlignment="true" applyProtection="true">
      <alignment horizontal="general" vertical="bottom" textRotation="0" wrapText="false" indent="0" shrinkToFit="false"/>
      <protection locked="true" hidden="false"/>
    </xf>
    <xf numFmtId="172" fontId="21" fillId="0" borderId="0" xfId="15" applyFont="true" applyBorder="true" applyAlignment="true" applyProtection="true">
      <alignment horizontal="general" vertical="bottom" textRotation="0" wrapText="false" indent="0" shrinkToFit="false"/>
      <protection locked="true" hidden="false"/>
    </xf>
    <xf numFmtId="172" fontId="21" fillId="0" borderId="1" xfId="15" applyFont="true" applyBorder="true" applyAlignment="true" applyProtection="true">
      <alignment horizontal="general" vertical="bottom" textRotation="0" wrapText="false" indent="0" shrinkToFit="false"/>
      <protection locked="true" hidden="false"/>
    </xf>
    <xf numFmtId="173" fontId="14" fillId="0" borderId="0" xfId="19" applyFont="true" applyBorder="true" applyAlignment="true" applyProtection="true">
      <alignment horizontal="general"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64" fontId="11" fillId="11" borderId="0" xfId="0" applyFont="true" applyBorder="false" applyAlignment="false" applyProtection="false">
      <alignment horizontal="general" vertical="bottom" textRotation="0" wrapText="false" indent="0" shrinkToFit="false"/>
      <protection locked="true" hidden="false"/>
    </xf>
    <xf numFmtId="168" fontId="36" fillId="2" borderId="0" xfId="15" applyFont="true" applyBorder="true" applyAlignment="true" applyProtection="true">
      <alignment horizontal="general" vertical="bottom" textRotation="0" wrapText="false" indent="0" shrinkToFit="false"/>
      <protection locked="true" hidden="false"/>
    </xf>
    <xf numFmtId="176" fontId="14" fillId="0" borderId="1" xfId="0" applyFont="true" applyBorder="true" applyAlignment="false" applyProtection="false">
      <alignment horizontal="general" vertical="bottom" textRotation="0" wrapText="false" indent="0" shrinkToFit="false"/>
      <protection locked="true" hidden="false"/>
    </xf>
    <xf numFmtId="187" fontId="21" fillId="0" borderId="0" xfId="0" applyFont="true" applyBorder="false" applyAlignment="false" applyProtection="false">
      <alignment horizontal="general" vertical="bottom" textRotation="0" wrapText="false" indent="0" shrinkToFit="false"/>
      <protection locked="true" hidden="false"/>
    </xf>
    <xf numFmtId="187" fontId="0" fillId="2" borderId="0" xfId="0" applyFont="false" applyBorder="false" applyAlignment="false" applyProtection="false">
      <alignment horizontal="general" vertical="bottom" textRotation="0" wrapText="false" indent="0" shrinkToFit="false"/>
      <protection locked="true" hidden="false"/>
    </xf>
    <xf numFmtId="175" fontId="21" fillId="2" borderId="0" xfId="15" applyFont="true" applyBorder="true" applyAlignment="true" applyProtection="true">
      <alignment horizontal="general" vertical="bottom" textRotation="0" wrapText="false" indent="0" shrinkToFit="false"/>
      <protection locked="true" hidden="false"/>
    </xf>
    <xf numFmtId="187" fontId="37" fillId="2" borderId="0" xfId="0" applyFont="true" applyBorder="false" applyAlignment="false" applyProtection="false">
      <alignment horizontal="general" vertical="bottom" textRotation="0" wrapText="false" indent="0" shrinkToFit="false"/>
      <protection locked="true" hidden="false"/>
    </xf>
    <xf numFmtId="177" fontId="12" fillId="2" borderId="0" xfId="0" applyFont="true" applyBorder="false" applyAlignment="true" applyProtection="false">
      <alignment horizontal="left" vertical="bottom" textRotation="0" wrapText="false" indent="0" shrinkToFit="false"/>
      <protection locked="true" hidden="false"/>
    </xf>
    <xf numFmtId="177" fontId="23" fillId="2" borderId="0" xfId="15" applyFont="true" applyBorder="true" applyAlignment="true" applyProtection="true">
      <alignment horizontal="general" vertical="bottom" textRotation="0" wrapText="false" indent="0" shrinkToFit="false"/>
      <protection locked="true" hidden="false"/>
    </xf>
    <xf numFmtId="166" fontId="14" fillId="0" borderId="1" xfId="0" applyFont="true" applyBorder="true" applyAlignment="true" applyProtection="false">
      <alignment horizontal="right" vertical="bottom" textRotation="0" wrapText="false" indent="0" shrinkToFit="false"/>
      <protection locked="true" hidden="false"/>
    </xf>
    <xf numFmtId="168" fontId="21" fillId="2" borderId="0" xfId="15" applyFont="true" applyBorder="true" applyAlignment="true" applyProtection="true">
      <alignment horizontal="general" vertical="bottom" textRotation="0" wrapText="false" indent="0" shrinkToFit="false"/>
      <protection locked="true" hidden="false"/>
    </xf>
    <xf numFmtId="169" fontId="13" fillId="2" borderId="0" xfId="0" applyFont="true" applyBorder="false" applyAlignment="false" applyProtection="false">
      <alignment horizontal="general" vertical="bottom" textRotation="0" wrapText="false" indent="0" shrinkToFit="false"/>
      <protection locked="true" hidden="false"/>
    </xf>
    <xf numFmtId="168" fontId="23" fillId="2" borderId="0" xfId="15"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21" fillId="2" borderId="3" xfId="15" applyFont="true" applyBorder="true" applyAlignment="true" applyProtection="tru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25" fillId="0" borderId="4" xfId="0" applyFont="true" applyBorder="true" applyAlignment="false" applyProtection="false">
      <alignment horizontal="general" vertical="bottom" textRotation="0" wrapText="false" indent="0" shrinkToFit="false"/>
      <protection locked="true" hidden="false"/>
    </xf>
    <xf numFmtId="168" fontId="12" fillId="0" borderId="4" xfId="0" applyFont="true" applyBorder="true" applyAlignment="false" applyProtection="false">
      <alignment horizontal="general" vertical="bottom" textRotation="0" wrapText="false" indent="0" shrinkToFit="false"/>
      <protection locked="true" hidden="false"/>
    </xf>
    <xf numFmtId="168" fontId="12" fillId="0" borderId="4" xfId="15" applyFont="true" applyBorder="true" applyAlignment="true" applyProtection="true">
      <alignment horizontal="general" vertical="bottom" textRotation="0" wrapText="false" indent="0" shrinkToFit="false"/>
      <protection locked="true" hidden="false"/>
    </xf>
    <xf numFmtId="186" fontId="0" fillId="2" borderId="0" xfId="0" applyFont="fals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38" fillId="0" borderId="0" xfId="0" applyFont="true" applyBorder="false" applyAlignment="false" applyProtection="false">
      <alignment horizontal="general" vertical="bottom" textRotation="0" wrapText="false" indent="0" shrinkToFit="false"/>
      <protection locked="true" hidden="false"/>
    </xf>
    <xf numFmtId="168" fontId="14" fillId="0" borderId="1" xfId="15" applyFont="true" applyBorder="true" applyAlignment="true" applyProtection="true">
      <alignment horizontal="general" vertical="bottom" textRotation="0" wrapText="false" indent="0" shrinkToFit="false"/>
      <protection locked="true" hidden="false"/>
    </xf>
    <xf numFmtId="168" fontId="35" fillId="0" borderId="0" xfId="0" applyFont="true" applyBorder="false" applyAlignment="false" applyProtection="false">
      <alignment horizontal="general" vertical="bottom" textRotation="0" wrapText="false" indent="0" shrinkToFit="false"/>
      <protection locked="true" hidden="false"/>
    </xf>
    <xf numFmtId="174" fontId="14" fillId="0" borderId="10" xfId="15" applyFont="true" applyBorder="true" applyAlignment="true" applyProtection="true">
      <alignment horizontal="general" vertical="bottom" textRotation="0" wrapText="false" indent="0" shrinkToFit="false"/>
      <protection locked="true" hidden="false"/>
    </xf>
    <xf numFmtId="164" fontId="19" fillId="2" borderId="4" xfId="0" applyFont="true" applyBorder="true" applyAlignment="false" applyProtection="false">
      <alignment horizontal="general" vertical="bottom" textRotation="0" wrapText="false" indent="0" shrinkToFit="false"/>
      <protection locked="true" hidden="false"/>
    </xf>
    <xf numFmtId="174" fontId="14" fillId="0" borderId="4" xfId="15" applyFont="tru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8" fontId="0" fillId="2" borderId="4" xfId="15" applyFont="true" applyBorder="true" applyAlignment="true" applyProtection="true">
      <alignment horizontal="general" vertical="bottom" textRotation="0" wrapText="false" indent="0" shrinkToFit="false"/>
      <protection locked="true" hidden="false"/>
    </xf>
    <xf numFmtId="168" fontId="0" fillId="2" borderId="3" xfId="15" applyFont="true" applyBorder="true" applyAlignment="true" applyProtection="true">
      <alignment horizontal="general" vertical="bottom" textRotation="0" wrapText="false" indent="0" shrinkToFit="false"/>
      <protection locked="true" hidden="false"/>
    </xf>
    <xf numFmtId="166" fontId="12" fillId="0" borderId="11" xfId="0" applyFont="tru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8" fontId="12" fillId="0" borderId="11" xfId="15" applyFont="true" applyBorder="tru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false">
      <alignment horizontal="left" vertical="bottom" textRotation="0" wrapText="false" indent="1" shrinkToFit="false"/>
      <protection locked="true" hidden="false"/>
    </xf>
    <xf numFmtId="185" fontId="19" fillId="2" borderId="5" xfId="0" applyFont="true" applyBorder="true" applyAlignment="false" applyProtection="false">
      <alignment horizontal="general" vertical="bottom" textRotation="0" wrapText="false" indent="0" shrinkToFit="false"/>
      <protection locked="true" hidden="false"/>
    </xf>
    <xf numFmtId="185" fontId="19" fillId="2" borderId="4" xfId="0" applyFont="true" applyBorder="true" applyAlignment="true" applyProtection="false">
      <alignment horizontal="right" vertical="bottom" textRotation="0" wrapText="false" indent="0" shrinkToFit="false"/>
      <protection locked="true" hidden="false"/>
    </xf>
    <xf numFmtId="185" fontId="19" fillId="2" borderId="6" xfId="0" applyFont="true" applyBorder="true" applyAlignment="true" applyProtection="false">
      <alignment horizontal="right" vertical="bottom" textRotation="0" wrapText="false" indent="0" shrinkToFit="false"/>
      <protection locked="true" hidden="false"/>
    </xf>
    <xf numFmtId="185" fontId="0" fillId="2" borderId="12" xfId="0" applyFont="true" applyBorder="true" applyAlignment="false" applyProtection="false">
      <alignment horizontal="general" vertical="bottom"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72" fontId="13" fillId="2" borderId="13" xfId="19" applyFont="true" applyBorder="true" applyAlignment="true" applyProtection="true">
      <alignment horizontal="general" vertical="bottom" textRotation="0" wrapText="false" indent="0" shrinkToFit="false"/>
      <protection locked="true" hidden="false"/>
    </xf>
    <xf numFmtId="172" fontId="13" fillId="12" borderId="13" xfId="19" applyFont="true" applyBorder="true" applyAlignment="true" applyProtection="true">
      <alignment horizontal="general" vertical="bottom" textRotation="0" wrapText="false" indent="0" shrinkToFit="false"/>
      <protection locked="true" hidden="false"/>
    </xf>
    <xf numFmtId="172" fontId="13" fillId="2" borderId="14" xfId="19" applyFont="true" applyBorder="true" applyAlignment="true" applyProtection="true">
      <alignment horizontal="general" vertical="bottom" textRotation="0" wrapText="false" indent="0" shrinkToFit="false"/>
      <protection locked="true" hidden="false"/>
    </xf>
    <xf numFmtId="185" fontId="39" fillId="2" borderId="15" xfId="0" applyFont="true" applyBorder="true" applyAlignment="true" applyProtection="false">
      <alignment horizontal="center" vertical="bottom" textRotation="0" wrapText="false" indent="0" shrinkToFit="false"/>
      <protection locked="true" hidden="false"/>
    </xf>
    <xf numFmtId="164" fontId="39" fillId="2" borderId="16" xfId="0" applyFont="true" applyBorder="true" applyAlignment="true" applyProtection="false">
      <alignment horizontal="center" vertical="bottom" textRotation="0" wrapText="false" indent="0" shrinkToFit="false"/>
      <protection locked="true" hidden="false"/>
    </xf>
    <xf numFmtId="164" fontId="39" fillId="2" borderId="17" xfId="0" applyFont="true" applyBorder="true" applyAlignment="true" applyProtection="false">
      <alignment horizontal="center" vertical="bottom" textRotation="0" wrapText="false" indent="0" shrinkToFit="false"/>
      <protection locked="true" hidden="false"/>
    </xf>
    <xf numFmtId="185" fontId="25" fillId="2" borderId="18" xfId="0" applyFont="true" applyBorder="true" applyAlignment="false" applyProtection="false">
      <alignment horizontal="general" vertical="bottom" textRotation="0" wrapText="false" indent="0" shrinkToFit="false"/>
      <protection locked="true" hidden="false"/>
    </xf>
    <xf numFmtId="188" fontId="13" fillId="2" borderId="1" xfId="0" applyFont="true" applyBorder="true" applyAlignment="false" applyProtection="false">
      <alignment horizontal="general" vertical="bottom" textRotation="0" wrapText="false" indent="0" shrinkToFit="false"/>
      <protection locked="true" hidden="false"/>
    </xf>
    <xf numFmtId="188" fontId="13" fillId="2" borderId="1" xfId="19" applyFont="true" applyBorder="true" applyAlignment="true" applyProtection="true">
      <alignment horizontal="general" vertical="bottom" textRotation="0" wrapText="false" indent="0" shrinkToFit="false"/>
      <protection locked="true" hidden="false"/>
    </xf>
    <xf numFmtId="188" fontId="13" fillId="2" borderId="1" xfId="19" applyFont="true" applyBorder="true" applyAlignment="true" applyProtection="true">
      <alignment horizontal="right" vertical="bottom" textRotation="0" wrapText="false" indent="0" shrinkToFit="false"/>
      <protection locked="true" hidden="false"/>
    </xf>
    <xf numFmtId="188" fontId="13" fillId="2" borderId="19" xfId="19" applyFont="true" applyBorder="true" applyAlignment="true" applyProtection="true">
      <alignment horizontal="general" vertical="bottom" textRotation="0" wrapText="false" indent="0" shrinkToFit="false"/>
      <protection locked="true" hidden="false"/>
    </xf>
    <xf numFmtId="185" fontId="25" fillId="2" borderId="20" xfId="0" applyFont="true" applyBorder="true" applyAlignment="false" applyProtection="false">
      <alignment horizontal="general" vertical="bottom" textRotation="0" wrapText="false" indent="0" shrinkToFit="false"/>
      <protection locked="true" hidden="false"/>
    </xf>
    <xf numFmtId="188" fontId="13" fillId="2" borderId="21" xfId="0" applyFont="true" applyBorder="true" applyAlignment="false" applyProtection="false">
      <alignment horizontal="general" vertical="bottom" textRotation="0" wrapText="false" indent="0" shrinkToFit="false"/>
      <protection locked="true" hidden="false"/>
    </xf>
    <xf numFmtId="188" fontId="13" fillId="2" borderId="21" xfId="19" applyFont="true" applyBorder="true" applyAlignment="true" applyProtection="true">
      <alignment horizontal="general" vertical="bottom" textRotation="0" wrapText="false" indent="0" shrinkToFit="false"/>
      <protection locked="true" hidden="false"/>
    </xf>
    <xf numFmtId="188" fontId="13" fillId="2" borderId="22" xfId="19" applyFont="true" applyBorder="true" applyAlignment="true" applyProtection="true">
      <alignment horizontal="general" vertical="bottom" textRotation="0" wrapText="false" indent="0" shrinkToFit="false"/>
      <protection locked="true" hidden="false"/>
    </xf>
    <xf numFmtId="164" fontId="0" fillId="10" borderId="1"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78" fontId="0" fillId="0" borderId="0" xfId="17" applyFont="true" applyBorder="true" applyAlignment="true" applyProtection="true">
      <alignment horizontal="general" vertical="bottom" textRotation="0" wrapText="false" indent="0" shrinkToFit="false"/>
      <protection locked="true" hidden="false"/>
    </xf>
    <xf numFmtId="184" fontId="0" fillId="0"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bottom" textRotation="0" wrapText="false" indent="0" shrinkToFit="false"/>
      <protection locked="true" hidden="false"/>
    </xf>
    <xf numFmtId="164" fontId="40" fillId="3" borderId="0" xfId="0" applyFont="true" applyBorder="false" applyAlignment="false" applyProtection="false">
      <alignment horizontal="general" vertical="bottom" textRotation="0" wrapText="false" indent="0" shrinkToFit="false"/>
      <protection locked="true" hidden="false"/>
    </xf>
    <xf numFmtId="189" fontId="10" fillId="3" borderId="0" xfId="0" applyFont="true" applyBorder="false" applyAlignment="true" applyProtection="false">
      <alignment horizontal="right" vertical="bottom" textRotation="0" wrapText="false" indent="0" shrinkToFit="false"/>
      <protection locked="true" hidden="false"/>
    </xf>
    <xf numFmtId="164" fontId="11" fillId="3" borderId="0" xfId="0" applyFont="true" applyBorder="false" applyAlignment="true" applyProtection="false">
      <alignment horizontal="left" vertical="bottom" textRotation="0" wrapText="false" indent="1" shrinkToFit="false"/>
      <protection locked="true" hidden="false"/>
    </xf>
    <xf numFmtId="172" fontId="11"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1"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left"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81" fontId="41" fillId="8" borderId="0" xfId="0" applyFont="true" applyBorder="false" applyAlignment="false" applyProtection="false">
      <alignment horizontal="general" vertical="bottom" textRotation="0" wrapText="false" indent="0" shrinkToFit="false"/>
      <protection locked="true" hidden="false"/>
    </xf>
    <xf numFmtId="164" fontId="42" fillId="2" borderId="0" xfId="0" applyFont="true" applyBorder="false" applyAlignment="false" applyProtection="false">
      <alignment horizontal="general" vertical="bottom" textRotation="0" wrapText="false" indent="0" shrinkToFit="false"/>
      <protection locked="true" hidden="false"/>
    </xf>
    <xf numFmtId="179" fontId="14" fillId="2" borderId="1" xfId="17" applyFont="true" applyBorder="true" applyAlignment="true" applyProtection="true">
      <alignment horizontal="general" vertical="bottom" textRotation="0" wrapText="false" indent="0" shrinkToFit="false"/>
      <protection locked="true" hidden="false"/>
    </xf>
    <xf numFmtId="179" fontId="21" fillId="2" borderId="0" xfId="0" applyFont="true" applyBorder="false" applyAlignment="false" applyProtection="false">
      <alignment horizontal="general" vertical="bottom" textRotation="0" wrapText="false" indent="0" shrinkToFit="false"/>
      <protection locked="true" hidden="false"/>
    </xf>
    <xf numFmtId="179" fontId="13" fillId="0" borderId="0" xfId="17" applyFont="true" applyBorder="true" applyAlignment="true" applyProtection="true">
      <alignment horizontal="general" vertical="bottom" textRotation="0" wrapText="false" indent="0" shrinkToFit="false"/>
      <protection locked="true" hidden="false"/>
    </xf>
    <xf numFmtId="179" fontId="13" fillId="2" borderId="0" xfId="17" applyFont="true" applyBorder="true" applyAlignment="true" applyProtection="true">
      <alignment horizontal="general" vertical="bottom" textRotation="0" wrapText="false" indent="0" shrinkToFit="false"/>
      <protection locked="true" hidden="false"/>
    </xf>
    <xf numFmtId="179" fontId="13" fillId="2" borderId="0" xfId="17" applyFont="true" applyBorder="true" applyAlignment="true" applyProtection="true">
      <alignment horizontal="right" vertical="bottom" textRotation="0" wrapText="false" indent="0" shrinkToFit="false"/>
      <protection locked="true" hidden="false"/>
    </xf>
    <xf numFmtId="166" fontId="21" fillId="0" borderId="0" xfId="0" applyFont="true" applyBorder="false" applyAlignment="true" applyProtection="false">
      <alignment horizontal="general" vertical="top" textRotation="0" wrapText="false" indent="0" shrinkToFit="false"/>
      <protection locked="true" hidden="false"/>
    </xf>
    <xf numFmtId="172" fontId="28" fillId="2" borderId="1" xfId="0" applyFont="true" applyBorder="true" applyAlignment="false" applyProtection="false">
      <alignment horizontal="general" vertical="bottom" textRotation="0" wrapText="false" indent="0" shrinkToFit="false"/>
      <protection locked="true" hidden="false"/>
    </xf>
    <xf numFmtId="179" fontId="21" fillId="2" borderId="0" xfId="17" applyFont="true" applyBorder="true" applyAlignment="true" applyProtection="true">
      <alignment horizontal="general" vertical="bottom" textRotation="0" wrapText="false" indent="0" shrinkToFit="false"/>
      <protection locked="true" hidden="false"/>
    </xf>
    <xf numFmtId="164" fontId="12" fillId="2" borderId="3" xfId="0" applyFont="true" applyBorder="true" applyAlignment="false" applyProtection="false">
      <alignment horizontal="general" vertical="bottom" textRotation="0" wrapText="false" indent="0" shrinkToFit="false"/>
      <protection locked="true" hidden="false"/>
    </xf>
    <xf numFmtId="169" fontId="12" fillId="2" borderId="3" xfId="0" applyFont="true" applyBorder="true" applyAlignment="false" applyProtection="false">
      <alignment horizontal="general" vertical="bottom" textRotation="0" wrapText="false" indent="0" shrinkToFit="false"/>
      <protection locked="true" hidden="false"/>
    </xf>
    <xf numFmtId="179" fontId="21" fillId="2" borderId="3" xfId="0" applyFont="true" applyBorder="true" applyAlignment="false" applyProtection="false">
      <alignment horizontal="general" vertical="bottom" textRotation="0" wrapText="false" indent="0" shrinkToFit="false"/>
      <protection locked="true" hidden="false"/>
    </xf>
    <xf numFmtId="164" fontId="41" fillId="2" borderId="3" xfId="0" applyFont="true" applyBorder="true" applyAlignment="false" applyProtection="false">
      <alignment horizontal="general" vertical="bottom" textRotation="0" wrapText="false" indent="0" shrinkToFit="false"/>
      <protection locked="true" hidden="false"/>
    </xf>
    <xf numFmtId="179" fontId="23" fillId="2" borderId="0" xfId="0" applyFont="true" applyBorder="false" applyAlignment="false" applyProtection="false">
      <alignment horizontal="general" vertical="bottom" textRotation="0" wrapText="false" indent="0" shrinkToFit="false"/>
      <protection locked="true" hidden="false"/>
    </xf>
    <xf numFmtId="190" fontId="23" fillId="2" borderId="0" xfId="0" applyFont="true" applyBorder="false" applyAlignment="false" applyProtection="false">
      <alignment horizontal="general" vertical="bottom" textRotation="0" wrapText="false" indent="0" shrinkToFit="false"/>
      <protection locked="true" hidden="false"/>
    </xf>
    <xf numFmtId="164" fontId="40" fillId="8"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8" fontId="21" fillId="0" borderId="1" xfId="15" applyFont="true" applyBorder="true" applyAlignment="true" applyProtection="true">
      <alignment horizontal="general" vertical="bottom" textRotation="0" wrapText="false" indent="0" shrinkToFit="false"/>
      <protection locked="true" hidden="false"/>
    </xf>
    <xf numFmtId="179" fontId="14" fillId="0" borderId="1" xfId="17" applyFont="true" applyBorder="true" applyAlignment="true" applyProtection="true">
      <alignment horizontal="general" vertical="bottom" textRotation="0" wrapText="false" indent="0" shrinkToFit="false"/>
      <protection locked="true" hidden="false"/>
    </xf>
    <xf numFmtId="179" fontId="0" fillId="2" borderId="0" xfId="17" applyFont="true" applyBorder="true" applyAlignment="true" applyProtection="true">
      <alignment horizontal="general" vertical="bottom" textRotation="0" wrapText="false" indent="0" shrinkToFit="false"/>
      <protection locked="true" hidden="false"/>
    </xf>
    <xf numFmtId="178" fontId="14" fillId="2" borderId="1" xfId="17" applyFont="true" applyBorder="true" applyAlignment="true" applyProtection="true">
      <alignment horizontal="general" vertical="bottom" textRotation="0" wrapText="false" indent="0" shrinkToFit="false"/>
      <protection locked="true" hidden="false"/>
    </xf>
    <xf numFmtId="191" fontId="13" fillId="2" borderId="0" xfId="0" applyFont="true" applyBorder="false" applyAlignment="true" applyProtection="false">
      <alignment horizontal="center" vertical="bottom" textRotation="0" wrapText="false" indent="0" shrinkToFit="false"/>
      <protection locked="true" hidden="false"/>
    </xf>
    <xf numFmtId="168" fontId="13" fillId="2" borderId="0" xfId="15" applyFont="true" applyBorder="true" applyAlignment="true" applyProtection="true">
      <alignment horizontal="center" vertical="bottom" textRotation="0" wrapText="false" indent="0" shrinkToFit="false"/>
      <protection locked="true" hidden="false"/>
    </xf>
    <xf numFmtId="169" fontId="21" fillId="2"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1" shrinkToFit="false"/>
      <protection locked="true" hidden="false"/>
    </xf>
    <xf numFmtId="179" fontId="21" fillId="0" borderId="1" xfId="17" applyFont="true" applyBorder="true" applyAlignment="true" applyProtection="tru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9" fontId="21" fillId="0" borderId="0" xfId="17" applyFont="true" applyBorder="true" applyAlignment="true" applyProtection="true">
      <alignment horizontal="general" vertical="bottom" textRotation="0" wrapText="false" indent="0" shrinkToFit="false"/>
      <protection locked="true" hidden="false"/>
    </xf>
    <xf numFmtId="171" fontId="21" fillId="2" borderId="1" xfId="0" applyFont="true" applyBorder="true" applyAlignment="false" applyProtection="false">
      <alignment horizontal="general" vertical="bottom" textRotation="0" wrapText="false" indent="0" shrinkToFit="false"/>
      <protection locked="true" hidden="false"/>
    </xf>
    <xf numFmtId="171" fontId="13" fillId="2" borderId="3" xfId="0" applyFont="true" applyBorder="true" applyAlignment="false" applyProtection="false">
      <alignment horizontal="general" vertical="bottom" textRotation="0" wrapText="false" indent="0" shrinkToFit="false"/>
      <protection locked="true" hidden="false"/>
    </xf>
    <xf numFmtId="164" fontId="42" fillId="2" borderId="3" xfId="0" applyFont="true" applyBorder="tru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79" fontId="23" fillId="2" borderId="0" xfId="17" applyFont="true" applyBorder="tru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1" shrinkToFit="false"/>
      <protection locked="true" hidden="false"/>
    </xf>
    <xf numFmtId="177" fontId="31" fillId="0" borderId="0" xfId="15" applyFont="true" applyBorder="true" applyAlignment="true" applyProtection="true">
      <alignment horizontal="general" vertical="bottom" textRotation="0" wrapText="false" indent="0" shrinkToFit="false"/>
      <protection locked="true" hidden="false"/>
    </xf>
    <xf numFmtId="174" fontId="21" fillId="0" borderId="0" xfId="15" applyFont="true" applyBorder="true" applyAlignment="true" applyProtection="tru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7" fontId="24" fillId="0" borderId="0" xfId="15" applyFont="true" applyBorder="true" applyAlignment="true" applyProtection="tru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19" fillId="12" borderId="0" xfId="0" applyFont="true" applyBorder="false" applyAlignment="false" applyProtection="false">
      <alignment horizontal="general" vertical="bottom" textRotation="0" wrapText="false" indent="0" shrinkToFit="false"/>
      <protection locked="true" hidden="false"/>
    </xf>
    <xf numFmtId="177" fontId="19" fillId="12" borderId="0" xfId="15"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7" fontId="25" fillId="0" borderId="0" xfId="15"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8" fontId="21" fillId="0" borderId="3"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2" shrinkToFit="false"/>
      <protection locked="true" hidden="false"/>
    </xf>
    <xf numFmtId="168" fontId="26" fillId="0" borderId="0" xfId="15" applyFont="true" applyBorder="true" applyAlignment="true" applyProtection="true">
      <alignment horizontal="general" vertical="bottom" textRotation="0" wrapText="false" indent="0" shrinkToFit="false"/>
      <protection locked="true" hidden="false"/>
    </xf>
    <xf numFmtId="164" fontId="19" fillId="0" borderId="9" xfId="0" applyFont="true" applyBorder="true" applyAlignment="false" applyProtection="false">
      <alignment horizontal="general" vertical="bottom" textRotation="0" wrapText="false" indent="0" shrinkToFit="false"/>
      <protection locked="true" hidden="false"/>
    </xf>
    <xf numFmtId="174" fontId="14" fillId="0" borderId="1" xfId="15"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false">
      <alignment horizontal="right" vertical="bottom" textRotation="0" wrapText="false" indent="0" shrinkToFit="false"/>
      <protection locked="true" hidden="false"/>
    </xf>
    <xf numFmtId="177" fontId="14" fillId="0" borderId="1" xfId="15" applyFont="true" applyBorder="true" applyAlignment="true" applyProtection="true">
      <alignment horizontal="general" vertical="bottom" textRotation="0" wrapText="false" indent="0" shrinkToFit="false"/>
      <protection locked="true" hidden="false"/>
    </xf>
    <xf numFmtId="177" fontId="14" fillId="0" borderId="0" xfId="15" applyFont="true" applyBorder="true" applyAlignment="true" applyProtection="true">
      <alignment horizontal="general" vertical="bottom" textRotation="0" wrapText="false" indent="0" shrinkToFit="false"/>
      <protection locked="true" hidden="false"/>
    </xf>
    <xf numFmtId="172" fontId="14" fillId="0" borderId="1" xfId="15" applyFont="true" applyBorder="true" applyAlignment="true" applyProtection="true">
      <alignment horizontal="general" vertical="bottom" textRotation="0" wrapText="false" indent="0" shrinkToFit="false"/>
      <protection locked="true" hidden="false"/>
    </xf>
    <xf numFmtId="166" fontId="19" fillId="0" borderId="3" xfId="0" applyFont="true" applyBorder="true" applyAlignment="true" applyProtection="false">
      <alignment horizontal="left" vertical="bottom" textRotation="0" wrapText="false" indent="2"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8" fontId="13" fillId="0" borderId="3" xfId="15" applyFont="true" applyBorder="true" applyAlignment="true" applyProtection="true">
      <alignment horizontal="general" vertical="bottom" textRotation="0" wrapText="false" indent="0" shrinkToFit="false"/>
      <protection locked="true" hidden="false"/>
    </xf>
    <xf numFmtId="164" fontId="0" fillId="10" borderId="23" xfId="0" applyFont="true" applyBorder="true" applyAlignment="false" applyProtection="false">
      <alignment horizontal="general" vertical="bottom" textRotation="0" wrapText="false" indent="0" shrinkToFit="false"/>
      <protection locked="true" hidden="false"/>
    </xf>
    <xf numFmtId="164" fontId="0" fillId="10" borderId="24"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2" shrinkToFit="false"/>
      <protection locked="true" hidden="false"/>
    </xf>
    <xf numFmtId="166" fontId="0" fillId="0" borderId="3" xfId="0" applyFont="false" applyBorder="true" applyAlignment="true" applyProtection="false">
      <alignment horizontal="left" vertical="bottom" textRotation="0" wrapText="false" indent="2" shrinkToFit="false"/>
      <protection locked="true" hidden="false"/>
    </xf>
    <xf numFmtId="190" fontId="14" fillId="0" borderId="1" xfId="17" applyFont="true" applyBorder="true" applyAlignment="true" applyProtection="true">
      <alignment horizontal="general" vertical="bottom" textRotation="0" wrapText="false" indent="0" shrinkToFit="false"/>
      <protection locked="true" hidden="false"/>
    </xf>
    <xf numFmtId="173" fontId="14" fillId="0" borderId="1" xfId="17" applyFont="true" applyBorder="true" applyAlignment="true" applyProtection="true">
      <alignment horizontal="general" vertical="bottom" textRotation="0" wrapText="false" indent="0" shrinkToFit="false"/>
      <protection locked="true" hidden="false"/>
    </xf>
    <xf numFmtId="173" fontId="21" fillId="0" borderId="0" xfId="15" applyFont="true" applyBorder="true" applyAlignment="true" applyProtection="true">
      <alignment horizontal="general" vertical="bottom" textRotation="0" wrapText="false" indent="0" shrinkToFit="false"/>
      <protection locked="true" hidden="false"/>
    </xf>
    <xf numFmtId="166" fontId="21" fillId="10" borderId="23" xfId="0" applyFont="true" applyBorder="true" applyAlignment="false" applyProtection="false">
      <alignment horizontal="general" vertical="bottom" textRotation="0" wrapText="false" indent="0" shrinkToFit="false"/>
      <protection locked="true" hidden="false"/>
    </xf>
    <xf numFmtId="174" fontId="14" fillId="0" borderId="1"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21" fillId="10" borderId="1" xfId="0" applyFont="true" applyBorder="true" applyAlignment="false" applyProtection="false">
      <alignment horizontal="general" vertical="bottom" textRotation="0" wrapText="false" indent="0" shrinkToFit="false"/>
      <protection locked="true" hidden="false"/>
    </xf>
    <xf numFmtId="164" fontId="19" fillId="10" borderId="1" xfId="0" applyFont="true" applyBorder="true" applyAlignment="true" applyProtection="false">
      <alignment horizontal="left" vertical="bottom" textRotation="0" wrapText="false" indent="2" shrinkToFit="false"/>
      <protection locked="true" hidden="false"/>
    </xf>
    <xf numFmtId="177" fontId="19" fillId="0" borderId="3" xfId="15" applyFont="true" applyBorder="true" applyAlignment="true" applyProtection="true">
      <alignment horizontal="general" vertical="bottom" textRotation="0" wrapText="false" indent="0" shrinkToFit="false"/>
      <protection locked="true" hidden="false"/>
    </xf>
    <xf numFmtId="168" fontId="27" fillId="0" borderId="0" xfId="15" applyFont="true" applyBorder="true" applyAlignment="true" applyProtection="true">
      <alignment horizontal="right" vertical="bottom" textRotation="0" wrapText="false" indent="0" shrinkToFit="false"/>
      <protection locked="true" hidden="false"/>
    </xf>
    <xf numFmtId="177" fontId="19" fillId="6"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1"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72" fontId="19" fillId="0" borderId="0" xfId="0" applyFont="true" applyBorder="false" applyAlignment="false" applyProtection="false">
      <alignment horizontal="general" vertical="bottom" textRotation="0" wrapText="false" indent="0" shrinkToFit="false"/>
      <protection locked="true" hidden="false"/>
    </xf>
    <xf numFmtId="172" fontId="0" fillId="0" borderId="3" xfId="0" applyFont="false" applyBorder="true" applyAlignment="false" applyProtection="false">
      <alignment horizontal="general" vertical="bottom" textRotation="0" wrapText="false" indent="0" shrinkToFit="false"/>
      <protection locked="true" hidden="false"/>
    </xf>
    <xf numFmtId="172" fontId="0" fillId="0" borderId="0" xfId="19" applyFont="true" applyBorder="true" applyAlignment="true" applyProtection="true">
      <alignment horizontal="general" vertical="bottom" textRotation="0" wrapText="false" indent="0" shrinkToFit="false"/>
      <protection locked="true" hidden="false"/>
    </xf>
    <xf numFmtId="164" fontId="21" fillId="12"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72" fontId="14" fillId="0" borderId="1" xfId="0" applyFont="true" applyBorder="tru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1" shrinkToFit="false"/>
      <protection locked="true" hidden="false"/>
    </xf>
    <xf numFmtId="168" fontId="19" fillId="0" borderId="3"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8" fontId="14" fillId="0" borderId="0" xfId="15" applyFont="true" applyBorder="true" applyAlignment="true" applyProtection="true">
      <alignment horizontal="general" vertical="bottom" textRotation="0" wrapText="false" indent="0" shrinkToFit="false"/>
      <protection locked="true" hidden="false"/>
    </xf>
    <xf numFmtId="164" fontId="19" fillId="6" borderId="0" xfId="0" applyFont="true" applyBorder="false" applyAlignment="true" applyProtection="false">
      <alignment horizontal="right" vertical="bottom" textRotation="0" wrapText="false" indent="0" shrinkToFit="false"/>
      <protection locked="true" hidden="false"/>
    </xf>
    <xf numFmtId="172" fontId="19" fillId="0" borderId="3" xfId="0" applyFont="true" applyBorder="true" applyAlignment="false" applyProtection="false">
      <alignment horizontal="general" vertical="bottom" textRotation="0" wrapText="false" indent="0" shrinkToFit="false"/>
      <protection locked="true" hidden="false"/>
    </xf>
    <xf numFmtId="167" fontId="10" fillId="3" borderId="0" xfId="15" applyFont="true" applyBorder="true" applyAlignment="true" applyProtection="true">
      <alignment horizontal="right"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20" fillId="2" borderId="3" xfId="0" applyFont="true" applyBorder="true" applyAlignment="false" applyProtection="false">
      <alignment horizontal="general" vertical="bottom" textRotation="0" wrapText="false" indent="0" shrinkToFit="false"/>
      <protection locked="true" hidden="false"/>
    </xf>
    <xf numFmtId="164" fontId="36" fillId="2" borderId="0" xfId="0" applyFont="true" applyBorder="false" applyAlignment="false" applyProtection="false">
      <alignment horizontal="general" vertical="bottom" textRotation="0" wrapText="false" indent="0" shrinkToFit="false"/>
      <protection locked="true" hidden="false"/>
    </xf>
    <xf numFmtId="172" fontId="19" fillId="2" borderId="0" xfId="0" applyFont="true" applyBorder="false" applyAlignment="false" applyProtection="false">
      <alignment horizontal="general" vertical="bottom" textRotation="0" wrapText="false" indent="0" shrinkToFit="false"/>
      <protection locked="true" hidden="false"/>
    </xf>
    <xf numFmtId="168" fontId="0" fillId="2" borderId="0" xfId="15" applyFont="true" applyBorder="true" applyAlignment="true" applyProtection="true">
      <alignment horizontal="left" vertical="bottom" textRotation="0" wrapText="false" indent="2" shrinkToFit="false"/>
      <protection locked="true" hidden="false"/>
    </xf>
    <xf numFmtId="168" fontId="0" fillId="2" borderId="0" xfId="15" applyFont="true" applyBorder="true" applyAlignment="true" applyProtection="true">
      <alignment horizontal="left"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9" fontId="0" fillId="2" borderId="4" xfId="0" applyFont="fals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12" fillId="2" borderId="8" xfId="0" applyFont="true" applyBorder="true" applyAlignment="false" applyProtection="false">
      <alignment horizontal="general" vertical="bottom" textRotation="0" wrapText="false" indent="0" shrinkToFit="false"/>
      <protection locked="true" hidden="false"/>
    </xf>
    <xf numFmtId="177" fontId="0" fillId="2" borderId="0" xfId="15" applyFont="true" applyBorder="true" applyAlignment="true" applyProtection="true">
      <alignment horizontal="general" vertical="bottom" textRotation="0" wrapText="false" indent="0" shrinkToFit="false"/>
      <protection locked="true" hidden="false"/>
    </xf>
    <xf numFmtId="164" fontId="21" fillId="2" borderId="3" xfId="0" applyFont="true" applyBorder="true" applyAlignment="true" applyProtection="false">
      <alignment horizontal="left" vertical="bottom" textRotation="0" wrapText="false" indent="1" shrinkToFit="false"/>
      <protection locked="true" hidden="false"/>
    </xf>
    <xf numFmtId="164" fontId="21" fillId="0" borderId="0" xfId="0" applyFont="true" applyBorder="false" applyAlignment="true" applyProtection="false">
      <alignment horizontal="left" vertical="bottom" textRotation="0" wrapText="false" indent="1" shrinkToFit="false"/>
      <protection locked="true" hidden="false"/>
    </xf>
    <xf numFmtId="169" fontId="12" fillId="2" borderId="11" xfId="0" applyFont="true" applyBorder="true" applyAlignment="false" applyProtection="false">
      <alignment horizontal="general" vertical="bottom" textRotation="0" wrapText="false" indent="0" shrinkToFit="false"/>
      <protection locked="true" hidden="false"/>
    </xf>
    <xf numFmtId="169" fontId="0" fillId="2" borderId="11" xfId="0" applyFont="false" applyBorder="true" applyAlignment="false" applyProtection="false">
      <alignment horizontal="general" vertical="bottom" textRotation="0" wrapText="false" indent="0" shrinkToFit="false"/>
      <protection locked="true" hidden="false"/>
    </xf>
    <xf numFmtId="164" fontId="19" fillId="2" borderId="11" xfId="0" applyFont="true" applyBorder="true" applyAlignment="false" applyProtection="false">
      <alignment horizontal="general" vertical="bottom" textRotation="0" wrapText="false" indent="0" shrinkToFit="false"/>
      <protection locked="true" hidden="false"/>
    </xf>
    <xf numFmtId="164" fontId="0" fillId="2" borderId="11" xfId="0" applyFont="false" applyBorder="true" applyAlignment="false" applyProtection="false">
      <alignment horizontal="general" vertical="bottom" textRotation="0" wrapText="false" indent="0" shrinkToFit="false"/>
      <protection locked="true" hidden="false"/>
    </xf>
    <xf numFmtId="169" fontId="23" fillId="0" borderId="11" xfId="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12" fillId="2" borderId="11" xfId="0" applyFont="true" applyBorder="true" applyAlignment="true" applyProtection="false">
      <alignment horizontal="left" vertical="bottom" textRotation="0" wrapText="false" indent="0" shrinkToFit="false"/>
      <protection locked="true" hidden="false"/>
    </xf>
    <xf numFmtId="168" fontId="43" fillId="2" borderId="0" xfId="15" applyFont="true" applyBorder="true" applyAlignment="true" applyProtection="true">
      <alignment horizontal="general" vertical="bottom" textRotation="0" wrapText="false" indent="0" shrinkToFit="false"/>
      <protection locked="true" hidden="false"/>
    </xf>
    <xf numFmtId="168" fontId="43" fillId="2" borderId="0" xfId="15" applyFont="true" applyBorder="true" applyAlignment="true" applyProtection="true">
      <alignment horizontal="left" vertical="bottom" textRotation="0" wrapText="false" indent="0" shrinkToFit="false"/>
      <protection locked="true" hidden="false"/>
    </xf>
    <xf numFmtId="168" fontId="44" fillId="2" borderId="0" xfId="15" applyFont="true" applyBorder="true" applyAlignment="true" applyProtection="true">
      <alignment horizontal="general" vertical="bottom" textRotation="0" wrapText="false" indent="0" shrinkToFit="false"/>
      <protection locked="true" hidden="false"/>
    </xf>
    <xf numFmtId="168" fontId="45" fillId="2"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8" fontId="12" fillId="2" borderId="4" xfId="15" applyFont="true" applyBorder="true" applyAlignment="true" applyProtection="true">
      <alignment horizontal="general" vertical="bottom" textRotation="0" wrapText="false" indent="0" shrinkToFit="false"/>
      <protection locked="true" hidden="false"/>
    </xf>
    <xf numFmtId="168" fontId="12" fillId="2" borderId="0" xfId="0" applyFont="true" applyBorder="false" applyAlignment="false" applyProtection="false">
      <alignment horizontal="general" vertical="bottom" textRotation="0" wrapText="false" indent="0" shrinkToFit="false"/>
      <protection locked="true" hidden="false"/>
    </xf>
    <xf numFmtId="164" fontId="46" fillId="2" borderId="0" xfId="0" applyFont="true" applyBorder="false" applyAlignment="false" applyProtection="false">
      <alignment horizontal="general" vertical="bottom" textRotation="0" wrapText="false" indent="0" shrinkToFit="false"/>
      <protection locked="true" hidden="false"/>
    </xf>
    <xf numFmtId="168" fontId="46" fillId="2" borderId="0" xfId="15" applyFont="true" applyBorder="true" applyAlignment="true" applyProtection="true">
      <alignment horizontal="general" vertical="bottom" textRotation="0" wrapText="false" indent="0" shrinkToFit="false"/>
      <protection locked="true" hidden="false"/>
    </xf>
    <xf numFmtId="168" fontId="46" fillId="2" borderId="0" xfId="0" applyFont="true" applyBorder="false" applyAlignment="false" applyProtection="false">
      <alignment horizontal="general" vertical="bottom" textRotation="0" wrapText="false" indent="0" shrinkToFit="false"/>
      <protection locked="true" hidden="false"/>
    </xf>
    <xf numFmtId="174" fontId="0" fillId="2" borderId="0" xfId="0" applyFont="false" applyBorder="false" applyAlignment="false" applyProtection="false">
      <alignment horizontal="general" vertical="bottom" textRotation="0" wrapText="false" indent="0" shrinkToFit="false"/>
      <protection locked="true" hidden="false"/>
    </xf>
    <xf numFmtId="166" fontId="28" fillId="2" borderId="1" xfId="0" applyFont="true" applyBorder="true" applyAlignment="false" applyProtection="false">
      <alignment horizontal="general" vertical="bottom" textRotation="0" wrapText="false" indent="0" shrinkToFit="false"/>
      <protection locked="true" hidden="false"/>
    </xf>
    <xf numFmtId="166" fontId="19" fillId="2" borderId="1" xfId="0" applyFont="true" applyBorder="true" applyAlignment="false" applyProtection="false">
      <alignment horizontal="general" vertical="bottom" textRotation="0" wrapText="false" indent="0" shrinkToFit="false"/>
      <protection locked="true" hidden="false"/>
    </xf>
    <xf numFmtId="173" fontId="28" fillId="2" borderId="1" xfId="0" applyFont="true" applyBorder="true" applyAlignment="false" applyProtection="false">
      <alignment horizontal="general" vertical="bottom" textRotation="0" wrapText="false" indent="0" shrinkToFit="false"/>
      <protection locked="true" hidden="false"/>
    </xf>
    <xf numFmtId="173" fontId="28" fillId="2" borderId="0" xfId="0" applyFont="true" applyBorder="false" applyAlignment="false" applyProtection="false">
      <alignment horizontal="general" vertical="bottom" textRotation="0" wrapText="false" indent="0" shrinkToFit="false"/>
      <protection locked="true" hidden="false"/>
    </xf>
    <xf numFmtId="164" fontId="23" fillId="12" borderId="0" xfId="0" applyFont="true" applyBorder="false" applyAlignment="false" applyProtection="false">
      <alignment horizontal="general" vertical="bottom" textRotation="0" wrapText="false" indent="0" shrinkToFit="false"/>
      <protection locked="true" hidden="false"/>
    </xf>
    <xf numFmtId="164" fontId="31" fillId="12" borderId="0" xfId="0" applyFont="true" applyBorder="false" applyAlignment="false" applyProtection="false">
      <alignment horizontal="general" vertical="bottom" textRotation="0" wrapText="false" indent="0" shrinkToFit="false"/>
      <protection locked="true" hidden="false"/>
    </xf>
    <xf numFmtId="177" fontId="31" fillId="12" borderId="0" xfId="15" applyFont="true" applyBorder="true" applyAlignment="true" applyProtection="tru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77" fontId="47" fillId="0" borderId="0" xfId="15" applyFont="true" applyBorder="true" applyAlignment="true" applyProtection="true">
      <alignment horizontal="general" vertical="bottom" textRotation="0" wrapText="false" indent="0" shrinkToFit="false"/>
      <protection locked="true" hidden="false"/>
    </xf>
    <xf numFmtId="168" fontId="47" fillId="0" borderId="0" xfId="15" applyFont="true" applyBorder="true" applyAlignment="true" applyProtection="tru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6" fontId="29" fillId="2" borderId="0" xfId="0" applyFont="true" applyBorder="false" applyAlignment="true" applyProtection="false">
      <alignment horizontal="left" vertical="bottom" textRotation="0" wrapText="false" indent="1" shrinkToFit="false"/>
      <protection locked="true" hidden="false"/>
    </xf>
    <xf numFmtId="164" fontId="29" fillId="0" borderId="0" xfId="0" applyFont="true" applyBorder="false" applyAlignment="true" applyProtection="false">
      <alignment horizontal="left" vertical="bottom" textRotation="0" wrapText="false" indent="2" shrinkToFit="false"/>
      <protection locked="true" hidden="false"/>
    </xf>
    <xf numFmtId="164" fontId="0" fillId="2" borderId="4" xfId="0" applyFont="true" applyBorder="true" applyAlignment="true" applyProtection="false">
      <alignment horizontal="left" vertical="bottom" textRotation="0" wrapText="false" indent="1" shrinkToFit="false"/>
      <protection locked="true" hidden="false"/>
    </xf>
    <xf numFmtId="164" fontId="19" fillId="0" borderId="4" xfId="0" applyFont="true" applyBorder="true" applyAlignment="true" applyProtection="false">
      <alignment horizontal="left" vertical="bottom" textRotation="0" wrapText="false" indent="2" shrinkToFit="false"/>
      <protection locked="true" hidden="false"/>
    </xf>
    <xf numFmtId="177" fontId="19" fillId="0" borderId="4" xfId="15" applyFont="true" applyBorder="true" applyAlignment="true" applyProtection="true">
      <alignment horizontal="general" vertical="bottom" textRotation="0" wrapText="false" indent="0" shrinkToFit="false"/>
      <protection locked="true" hidden="false"/>
    </xf>
    <xf numFmtId="168" fontId="0" fillId="0" borderId="4" xfId="15" applyFont="true" applyBorder="true" applyAlignment="true" applyProtection="true">
      <alignment horizontal="general" vertical="bottom" textRotation="0" wrapText="false" indent="0" shrinkToFit="false"/>
      <protection locked="true" hidden="false"/>
    </xf>
    <xf numFmtId="167" fontId="27" fillId="0" borderId="1" xfId="0" applyFont="true" applyBorder="true" applyAlignment="false" applyProtection="false">
      <alignment horizontal="general" vertical="bottom" textRotation="0" wrapText="false" indent="0" shrinkToFit="false"/>
      <protection locked="true" hidden="false"/>
    </xf>
    <xf numFmtId="177" fontId="31" fillId="10" borderId="0" xfId="15"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9" fontId="0" fillId="0" borderId="4" xfId="17" applyFont="true" applyBorder="true" applyAlignment="true" applyProtection="true">
      <alignment horizontal="general" vertical="bottom" textRotation="0" wrapText="false" indent="0" shrinkToFit="false"/>
      <protection locked="true" hidden="false"/>
    </xf>
    <xf numFmtId="172" fontId="0" fillId="0" borderId="4"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84" fontId="13" fillId="0" borderId="0" xfId="19" applyFont="true" applyBorder="true" applyAlignment="true" applyProtection="true">
      <alignment horizontal="general" vertical="bottom" textRotation="0" wrapText="false" indent="0" shrinkToFit="false"/>
      <protection locked="true" hidden="false"/>
    </xf>
    <xf numFmtId="164" fontId="30" fillId="0" borderId="0" xfId="20" applyFont="true" applyBorder="true" applyAlignment="true" applyProtection="true">
      <alignment horizontal="general" vertical="bottom" textRotation="0" wrapText="true" indent="0" shrinkToFit="false"/>
      <protection locked="true" hidden="false"/>
    </xf>
    <xf numFmtId="184" fontId="0" fillId="0" borderId="0" xfId="19" applyFont="true" applyBorder="true" applyAlignment="true" applyProtection="true">
      <alignment horizontal="general" vertical="bottom" textRotation="0" wrapText="false" indent="0" shrinkToFit="false"/>
      <protection locked="true" hidden="false"/>
    </xf>
    <xf numFmtId="173" fontId="13" fillId="0" borderId="0" xfId="19" applyFont="true" applyBorder="true" applyAlignment="true" applyProtection="true">
      <alignment horizontal="general" vertical="bottom" textRotation="0" wrapText="false" indent="0" shrinkToFit="false"/>
      <protection locked="true" hidden="false"/>
    </xf>
    <xf numFmtId="174" fontId="13" fillId="0" borderId="0" xfId="15" applyFont="true" applyBorder="true" applyAlignment="true" applyProtection="true">
      <alignment horizontal="general" vertical="bottom" textRotation="0" wrapText="false" indent="0" shrinkToFit="false"/>
      <protection locked="true" hidden="false"/>
    </xf>
    <xf numFmtId="174" fontId="0" fillId="2" borderId="4" xfId="15" applyFont="true" applyBorder="true" applyAlignment="true" applyProtection="true">
      <alignment horizontal="center" vertical="bottom" textRotation="0" wrapText="false" indent="0" shrinkToFit="false"/>
      <protection locked="true" hidden="false"/>
    </xf>
    <xf numFmtId="184" fontId="0" fillId="0" borderId="4" xfId="19"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2" shrinkToFit="false"/>
      <protection locked="true" hidden="false"/>
    </xf>
    <xf numFmtId="184" fontId="14" fillId="0" borderId="1" xfId="19" applyFont="true" applyBorder="true" applyAlignment="true" applyProtection="true">
      <alignment horizontal="general" vertical="bottom" textRotation="0" wrapText="false" indent="0" shrinkToFit="false"/>
      <protection locked="true" hidden="false"/>
    </xf>
    <xf numFmtId="184" fontId="14" fillId="0" borderId="0" xfId="19" applyFont="true" applyBorder="true" applyAlignment="true" applyProtection="tru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84" fontId="0" fillId="0" borderId="3" xfId="19" applyFont="true" applyBorder="true" applyAlignment="true" applyProtection="true">
      <alignment horizontal="general" vertical="bottom" textRotation="0" wrapText="false" indent="0" shrinkToFit="false"/>
      <protection locked="true" hidden="false"/>
    </xf>
    <xf numFmtId="184" fontId="12" fillId="0" borderId="0" xfId="19" applyFont="true" applyBorder="true" applyAlignment="true" applyProtection="true">
      <alignment horizontal="general" vertical="bottom" textRotation="0" wrapText="false" indent="0" shrinkToFit="false"/>
      <protection locked="true" hidden="false"/>
    </xf>
    <xf numFmtId="184" fontId="13"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left"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15"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right" vertical="bottom"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52" fillId="13" borderId="25" xfId="0" applyFont="true" applyBorder="true" applyAlignment="true" applyProtection="false">
      <alignment horizontal="general" vertical="center" textRotation="0" wrapText="true" indent="0" shrinkToFit="false"/>
      <protection locked="true" hidden="false"/>
    </xf>
    <xf numFmtId="164" fontId="52" fillId="13" borderId="26" xfId="0" applyFont="true" applyBorder="true" applyAlignment="true" applyProtection="false">
      <alignment horizontal="general" vertical="center" textRotation="0" wrapText="true" indent="0" shrinkToFit="false"/>
      <protection locked="true" hidden="false"/>
    </xf>
    <xf numFmtId="164" fontId="52" fillId="13" borderId="27" xfId="0" applyFont="true" applyBorder="true" applyAlignment="true" applyProtection="false">
      <alignment horizontal="general" vertical="center" textRotation="0" wrapText="true" indent="0" shrinkToFit="false"/>
      <protection locked="true" hidden="false"/>
    </xf>
    <xf numFmtId="164" fontId="52" fillId="13" borderId="28" xfId="0" applyFont="true" applyBorder="true" applyAlignment="true" applyProtection="false">
      <alignment horizontal="center" vertical="center" textRotation="0" wrapText="true" indent="0" shrinkToFit="false"/>
      <protection locked="true" hidden="false"/>
    </xf>
    <xf numFmtId="164" fontId="52" fillId="13" borderId="29" xfId="0" applyFont="true" applyBorder="true" applyAlignment="true" applyProtection="false">
      <alignment horizontal="center" vertical="center" textRotation="0" wrapText="false" indent="0" shrinkToFit="false"/>
      <protection locked="true" hidden="false"/>
    </xf>
    <xf numFmtId="164" fontId="53" fillId="14" borderId="30" xfId="0" applyFont="true" applyBorder="true" applyAlignment="true" applyProtection="false">
      <alignment horizontal="right" vertical="center" textRotation="0" wrapText="false" indent="0" shrinkToFit="false"/>
      <protection locked="true" hidden="false"/>
    </xf>
    <xf numFmtId="186" fontId="53" fillId="15" borderId="30" xfId="0" applyFont="true" applyBorder="true" applyAlignment="true" applyProtection="false">
      <alignment horizontal="right" vertical="center" textRotation="0" wrapText="false" indent="0" shrinkToFit="false"/>
      <protection locked="true" hidden="false"/>
    </xf>
    <xf numFmtId="186" fontId="53" fillId="14" borderId="30" xfId="0" applyFont="true" applyBorder="true" applyAlignment="true" applyProtection="false">
      <alignment horizontal="right" vertical="center" textRotation="0" wrapText="false" indent="0" shrinkToFit="false"/>
      <protection locked="true" hidden="false"/>
    </xf>
    <xf numFmtId="164" fontId="52" fillId="13" borderId="25" xfId="0" applyFont="true" applyBorder="true" applyAlignment="true" applyProtection="false">
      <alignment horizontal="center" vertical="center" textRotation="0" wrapText="false" indent="0" shrinkToFit="false"/>
      <protection locked="true" hidden="false"/>
    </xf>
    <xf numFmtId="186" fontId="52" fillId="13" borderId="26" xfId="0" applyFont="true" applyBorder="true" applyAlignment="true" applyProtection="false">
      <alignment horizontal="right" vertical="center" textRotation="0" wrapText="false" indent="0" shrinkToFit="false"/>
      <protection locked="true" hidden="false"/>
    </xf>
    <xf numFmtId="186" fontId="52" fillId="13" borderId="27" xfId="0" applyFont="true" applyBorder="true" applyAlignment="true" applyProtection="false">
      <alignment horizontal="right" vertical="center" textRotation="0" wrapText="false" indent="0" shrinkToFit="false"/>
      <protection locked="true" hidden="false"/>
    </xf>
    <xf numFmtId="164" fontId="52" fillId="13" borderId="29" xfId="0" applyFont="true" applyBorder="true" applyAlignment="true" applyProtection="false">
      <alignment horizontal="center" vertical="center" textRotation="0" wrapText="true" indent="0" shrinkToFit="false"/>
      <protection locked="true" hidden="false"/>
    </xf>
    <xf numFmtId="186" fontId="54" fillId="15" borderId="30" xfId="0" applyFont="true" applyBorder="true" applyAlignment="true" applyProtection="false">
      <alignment horizontal="right" vertical="center"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center" vertical="bottom" textRotation="0" wrapText="false" indent="0" shrinkToFit="false"/>
      <protection locked="true" hidden="false"/>
    </xf>
    <xf numFmtId="164" fontId="0" fillId="10" borderId="0" xfId="0" applyFont="true" applyBorder="false" applyAlignment="true" applyProtection="false">
      <alignment horizontal="right" vertical="bottom" textRotation="0" wrapText="false" indent="0" shrinkToFit="false"/>
      <protection locked="true" hidden="false"/>
    </xf>
    <xf numFmtId="164" fontId="0" fillId="10" borderId="0" xfId="0" applyFont="true" applyBorder="false" applyAlignment="true" applyProtection="false">
      <alignment horizontal="left" vertical="bottom" textRotation="0" wrapText="false" indent="0" shrinkToFit="false"/>
      <protection locked="true" hidden="false"/>
    </xf>
    <xf numFmtId="192" fontId="0" fillId="0" borderId="0" xfId="0" applyFont="false" applyBorder="false" applyAlignment="false" applyProtection="false">
      <alignment horizontal="general" vertical="bottom" textRotation="0" wrapText="false" indent="0" shrinkToFit="false"/>
      <protection locked="true" hidden="false"/>
    </xf>
    <xf numFmtId="184" fontId="0" fillId="2" borderId="0" xfId="19" applyFont="true" applyBorder="true" applyAlignment="true" applyProtection="true">
      <alignment horizontal="general" vertical="bottom" textRotation="0" wrapText="false" indent="0" shrinkToFit="false"/>
      <protection locked="true" hidden="false"/>
    </xf>
    <xf numFmtId="173" fontId="0" fillId="2" borderId="0" xfId="19" applyFont="true" applyBorder="true" applyAlignment="true" applyProtection="true">
      <alignment horizontal="right" vertical="bottom" textRotation="0" wrapText="false" indent="0" shrinkToFit="false"/>
      <protection locked="true" hidden="false"/>
    </xf>
    <xf numFmtId="192" fontId="0" fillId="2" borderId="0" xfId="0" applyFont="false" applyBorder="false" applyAlignment="false" applyProtection="false">
      <alignment horizontal="general" vertical="bottom" textRotation="0" wrapText="false" indent="0" shrinkToFit="false"/>
      <protection locked="true" hidden="false"/>
    </xf>
    <xf numFmtId="184" fontId="0" fillId="2" borderId="0" xfId="0" applyFont="false" applyBorder="false" applyAlignment="false" applyProtection="false">
      <alignment horizontal="general" vertical="bottom" textRotation="0" wrapText="false" indent="0" shrinkToFit="false"/>
      <protection locked="true" hidden="false"/>
    </xf>
    <xf numFmtId="164" fontId="55" fillId="16" borderId="1" xfId="0" applyFont="true" applyBorder="true" applyAlignment="true" applyProtection="false">
      <alignment horizontal="justify" vertical="center" textRotation="0" wrapText="true" indent="0" shrinkToFit="false"/>
      <protection locked="true" hidden="false"/>
    </xf>
    <xf numFmtId="164" fontId="56" fillId="17" borderId="1" xfId="0" applyFont="true" applyBorder="true" applyAlignment="true" applyProtection="false">
      <alignment horizontal="justify" vertical="center" textRotation="0" wrapText="true" indent="0" shrinkToFit="false"/>
      <protection locked="true" hidden="false"/>
    </xf>
    <xf numFmtId="164" fontId="6" fillId="17" borderId="1" xfId="0" applyFont="true" applyBorder="true" applyAlignment="true" applyProtection="false">
      <alignment horizontal="justify" vertical="center" textRotation="0" wrapText="true" indent="0" shrinkToFit="false"/>
      <protection locked="true" hidden="false"/>
    </xf>
    <xf numFmtId="164" fontId="12" fillId="0" borderId="1" xfId="0" applyFont="true" applyBorder="true" applyAlignment="true" applyProtection="false">
      <alignment horizontal="justify" vertical="center" textRotation="0" wrapText="true" indent="0" shrinkToFit="false"/>
      <protection locked="true" hidden="false"/>
    </xf>
    <xf numFmtId="164" fontId="0" fillId="0" borderId="1" xfId="0" applyFont="true" applyBorder="true" applyAlignment="true" applyProtection="false">
      <alignment horizontal="justify"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Normal 14" xfId="22"/>
    <cellStyle name="Normal 2" xfId="23"/>
    <cellStyle name="Normal_NFC Detailed Model v2 0" xfId="24"/>
    <cellStyle name="*unknown*" xfId="20" builtinId="8"/>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AD1C7"/>
      <rgbColor rgb="FF7E7979"/>
      <rgbColor rgb="FF5B9BD5"/>
      <rgbColor rgb="FF7030A0"/>
      <rgbColor rgb="FFF2F2F2"/>
      <rgbColor rgb="FFE8EFE7"/>
      <rgbColor rgb="FF660066"/>
      <rgbColor rgb="FFFF8080"/>
      <rgbColor rgb="FF0563C1"/>
      <rgbColor rgb="FFD6DCE5"/>
      <rgbColor rgb="FF000080"/>
      <rgbColor rgb="FFFF00FF"/>
      <rgbColor rgb="FFFFFF00"/>
      <rgbColor rgb="FF00FFFF"/>
      <rgbColor rgb="FF800080"/>
      <rgbColor rgb="FFC00000"/>
      <rgbColor rgb="FF008080"/>
      <rgbColor rgb="FF0000CC"/>
      <rgbColor rgb="FF00CCFF"/>
      <rgbColor rgb="FFDCE8E3"/>
      <rgbColor rgb="FFE2F0D9"/>
      <rgbColor rgb="FFFBE5D6"/>
      <rgbColor rgb="FFD0CECE"/>
      <rgbColor rgb="FFE7E6E6"/>
      <rgbColor rgb="FF8FB38C"/>
      <rgbColor rgb="FFFFC7CE"/>
      <rgbColor rgb="FF3366FF"/>
      <rgbColor rgb="FF33CCCC"/>
      <rgbColor rgb="FFA9D18E"/>
      <rgbColor rgb="FFC5E0B4"/>
      <rgbColor rgb="FFFF9900"/>
      <rgbColor rgb="FFFF6600"/>
      <rgbColor rgb="FF628F5F"/>
      <rgbColor rgb="FFAFABAB"/>
      <rgbColor rgb="FF003366"/>
      <rgbColor rgb="FF5A8773"/>
      <rgbColor rgb="FF003300"/>
      <rgbColor rgb="FF333300"/>
      <rgbColor rgb="FF993300"/>
      <rgbColor rgb="FF993366"/>
      <rgbColor rgb="FF333399"/>
      <rgbColor rgb="FF3857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9360</xdr:colOff>
      <xdr:row>2</xdr:row>
      <xdr:rowOff>95400</xdr:rowOff>
    </xdr:from>
    <xdr:to>
      <xdr:col>6</xdr:col>
      <xdr:colOff>95040</xdr:colOff>
      <xdr:row>7</xdr:row>
      <xdr:rowOff>47160</xdr:rowOff>
    </xdr:to>
    <xdr:grpSp>
      <xdr:nvGrpSpPr>
        <xdr:cNvPr id="0" name="Group 1"/>
        <xdr:cNvGrpSpPr/>
      </xdr:nvGrpSpPr>
      <xdr:grpSpPr>
        <a:xfrm>
          <a:off x="432360" y="476280"/>
          <a:ext cx="2529000" cy="904320"/>
          <a:chOff x="432360" y="476280"/>
          <a:chExt cx="2529000" cy="904320"/>
        </a:xfrm>
      </xdr:grpSpPr>
      <xdr:sp>
        <xdr:nvSpPr>
          <xdr:cNvPr id="1" name="Shape 10"/>
          <xdr:cNvSpPr/>
        </xdr:nvSpPr>
        <xdr:spPr>
          <a:xfrm>
            <a:off x="615240" y="946800"/>
            <a:ext cx="73080" cy="101880"/>
          </a:xfrm>
          <a:custGeom>
            <a:avLst/>
            <a:gdLst/>
            <a:ahLst/>
            <a:rect l="l" t="t" r="r" b="b"/>
            <a:pathLst>
              <a:path w="66230" h="84488">
                <a:moveTo>
                  <a:pt x="0" y="0"/>
                </a:moveTo>
                <a:lnTo>
                  <a:pt x="66230" y="0"/>
                </a:lnTo>
                <a:lnTo>
                  <a:pt x="66230" y="84488"/>
                </a:lnTo>
                <a:lnTo>
                  <a:pt x="52864" y="82316"/>
                </a:lnTo>
                <a:cubicBezTo>
                  <a:pt x="22627" y="71590"/>
                  <a:pt x="1448" y="44568"/>
                  <a:pt x="0" y="0"/>
                </a:cubicBezTo>
                <a:close/>
              </a:path>
            </a:pathLst>
          </a:custGeom>
          <a:solidFill>
            <a:srgbClr val="8eb28b"/>
          </a:solidFill>
          <a:ln w="0">
            <a:noFill/>
          </a:ln>
        </xdr:spPr>
        <xdr:style>
          <a:lnRef idx="0"/>
          <a:fillRef idx="0"/>
          <a:effectRef idx="0"/>
          <a:fontRef idx="minor"/>
        </xdr:style>
      </xdr:sp>
      <xdr:sp>
        <xdr:nvSpPr>
          <xdr:cNvPr id="2" name="Shape 11"/>
          <xdr:cNvSpPr/>
        </xdr:nvSpPr>
        <xdr:spPr>
          <a:xfrm>
            <a:off x="432360" y="476280"/>
            <a:ext cx="255600" cy="744840"/>
          </a:xfrm>
          <a:custGeom>
            <a:avLst/>
            <a:gdLst/>
            <a:ahLst/>
            <a:rect l="l" t="t" r="r" b="b"/>
            <a:pathLst>
              <a:path w="231283" h="615001">
                <a:moveTo>
                  <a:pt x="120260" y="991"/>
                </a:moveTo>
                <a:lnTo>
                  <a:pt x="231283" y="38597"/>
                </a:lnTo>
                <a:lnTo>
                  <a:pt x="231283" y="248811"/>
                </a:lnTo>
                <a:lnTo>
                  <a:pt x="211679" y="250877"/>
                </a:lnTo>
                <a:cubicBezTo>
                  <a:pt x="157255" y="262761"/>
                  <a:pt x="122241" y="314609"/>
                  <a:pt x="122241" y="383629"/>
                </a:cubicBezTo>
                <a:cubicBezTo>
                  <a:pt x="122241" y="444236"/>
                  <a:pt x="149616" y="487320"/>
                  <a:pt x="194528" y="505075"/>
                </a:cubicBezTo>
                <a:lnTo>
                  <a:pt x="231283" y="511654"/>
                </a:lnTo>
                <a:lnTo>
                  <a:pt x="231283" y="615001"/>
                </a:lnTo>
                <a:lnTo>
                  <a:pt x="210851" y="605457"/>
                </a:lnTo>
                <a:cubicBezTo>
                  <a:pt x="6195" y="499051"/>
                  <a:pt x="0" y="336664"/>
                  <a:pt x="57941" y="164554"/>
                </a:cubicBezTo>
                <a:lnTo>
                  <a:pt x="111522" y="5855"/>
                </a:lnTo>
                <a:cubicBezTo>
                  <a:pt x="112462" y="1930"/>
                  <a:pt x="116386" y="0"/>
                  <a:pt x="120260" y="991"/>
                </a:cubicBezTo>
                <a:close/>
              </a:path>
            </a:pathLst>
          </a:custGeom>
          <a:solidFill>
            <a:srgbClr val="8eb28b"/>
          </a:solidFill>
          <a:ln w="0">
            <a:noFill/>
          </a:ln>
        </xdr:spPr>
        <xdr:style>
          <a:lnRef idx="0"/>
          <a:fillRef idx="0"/>
          <a:effectRef idx="0"/>
          <a:fontRef idx="minor"/>
        </xdr:style>
      </xdr:sp>
      <xdr:sp>
        <xdr:nvSpPr>
          <xdr:cNvPr id="3" name="Shape 12"/>
          <xdr:cNvSpPr/>
        </xdr:nvSpPr>
        <xdr:spPr>
          <a:xfrm>
            <a:off x="688680" y="522720"/>
            <a:ext cx="574200" cy="857880"/>
          </a:xfrm>
          <a:custGeom>
            <a:avLst/>
            <a:gdLst/>
            <a:ahLst/>
            <a:rect l="l" t="t" r="r" b="b"/>
            <a:pathLst>
              <a:path w="519011" h="708227">
                <a:moveTo>
                  <a:pt x="0" y="0"/>
                </a:moveTo>
                <a:lnTo>
                  <a:pt x="184988" y="62660"/>
                </a:lnTo>
                <a:cubicBezTo>
                  <a:pt x="427482" y="144461"/>
                  <a:pt x="519011" y="293432"/>
                  <a:pt x="435216" y="540790"/>
                </a:cubicBezTo>
                <a:lnTo>
                  <a:pt x="380695" y="702423"/>
                </a:lnTo>
                <a:cubicBezTo>
                  <a:pt x="379755" y="706284"/>
                  <a:pt x="375844" y="708227"/>
                  <a:pt x="371970" y="707274"/>
                </a:cubicBezTo>
                <a:lnTo>
                  <a:pt x="198628" y="648841"/>
                </a:lnTo>
                <a:lnTo>
                  <a:pt x="198628" y="440485"/>
                </a:lnTo>
                <a:cubicBezTo>
                  <a:pt x="212281" y="458989"/>
                  <a:pt x="239509" y="475499"/>
                  <a:pt x="270662" y="475499"/>
                </a:cubicBezTo>
                <a:cubicBezTo>
                  <a:pt x="345681" y="475499"/>
                  <a:pt x="385610" y="412253"/>
                  <a:pt x="385610" y="342098"/>
                </a:cubicBezTo>
                <a:cubicBezTo>
                  <a:pt x="385610" y="272007"/>
                  <a:pt x="345681" y="209701"/>
                  <a:pt x="270662" y="209701"/>
                </a:cubicBezTo>
                <a:cubicBezTo>
                  <a:pt x="238570" y="209701"/>
                  <a:pt x="212281" y="226262"/>
                  <a:pt x="198628" y="244715"/>
                </a:cubicBezTo>
                <a:lnTo>
                  <a:pt x="198628" y="214552"/>
                </a:lnTo>
                <a:lnTo>
                  <a:pt x="155766" y="214552"/>
                </a:lnTo>
                <a:lnTo>
                  <a:pt x="155766" y="634249"/>
                </a:lnTo>
                <a:lnTo>
                  <a:pt x="79820" y="608900"/>
                </a:lnTo>
                <a:cubicBezTo>
                  <a:pt x="60955" y="602509"/>
                  <a:pt x="43201" y="595800"/>
                  <a:pt x="26509" y="588787"/>
                </a:cubicBezTo>
                <a:lnTo>
                  <a:pt x="0" y="576404"/>
                </a:lnTo>
                <a:lnTo>
                  <a:pt x="0" y="473057"/>
                </a:lnTo>
                <a:lnTo>
                  <a:pt x="13640" y="475499"/>
                </a:lnTo>
                <a:cubicBezTo>
                  <a:pt x="44793" y="475499"/>
                  <a:pt x="71095" y="469695"/>
                  <a:pt x="91529" y="453134"/>
                </a:cubicBezTo>
                <a:lnTo>
                  <a:pt x="91529" y="413193"/>
                </a:lnTo>
                <a:cubicBezTo>
                  <a:pt x="69101" y="430757"/>
                  <a:pt x="48666" y="437552"/>
                  <a:pt x="19495" y="437552"/>
                </a:cubicBezTo>
                <a:lnTo>
                  <a:pt x="0" y="434384"/>
                </a:lnTo>
                <a:lnTo>
                  <a:pt x="0" y="349896"/>
                </a:lnTo>
                <a:lnTo>
                  <a:pt x="109042" y="349896"/>
                </a:lnTo>
                <a:lnTo>
                  <a:pt x="109042" y="334313"/>
                </a:lnTo>
                <a:cubicBezTo>
                  <a:pt x="109042" y="259358"/>
                  <a:pt x="74016" y="209701"/>
                  <a:pt x="4864" y="209701"/>
                </a:cubicBezTo>
                <a:lnTo>
                  <a:pt x="0" y="210214"/>
                </a:lnTo>
                <a:lnTo>
                  <a:pt x="0" y="0"/>
                </a:lnTo>
                <a:close/>
              </a:path>
            </a:pathLst>
          </a:custGeom>
          <a:solidFill>
            <a:srgbClr val="8eb28b"/>
          </a:solidFill>
          <a:ln w="0">
            <a:noFill/>
          </a:ln>
        </xdr:spPr>
        <xdr:style>
          <a:lnRef idx="0"/>
          <a:fillRef idx="0"/>
          <a:effectRef idx="0"/>
          <a:fontRef idx="minor"/>
        </xdr:style>
      </xdr:sp>
      <xdr:sp>
        <xdr:nvSpPr>
          <xdr:cNvPr id="4" name="Shape 13"/>
          <xdr:cNvSpPr/>
        </xdr:nvSpPr>
        <xdr:spPr>
          <a:xfrm>
            <a:off x="908640" y="824040"/>
            <a:ext cx="158040" cy="226080"/>
          </a:xfrm>
          <a:custGeom>
            <a:avLst/>
            <a:gdLst/>
            <a:ahLst/>
            <a:rect l="l" t="t" r="r" b="b"/>
            <a:pathLst>
              <a:path w="143129" h="186982">
                <a:moveTo>
                  <a:pt x="65240" y="0"/>
                </a:moveTo>
                <a:cubicBezTo>
                  <a:pt x="113957" y="0"/>
                  <a:pt x="143129" y="39941"/>
                  <a:pt x="143129" y="93459"/>
                </a:cubicBezTo>
                <a:cubicBezTo>
                  <a:pt x="143129" y="147041"/>
                  <a:pt x="113957" y="186982"/>
                  <a:pt x="65240" y="186982"/>
                </a:cubicBezTo>
                <a:cubicBezTo>
                  <a:pt x="37960" y="186982"/>
                  <a:pt x="12662" y="172339"/>
                  <a:pt x="0" y="145110"/>
                </a:cubicBezTo>
                <a:lnTo>
                  <a:pt x="0" y="41872"/>
                </a:lnTo>
                <a:cubicBezTo>
                  <a:pt x="12662" y="15583"/>
                  <a:pt x="37960" y="0"/>
                  <a:pt x="65240" y="0"/>
                </a:cubicBezTo>
                <a:close/>
              </a:path>
            </a:pathLst>
          </a:custGeom>
          <a:solidFill>
            <a:srgbClr val="8eb28b"/>
          </a:solidFill>
          <a:ln w="0">
            <a:noFill/>
          </a:ln>
        </xdr:spPr>
        <xdr:style>
          <a:lnRef idx="0"/>
          <a:fillRef idx="0"/>
          <a:effectRef idx="0"/>
          <a:fontRef idx="minor"/>
        </xdr:style>
      </xdr:sp>
      <xdr:sp>
        <xdr:nvSpPr>
          <xdr:cNvPr id="5" name="Shape 14"/>
          <xdr:cNvSpPr/>
        </xdr:nvSpPr>
        <xdr:spPr>
          <a:xfrm>
            <a:off x="1320480" y="774720"/>
            <a:ext cx="210960" cy="322920"/>
          </a:xfrm>
          <a:custGeom>
            <a:avLst/>
            <a:gdLst/>
            <a:ahLst/>
            <a:rect l="l" t="t" r="r" b="b"/>
            <a:pathLst>
              <a:path w="190843" h="266802">
                <a:moveTo>
                  <a:pt x="122682" y="0"/>
                </a:moveTo>
                <a:cubicBezTo>
                  <a:pt x="146990" y="0"/>
                  <a:pt x="173279" y="5804"/>
                  <a:pt x="190843" y="21387"/>
                </a:cubicBezTo>
                <a:lnTo>
                  <a:pt x="190843" y="65240"/>
                </a:lnTo>
                <a:cubicBezTo>
                  <a:pt x="172339" y="46736"/>
                  <a:pt x="149911" y="38951"/>
                  <a:pt x="125603" y="38951"/>
                </a:cubicBezTo>
                <a:cubicBezTo>
                  <a:pt x="80810" y="38951"/>
                  <a:pt x="43802" y="74968"/>
                  <a:pt x="43802" y="133401"/>
                </a:cubicBezTo>
                <a:cubicBezTo>
                  <a:pt x="43802" y="191795"/>
                  <a:pt x="79819" y="227813"/>
                  <a:pt x="125603" y="227813"/>
                </a:cubicBezTo>
                <a:cubicBezTo>
                  <a:pt x="149911" y="227813"/>
                  <a:pt x="172339" y="220066"/>
                  <a:pt x="190843" y="201562"/>
                </a:cubicBezTo>
                <a:lnTo>
                  <a:pt x="190843" y="245377"/>
                </a:lnTo>
                <a:cubicBezTo>
                  <a:pt x="173279" y="260947"/>
                  <a:pt x="146990" y="266802"/>
                  <a:pt x="122682" y="266802"/>
                </a:cubicBezTo>
                <a:cubicBezTo>
                  <a:pt x="53518" y="266802"/>
                  <a:pt x="0" y="216154"/>
                  <a:pt x="0" y="134341"/>
                </a:cubicBezTo>
                <a:cubicBezTo>
                  <a:pt x="0" y="52591"/>
                  <a:pt x="53518" y="1943"/>
                  <a:pt x="122682" y="0"/>
                </a:cubicBezTo>
                <a:close/>
              </a:path>
            </a:pathLst>
          </a:custGeom>
          <a:solidFill>
            <a:srgbClr val="335553"/>
          </a:solidFill>
          <a:ln w="0">
            <a:noFill/>
          </a:ln>
        </xdr:spPr>
        <xdr:style>
          <a:lnRef idx="0"/>
          <a:fillRef idx="0"/>
          <a:effectRef idx="0"/>
          <a:fontRef idx="minor"/>
        </xdr:style>
      </xdr:sp>
      <xdr:sp>
        <xdr:nvSpPr>
          <xdr:cNvPr id="6" name="Shape 15"/>
          <xdr:cNvSpPr/>
        </xdr:nvSpPr>
        <xdr:spPr>
          <a:xfrm>
            <a:off x="1590120" y="902160"/>
            <a:ext cx="109440" cy="195480"/>
          </a:xfrm>
          <a:custGeom>
            <a:avLst/>
            <a:gdLst/>
            <a:ahLst/>
            <a:rect l="l" t="t" r="r" b="b"/>
            <a:pathLst>
              <a:path w="99314" h="161620">
                <a:moveTo>
                  <a:pt x="97333" y="0"/>
                </a:moveTo>
                <a:lnTo>
                  <a:pt x="99314" y="346"/>
                </a:lnTo>
                <a:lnTo>
                  <a:pt x="99314" y="35122"/>
                </a:lnTo>
                <a:lnTo>
                  <a:pt x="77531" y="37618"/>
                </a:lnTo>
                <a:cubicBezTo>
                  <a:pt x="55905" y="42872"/>
                  <a:pt x="38938" y="56207"/>
                  <a:pt x="38938" y="78829"/>
                </a:cubicBezTo>
                <a:cubicBezTo>
                  <a:pt x="38938" y="102194"/>
                  <a:pt x="55905" y="116265"/>
                  <a:pt x="77531" y="121840"/>
                </a:cubicBezTo>
                <a:lnTo>
                  <a:pt x="99314" y="124498"/>
                </a:lnTo>
                <a:lnTo>
                  <a:pt x="99314" y="161108"/>
                </a:lnTo>
                <a:lnTo>
                  <a:pt x="94450" y="161620"/>
                </a:lnTo>
                <a:cubicBezTo>
                  <a:pt x="42812" y="161620"/>
                  <a:pt x="0" y="130467"/>
                  <a:pt x="0" y="79820"/>
                </a:cubicBezTo>
                <a:cubicBezTo>
                  <a:pt x="0" y="32093"/>
                  <a:pt x="42812" y="0"/>
                  <a:pt x="97333" y="0"/>
                </a:cubicBezTo>
                <a:close/>
              </a:path>
            </a:pathLst>
          </a:custGeom>
          <a:solidFill>
            <a:srgbClr val="335553"/>
          </a:solidFill>
          <a:ln w="0">
            <a:noFill/>
          </a:ln>
        </xdr:spPr>
        <xdr:style>
          <a:lnRef idx="0"/>
          <a:fillRef idx="0"/>
          <a:effectRef idx="0"/>
          <a:fontRef idx="minor"/>
        </xdr:style>
      </xdr:sp>
      <xdr:sp>
        <xdr:nvSpPr>
          <xdr:cNvPr id="7" name="Shape 16"/>
          <xdr:cNvSpPr/>
        </xdr:nvSpPr>
        <xdr:spPr>
          <a:xfrm>
            <a:off x="1620360" y="777960"/>
            <a:ext cx="79560" cy="74160"/>
          </a:xfrm>
          <a:custGeom>
            <a:avLst/>
            <a:gdLst/>
            <a:ahLst/>
            <a:rect l="l" t="t" r="r" b="b"/>
            <a:pathLst>
              <a:path w="72085" h="61406">
                <a:moveTo>
                  <a:pt x="72085" y="0"/>
                </a:moveTo>
                <a:lnTo>
                  <a:pt x="72085" y="39029"/>
                </a:lnTo>
                <a:cubicBezTo>
                  <a:pt x="43853" y="39029"/>
                  <a:pt x="21438" y="47766"/>
                  <a:pt x="0" y="61406"/>
                </a:cubicBezTo>
                <a:lnTo>
                  <a:pt x="0" y="20525"/>
                </a:lnTo>
                <a:cubicBezTo>
                  <a:pt x="8287" y="14175"/>
                  <a:pt x="20218" y="8818"/>
                  <a:pt x="33972" y="5050"/>
                </a:cubicBezTo>
                <a:lnTo>
                  <a:pt x="72085" y="0"/>
                </a:lnTo>
                <a:close/>
              </a:path>
            </a:pathLst>
          </a:custGeom>
          <a:solidFill>
            <a:srgbClr val="335553"/>
          </a:solidFill>
          <a:ln w="0">
            <a:noFill/>
          </a:ln>
        </xdr:spPr>
        <xdr:style>
          <a:lnRef idx="0"/>
          <a:fillRef idx="0"/>
          <a:effectRef idx="0"/>
          <a:fontRef idx="minor"/>
        </xdr:style>
      </xdr:sp>
      <xdr:sp>
        <xdr:nvSpPr>
          <xdr:cNvPr id="8" name="Shape 17"/>
          <xdr:cNvSpPr/>
        </xdr:nvSpPr>
        <xdr:spPr>
          <a:xfrm>
            <a:off x="1699920" y="776880"/>
            <a:ext cx="113760" cy="320040"/>
          </a:xfrm>
          <a:custGeom>
            <a:avLst/>
            <a:gdLst/>
            <a:ahLst/>
            <a:rect l="l" t="t" r="r" b="b"/>
            <a:pathLst>
              <a:path w="103188" h="264347">
                <a:moveTo>
                  <a:pt x="6795" y="0"/>
                </a:moveTo>
                <a:cubicBezTo>
                  <a:pt x="67170" y="0"/>
                  <a:pt x="103188" y="33084"/>
                  <a:pt x="103188" y="87605"/>
                </a:cubicBezTo>
                <a:lnTo>
                  <a:pt x="103188" y="259994"/>
                </a:lnTo>
                <a:lnTo>
                  <a:pt x="61316" y="259994"/>
                </a:lnTo>
                <a:lnTo>
                  <a:pt x="61316" y="241491"/>
                </a:lnTo>
                <a:cubicBezTo>
                  <a:pt x="54020" y="248787"/>
                  <a:pt x="37408" y="258283"/>
                  <a:pt x="16833" y="262575"/>
                </a:cubicBezTo>
                <a:lnTo>
                  <a:pt x="0" y="264347"/>
                </a:lnTo>
                <a:lnTo>
                  <a:pt x="0" y="227736"/>
                </a:lnTo>
                <a:lnTo>
                  <a:pt x="940" y="227851"/>
                </a:lnTo>
                <a:cubicBezTo>
                  <a:pt x="28219" y="227851"/>
                  <a:pt x="53531" y="215202"/>
                  <a:pt x="60376" y="196698"/>
                </a:cubicBezTo>
                <a:lnTo>
                  <a:pt x="60376" y="169405"/>
                </a:lnTo>
                <a:cubicBezTo>
                  <a:pt x="53531" y="150901"/>
                  <a:pt x="28219" y="138252"/>
                  <a:pt x="940" y="138252"/>
                </a:cubicBezTo>
                <a:lnTo>
                  <a:pt x="0" y="138360"/>
                </a:lnTo>
                <a:lnTo>
                  <a:pt x="0" y="103584"/>
                </a:lnTo>
                <a:lnTo>
                  <a:pt x="35506" y="109788"/>
                </a:lnTo>
                <a:cubicBezTo>
                  <a:pt x="46704" y="113675"/>
                  <a:pt x="55956" y="118783"/>
                  <a:pt x="61316" y="123673"/>
                </a:cubicBezTo>
                <a:lnTo>
                  <a:pt x="61316" y="91529"/>
                </a:lnTo>
                <a:cubicBezTo>
                  <a:pt x="61316" y="59373"/>
                  <a:pt x="37008" y="39929"/>
                  <a:pt x="0" y="39929"/>
                </a:cubicBezTo>
                <a:lnTo>
                  <a:pt x="0" y="900"/>
                </a:lnTo>
                <a:lnTo>
                  <a:pt x="6795" y="0"/>
                </a:lnTo>
                <a:close/>
              </a:path>
            </a:pathLst>
          </a:custGeom>
          <a:solidFill>
            <a:srgbClr val="335553"/>
          </a:solidFill>
          <a:ln w="0">
            <a:noFill/>
          </a:ln>
        </xdr:spPr>
        <xdr:style>
          <a:lnRef idx="0"/>
          <a:fillRef idx="0"/>
          <a:effectRef idx="0"/>
          <a:fontRef idx="minor"/>
        </xdr:style>
      </xdr:sp>
      <xdr:sp>
        <xdr:nvSpPr>
          <xdr:cNvPr id="9" name="Shape 18"/>
          <xdr:cNvSpPr/>
        </xdr:nvSpPr>
        <xdr:spPr>
          <a:xfrm>
            <a:off x="1898280" y="776880"/>
            <a:ext cx="145080" cy="314640"/>
          </a:xfrm>
          <a:custGeom>
            <a:avLst/>
            <a:gdLst/>
            <a:ahLst/>
            <a:rect l="l" t="t" r="r" b="b"/>
            <a:pathLst>
              <a:path w="131470" h="259944">
                <a:moveTo>
                  <a:pt x="107112" y="0"/>
                </a:moveTo>
                <a:cubicBezTo>
                  <a:pt x="117831" y="0"/>
                  <a:pt x="126606" y="1930"/>
                  <a:pt x="131470" y="3861"/>
                </a:cubicBezTo>
                <a:lnTo>
                  <a:pt x="131470" y="47714"/>
                </a:lnTo>
                <a:cubicBezTo>
                  <a:pt x="123685" y="42863"/>
                  <a:pt x="112966" y="40869"/>
                  <a:pt x="102248" y="40869"/>
                </a:cubicBezTo>
                <a:cubicBezTo>
                  <a:pt x="75019" y="40869"/>
                  <a:pt x="51651" y="58382"/>
                  <a:pt x="42863" y="88595"/>
                </a:cubicBezTo>
                <a:lnTo>
                  <a:pt x="42863" y="259944"/>
                </a:lnTo>
                <a:lnTo>
                  <a:pt x="0" y="259944"/>
                </a:lnTo>
                <a:lnTo>
                  <a:pt x="0" y="5855"/>
                </a:lnTo>
                <a:lnTo>
                  <a:pt x="42863" y="5855"/>
                </a:lnTo>
                <a:lnTo>
                  <a:pt x="42863" y="38938"/>
                </a:lnTo>
                <a:cubicBezTo>
                  <a:pt x="53581" y="16561"/>
                  <a:pt x="77889" y="0"/>
                  <a:pt x="107112" y="0"/>
                </a:cubicBezTo>
                <a:close/>
              </a:path>
            </a:pathLst>
          </a:custGeom>
          <a:solidFill>
            <a:srgbClr val="335553"/>
          </a:solidFill>
          <a:ln w="0">
            <a:noFill/>
          </a:ln>
        </xdr:spPr>
        <xdr:style>
          <a:lnRef idx="0"/>
          <a:fillRef idx="0"/>
          <a:effectRef idx="0"/>
          <a:fontRef idx="minor"/>
        </xdr:style>
      </xdr:sp>
      <xdr:sp>
        <xdr:nvSpPr>
          <xdr:cNvPr id="10" name="Shape 19"/>
          <xdr:cNvSpPr/>
        </xdr:nvSpPr>
        <xdr:spPr>
          <a:xfrm>
            <a:off x="2100240" y="640080"/>
            <a:ext cx="128520" cy="458640"/>
          </a:xfrm>
          <a:custGeom>
            <a:avLst/>
            <a:gdLst/>
            <a:ahLst/>
            <a:rect l="l" t="t" r="r" b="b"/>
            <a:pathLst>
              <a:path w="116357" h="378765">
                <a:moveTo>
                  <a:pt x="0" y="0"/>
                </a:moveTo>
                <a:lnTo>
                  <a:pt x="43802" y="0"/>
                </a:lnTo>
                <a:lnTo>
                  <a:pt x="43802" y="147980"/>
                </a:lnTo>
                <a:cubicBezTo>
                  <a:pt x="56451" y="129527"/>
                  <a:pt x="84684" y="112966"/>
                  <a:pt x="115837" y="112966"/>
                </a:cubicBezTo>
                <a:lnTo>
                  <a:pt x="116357" y="113021"/>
                </a:lnTo>
                <a:lnTo>
                  <a:pt x="116357" y="153273"/>
                </a:lnTo>
                <a:lnTo>
                  <a:pt x="110033" y="151905"/>
                </a:lnTo>
                <a:cubicBezTo>
                  <a:pt x="83744" y="151905"/>
                  <a:pt x="58394" y="167488"/>
                  <a:pt x="44793" y="193777"/>
                </a:cubicBezTo>
                <a:lnTo>
                  <a:pt x="44793" y="297015"/>
                </a:lnTo>
                <a:cubicBezTo>
                  <a:pt x="57455" y="323253"/>
                  <a:pt x="82753" y="338887"/>
                  <a:pt x="110033" y="338887"/>
                </a:cubicBezTo>
                <a:lnTo>
                  <a:pt x="116357" y="337518"/>
                </a:lnTo>
                <a:lnTo>
                  <a:pt x="116357" y="378711"/>
                </a:lnTo>
                <a:lnTo>
                  <a:pt x="115837" y="378765"/>
                </a:lnTo>
                <a:cubicBezTo>
                  <a:pt x="83744" y="378765"/>
                  <a:pt x="56451" y="362255"/>
                  <a:pt x="43802" y="343751"/>
                </a:cubicBezTo>
                <a:lnTo>
                  <a:pt x="43802" y="372961"/>
                </a:lnTo>
                <a:lnTo>
                  <a:pt x="0" y="372961"/>
                </a:lnTo>
                <a:lnTo>
                  <a:pt x="0" y="0"/>
                </a:lnTo>
                <a:close/>
              </a:path>
            </a:pathLst>
          </a:custGeom>
          <a:solidFill>
            <a:srgbClr val="335553"/>
          </a:solidFill>
          <a:ln w="0">
            <a:noFill/>
          </a:ln>
        </xdr:spPr>
        <xdr:style>
          <a:lnRef idx="0"/>
          <a:fillRef idx="0"/>
          <a:effectRef idx="0"/>
          <a:fontRef idx="minor"/>
        </xdr:style>
      </xdr:sp>
      <xdr:sp>
        <xdr:nvSpPr>
          <xdr:cNvPr id="11" name="Shape 20"/>
          <xdr:cNvSpPr/>
        </xdr:nvSpPr>
        <xdr:spPr>
          <a:xfrm>
            <a:off x="2228760" y="777240"/>
            <a:ext cx="126360" cy="321480"/>
          </a:xfrm>
          <a:custGeom>
            <a:avLst/>
            <a:gdLst/>
            <a:ahLst/>
            <a:rect l="l" t="t" r="r" b="b"/>
            <a:pathLst>
              <a:path w="114376" h="265690">
                <a:moveTo>
                  <a:pt x="0" y="0"/>
                </a:moveTo>
                <a:lnTo>
                  <a:pt x="25951" y="2723"/>
                </a:lnTo>
                <a:cubicBezTo>
                  <a:pt x="83835" y="15454"/>
                  <a:pt x="114376" y="70316"/>
                  <a:pt x="114376" y="133346"/>
                </a:cubicBezTo>
                <a:cubicBezTo>
                  <a:pt x="114376" y="196365"/>
                  <a:pt x="83835" y="250468"/>
                  <a:pt x="25951" y="263009"/>
                </a:cubicBezTo>
                <a:lnTo>
                  <a:pt x="0" y="265690"/>
                </a:lnTo>
                <a:lnTo>
                  <a:pt x="0" y="224497"/>
                </a:lnTo>
                <a:lnTo>
                  <a:pt x="26377" y="218788"/>
                </a:lnTo>
                <a:cubicBezTo>
                  <a:pt x="55127" y="205042"/>
                  <a:pt x="71565" y="172529"/>
                  <a:pt x="71565" y="132343"/>
                </a:cubicBezTo>
                <a:cubicBezTo>
                  <a:pt x="71565" y="92205"/>
                  <a:pt x="55127" y="59703"/>
                  <a:pt x="26377" y="45961"/>
                </a:cubicBezTo>
                <a:lnTo>
                  <a:pt x="0" y="40252"/>
                </a:lnTo>
                <a:lnTo>
                  <a:pt x="0" y="0"/>
                </a:lnTo>
                <a:close/>
              </a:path>
            </a:pathLst>
          </a:custGeom>
          <a:solidFill>
            <a:srgbClr val="335553"/>
          </a:solidFill>
          <a:ln w="0">
            <a:noFill/>
          </a:ln>
        </xdr:spPr>
        <xdr:style>
          <a:lnRef idx="0"/>
          <a:fillRef idx="0"/>
          <a:effectRef idx="0"/>
          <a:fontRef idx="minor"/>
        </xdr:style>
      </xdr:sp>
      <xdr:sp>
        <xdr:nvSpPr>
          <xdr:cNvPr id="12" name="Shape 21"/>
          <xdr:cNvSpPr/>
        </xdr:nvSpPr>
        <xdr:spPr>
          <a:xfrm>
            <a:off x="2409480" y="776880"/>
            <a:ext cx="128880" cy="320400"/>
          </a:xfrm>
          <a:custGeom>
            <a:avLst/>
            <a:gdLst/>
            <a:ahLst/>
            <a:rect l="l" t="t" r="r" b="b"/>
            <a:pathLst>
              <a:path w="116827" h="264859">
                <a:moveTo>
                  <a:pt x="116827" y="0"/>
                </a:moveTo>
                <a:lnTo>
                  <a:pt x="116827" y="38938"/>
                </a:lnTo>
                <a:cubicBezTo>
                  <a:pt x="70104" y="38938"/>
                  <a:pt x="42812" y="77876"/>
                  <a:pt x="42812" y="133401"/>
                </a:cubicBezTo>
                <a:cubicBezTo>
                  <a:pt x="42812" y="188913"/>
                  <a:pt x="71095" y="227851"/>
                  <a:pt x="116827" y="227851"/>
                </a:cubicBezTo>
                <a:lnTo>
                  <a:pt x="116827" y="264859"/>
                </a:lnTo>
                <a:cubicBezTo>
                  <a:pt x="46736" y="264859"/>
                  <a:pt x="0" y="210337"/>
                  <a:pt x="0" y="132398"/>
                </a:cubicBezTo>
                <a:cubicBezTo>
                  <a:pt x="0" y="54521"/>
                  <a:pt x="46736" y="0"/>
                  <a:pt x="116827" y="0"/>
                </a:cubicBezTo>
                <a:close/>
              </a:path>
            </a:pathLst>
          </a:custGeom>
          <a:solidFill>
            <a:srgbClr val="335553"/>
          </a:solidFill>
          <a:ln w="0">
            <a:noFill/>
          </a:ln>
        </xdr:spPr>
        <xdr:style>
          <a:lnRef idx="0"/>
          <a:fillRef idx="0"/>
          <a:effectRef idx="0"/>
          <a:fontRef idx="minor"/>
        </xdr:style>
      </xdr:sp>
      <xdr:sp>
        <xdr:nvSpPr>
          <xdr:cNvPr id="13" name="Shape 22"/>
          <xdr:cNvSpPr/>
        </xdr:nvSpPr>
        <xdr:spPr>
          <a:xfrm>
            <a:off x="2538720" y="776880"/>
            <a:ext cx="129240" cy="320400"/>
          </a:xfrm>
          <a:custGeom>
            <a:avLst/>
            <a:gdLst/>
            <a:ahLst/>
            <a:rect l="l" t="t" r="r" b="b"/>
            <a:pathLst>
              <a:path w="116878" h="264859">
                <a:moveTo>
                  <a:pt x="0" y="0"/>
                </a:moveTo>
                <a:cubicBezTo>
                  <a:pt x="70104" y="0"/>
                  <a:pt x="116878" y="54521"/>
                  <a:pt x="116878" y="132398"/>
                </a:cubicBezTo>
                <a:cubicBezTo>
                  <a:pt x="116878" y="210337"/>
                  <a:pt x="69164" y="264859"/>
                  <a:pt x="0" y="264859"/>
                </a:cubicBezTo>
                <a:lnTo>
                  <a:pt x="0" y="227851"/>
                </a:lnTo>
                <a:cubicBezTo>
                  <a:pt x="46736" y="227851"/>
                  <a:pt x="74015" y="188913"/>
                  <a:pt x="74015" y="133401"/>
                </a:cubicBezTo>
                <a:cubicBezTo>
                  <a:pt x="74015" y="77876"/>
                  <a:pt x="46736" y="38938"/>
                  <a:pt x="0" y="38938"/>
                </a:cubicBezTo>
                <a:lnTo>
                  <a:pt x="0" y="0"/>
                </a:lnTo>
                <a:close/>
              </a:path>
            </a:pathLst>
          </a:custGeom>
          <a:solidFill>
            <a:srgbClr val="335553"/>
          </a:solidFill>
          <a:ln w="0">
            <a:noFill/>
          </a:ln>
        </xdr:spPr>
        <xdr:style>
          <a:lnRef idx="0"/>
          <a:fillRef idx="0"/>
          <a:effectRef idx="0"/>
          <a:fontRef idx="minor"/>
        </xdr:style>
      </xdr:sp>
      <xdr:sp>
        <xdr:nvSpPr>
          <xdr:cNvPr id="14" name="Shape 23"/>
          <xdr:cNvSpPr/>
        </xdr:nvSpPr>
        <xdr:spPr>
          <a:xfrm>
            <a:off x="2730960" y="776880"/>
            <a:ext cx="230400" cy="314640"/>
          </a:xfrm>
          <a:custGeom>
            <a:avLst/>
            <a:gdLst/>
            <a:ahLst/>
            <a:rect l="l" t="t" r="r" b="b"/>
            <a:pathLst>
              <a:path w="208356" h="259994">
                <a:moveTo>
                  <a:pt x="117818" y="0"/>
                </a:moveTo>
                <a:cubicBezTo>
                  <a:pt x="176263" y="0"/>
                  <a:pt x="207416" y="37008"/>
                  <a:pt x="208356" y="93459"/>
                </a:cubicBezTo>
                <a:lnTo>
                  <a:pt x="208356" y="259994"/>
                </a:lnTo>
                <a:lnTo>
                  <a:pt x="164554" y="259994"/>
                </a:lnTo>
                <a:lnTo>
                  <a:pt x="164554" y="100305"/>
                </a:lnTo>
                <a:cubicBezTo>
                  <a:pt x="164554" y="64237"/>
                  <a:pt x="147041" y="39929"/>
                  <a:pt x="108090" y="39929"/>
                </a:cubicBezTo>
                <a:cubicBezTo>
                  <a:pt x="77889" y="39929"/>
                  <a:pt x="51588" y="60376"/>
                  <a:pt x="42812" y="87605"/>
                </a:cubicBezTo>
                <a:lnTo>
                  <a:pt x="42812" y="259994"/>
                </a:lnTo>
                <a:lnTo>
                  <a:pt x="0" y="259994"/>
                </a:lnTo>
                <a:lnTo>
                  <a:pt x="0" y="4851"/>
                </a:lnTo>
                <a:lnTo>
                  <a:pt x="42812" y="4851"/>
                </a:lnTo>
                <a:lnTo>
                  <a:pt x="42812" y="37008"/>
                </a:lnTo>
                <a:cubicBezTo>
                  <a:pt x="57442" y="17513"/>
                  <a:pt x="84735" y="0"/>
                  <a:pt x="117818" y="0"/>
                </a:cubicBezTo>
                <a:close/>
              </a:path>
            </a:pathLst>
          </a:custGeom>
          <a:solidFill>
            <a:srgbClr val="335553"/>
          </a:solidFill>
          <a:ln w="0">
            <a:noFill/>
          </a:ln>
        </xdr:spPr>
        <xdr:style>
          <a:lnRef idx="0"/>
          <a:fillRef idx="0"/>
          <a:effectRef idx="0"/>
          <a:fontRef idx="minor"/>
        </xdr:style>
      </xdr:sp>
      <xdr:sp>
        <xdr:nvSpPr>
          <xdr:cNvPr id="15" name="Shape 24"/>
          <xdr:cNvSpPr/>
        </xdr:nvSpPr>
        <xdr:spPr>
          <a:xfrm>
            <a:off x="618480" y="821880"/>
            <a:ext cx="145080" cy="83520"/>
          </a:xfrm>
          <a:custGeom>
            <a:avLst/>
            <a:gdLst/>
            <a:ahLst/>
            <a:rect l="l" t="t" r="r" b="b"/>
            <a:pathLst>
              <a:path w="131470" h="69101">
                <a:moveTo>
                  <a:pt x="69164" y="0"/>
                </a:moveTo>
                <a:cubicBezTo>
                  <a:pt x="110045" y="0"/>
                  <a:pt x="129540" y="32093"/>
                  <a:pt x="131470" y="69101"/>
                </a:cubicBezTo>
                <a:lnTo>
                  <a:pt x="0" y="69101"/>
                </a:lnTo>
                <a:cubicBezTo>
                  <a:pt x="7798" y="22365"/>
                  <a:pt x="35077" y="0"/>
                  <a:pt x="69164" y="0"/>
                </a:cubicBezTo>
                <a:close/>
              </a:path>
            </a:pathLst>
          </a:custGeom>
          <a:solidFill>
            <a:srgbClr val="8eb28b"/>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257040</xdr:colOff>
      <xdr:row>1</xdr:row>
      <xdr:rowOff>71280</xdr:rowOff>
    </xdr:from>
    <xdr:to>
      <xdr:col>13</xdr:col>
      <xdr:colOff>208440</xdr:colOff>
      <xdr:row>31</xdr:row>
      <xdr:rowOff>47160</xdr:rowOff>
    </xdr:to>
    <xdr:sp>
      <xdr:nvSpPr>
        <xdr:cNvPr id="16" name="TextBox 1"/>
        <xdr:cNvSpPr/>
      </xdr:nvSpPr>
      <xdr:spPr>
        <a:xfrm>
          <a:off x="10512360" y="261720"/>
          <a:ext cx="7657560" cy="5720760"/>
        </a:xfrm>
        <a:prstGeom prst="rect">
          <a:avLst/>
        </a:prstGeom>
        <a:solidFill>
          <a:srgbClr val="fff2cc"/>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en-US" sz="1100" spc="-1" strike="noStrike" u="sng">
              <a:solidFill>
                <a:schemeClr val="dk1"/>
              </a:solidFill>
              <a:uFillTx/>
              <a:latin typeface="Calibri"/>
            </a:rPr>
            <a:t>Changes made to the version sent by "Serious Shea Financial EP Model Final Version" (July 21, 2023) </a:t>
          </a:r>
          <a:endParaRPr b="0" lang="en-US" sz="1100" spc="-1" strike="noStrike">
            <a:latin typeface="Times New Roman"/>
          </a:endParaRPr>
        </a:p>
        <a:p>
          <a:pPr>
            <a:lnSpc>
              <a:spcPct val="100000"/>
            </a:lnSpc>
          </a:pPr>
          <a:r>
            <a:rPr b="0" lang="en-US" sz="1100" spc="-1" strike="noStrike">
              <a:solidFill>
                <a:schemeClr val="dk1"/>
              </a:solidFill>
              <a:latin typeface="Calibri"/>
            </a:rPr>
            <a:t>Serious Shea team shared the model version named </a:t>
          </a:r>
          <a:r>
            <a:rPr b="0" i="1" lang="en-US" sz="1100" spc="-1" strike="noStrike">
              <a:solidFill>
                <a:schemeClr val="dk1"/>
              </a:solidFill>
              <a:latin typeface="Calibri"/>
            </a:rPr>
            <a:t>"Serious Shea Financial EP Model Final Version" </a:t>
          </a:r>
          <a:r>
            <a:rPr b="0" lang="en-US" sz="1100" spc="-1" strike="noStrike">
              <a:solidFill>
                <a:schemeClr val="dk1"/>
              </a:solidFill>
              <a:latin typeface="Calibri"/>
            </a:rPr>
            <a:t>with the following changes on July 17.</a:t>
          </a:r>
          <a:endParaRPr b="0" lang="en-US" sz="1100" spc="-1" strike="noStrike">
            <a:latin typeface="Times New Roman"/>
          </a:endParaRPr>
        </a:p>
        <a:p>
          <a:pPr>
            <a:lnSpc>
              <a:spcPct val="100000"/>
            </a:lnSpc>
          </a:pPr>
          <a:r>
            <a:rPr b="0" lang="en-US" sz="1100" spc="-1" strike="noStrike">
              <a:solidFill>
                <a:schemeClr val="dk1"/>
              </a:solidFill>
              <a:latin typeface="Calibri"/>
            </a:rPr>
            <a:t>- Increased prices of Refined oil, Moringa leaves, Dry mangos</a:t>
          </a:r>
          <a:endParaRPr b="0" lang="en-US" sz="1100" spc="-1" strike="noStrike">
            <a:latin typeface="Times New Roman"/>
          </a:endParaRPr>
        </a:p>
        <a:p>
          <a:pPr>
            <a:lnSpc>
              <a:spcPct val="100000"/>
            </a:lnSpc>
          </a:pPr>
          <a:r>
            <a:rPr b="0" lang="en-US" sz="1100" spc="-1" strike="noStrike">
              <a:solidFill>
                <a:schemeClr val="dk1"/>
              </a:solidFill>
              <a:latin typeface="Calibri"/>
            </a:rPr>
            <a:t>- Decreased costs of Nursery supplies, plantation&amp;transport fee to the Cooperatives, maintenance costs </a:t>
          </a:r>
          <a:endParaRPr b="0" lang="en-US" sz="1100" spc="-1" strike="noStrike">
            <a:latin typeface="Times New Roman"/>
          </a:endParaRPr>
        </a:p>
        <a:p>
          <a:pPr>
            <a:lnSpc>
              <a:spcPct val="100000"/>
            </a:lnSpc>
          </a:pPr>
          <a:r>
            <a:rPr b="0" lang="en-US" sz="1100" spc="-1" strike="noStrike">
              <a:solidFill>
                <a:schemeClr val="dk1"/>
              </a:solidFill>
              <a:latin typeface="Calibri"/>
            </a:rPr>
            <a:t>- Decreased number of trees from 34 million to 32.2 million in total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On this version shared on July 17, we made the following changes after reviewing the last version of Serious Shea's financial model named </a:t>
          </a:r>
          <a:r>
            <a:rPr b="0" i="1" lang="en-US" sz="1100" spc="-1" strike="noStrike">
              <a:solidFill>
                <a:schemeClr val="dk1"/>
              </a:solidFill>
              <a:latin typeface="Calibri"/>
            </a:rPr>
            <a:t>"0717Serious Sea Senegal Financial V23"</a:t>
          </a:r>
          <a:endParaRPr b="0" lang="en-US" sz="1100" spc="-1" strike="noStrike">
            <a:latin typeface="Times New Roman"/>
          </a:endParaRPr>
        </a:p>
        <a:p>
          <a:pPr>
            <a:lnSpc>
              <a:spcPct val="100000"/>
            </a:lnSpc>
          </a:pPr>
          <a:r>
            <a:rPr b="0" lang="en-US" sz="1100" spc="-1" strike="noStrike">
              <a:solidFill>
                <a:schemeClr val="dk1"/>
              </a:solidFill>
              <a:latin typeface="Calibri"/>
            </a:rPr>
            <a:t>- Added 4 price scenarios as requested by Mirova. To apply a pricing scenario to the model, please go to cell F28 in "1. Project Scenario" tab and choose the scenario. </a:t>
          </a:r>
          <a:endParaRPr b="0" lang="en-US" sz="1100" spc="-1" strike="noStrike">
            <a:latin typeface="Times New Roman"/>
          </a:endParaRPr>
        </a:p>
        <a:p>
          <a:pPr>
            <a:lnSpc>
              <a:spcPct val="100000"/>
            </a:lnSpc>
          </a:pPr>
          <a:r>
            <a:rPr b="0" lang="en-US" sz="1100" spc="-1" strike="noStrike">
              <a:solidFill>
                <a:schemeClr val="dk1"/>
              </a:solidFill>
              <a:latin typeface="Calibri"/>
            </a:rPr>
            <a:t>- Increased headcount numbers and updated some salaries info in-line with the latest Serious Shea model </a:t>
          </a:r>
          <a:endParaRPr b="0" lang="en-US" sz="1100" spc="-1" strike="noStrike">
            <a:latin typeface="Times New Roman"/>
          </a:endParaRPr>
        </a:p>
        <a:p>
          <a:pPr>
            <a:lnSpc>
              <a:spcPct val="100000"/>
            </a:lnSpc>
          </a:pPr>
          <a:r>
            <a:rPr b="0" lang="en-US" sz="1100" spc="-1" strike="noStrike">
              <a:solidFill>
                <a:schemeClr val="dk1"/>
              </a:solidFill>
              <a:latin typeface="Calibri"/>
            </a:rPr>
            <a:t>- Increased the production volumes (leaves/kg and seeds/trees kg) related to Moringa trees (as included in the rows 53-57 of the "4.2 Revenue Build -Other" tab) </a:t>
          </a:r>
          <a:endParaRPr b="0" lang="en-US" sz="1100" spc="-1" strike="noStrike">
            <a:latin typeface="Times New Roman"/>
          </a:endParaRPr>
        </a:p>
        <a:p>
          <a:pPr>
            <a:lnSpc>
              <a:spcPct val="100000"/>
            </a:lnSpc>
          </a:pPr>
          <a:r>
            <a:rPr b="0" lang="en-US" sz="1100" spc="-1" strike="noStrike">
              <a:solidFill>
                <a:schemeClr val="dk1"/>
              </a:solidFill>
              <a:latin typeface="Calibri"/>
            </a:rPr>
            <a:t>- Updated the timing of the loan proceeds and pre-sales from Mirova. </a:t>
          </a:r>
          <a:endParaRPr b="0" lang="en-US" sz="1100" spc="-1" strike="noStrike">
            <a:latin typeface="Times New Roman"/>
          </a:endParaRPr>
        </a:p>
        <a:p>
          <a:pPr>
            <a:lnSpc>
              <a:spcPct val="100000"/>
            </a:lnSpc>
          </a:pPr>
          <a:r>
            <a:rPr b="0" lang="en-US" sz="1100" spc="-1" strike="noStrike">
              <a:solidFill>
                <a:schemeClr val="dk1"/>
              </a:solidFill>
              <a:latin typeface="Calibri"/>
            </a:rPr>
            <a:t>- Updated interest rates to 7% from the previous 8%</a:t>
          </a:r>
          <a:endParaRPr b="0" lang="en-US" sz="1100" spc="-1" strike="noStrike">
            <a:latin typeface="Times New Roman"/>
          </a:endParaRPr>
        </a:p>
        <a:p>
          <a:pPr>
            <a:lnSpc>
              <a:spcPct val="100000"/>
            </a:lnSpc>
          </a:pPr>
          <a:r>
            <a:rPr b="0" lang="en-US" sz="1100" spc="-1" strike="noStrike">
              <a:solidFill>
                <a:schemeClr val="dk1"/>
              </a:solidFill>
              <a:latin typeface="Calibri"/>
            </a:rPr>
            <a:t>- Increased inventory days to 45/90 from the previous 20/45 days</a:t>
          </a:r>
          <a:endParaRPr b="0" lang="en-US" sz="1100" spc="-1" strike="noStrike">
            <a:latin typeface="Times New Roman"/>
          </a:endParaRPr>
        </a:p>
        <a:p>
          <a:pPr>
            <a:lnSpc>
              <a:spcPct val="100000"/>
            </a:lnSpc>
          </a:pPr>
          <a:r>
            <a:rPr b="0" lang="en-US" sz="1100" spc="-1" strike="noStrike">
              <a:solidFill>
                <a:schemeClr val="dk1"/>
              </a:solidFill>
              <a:latin typeface="Calibri"/>
            </a:rPr>
            <a:t>Please also note that the trading revenues have already been included in rows 29-30 of "4.2 Revenue Build - Other" tab, so the revenues are in-line with Serious Shea's model.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1" lang="en-US" sz="1100" spc="-1" strike="noStrike" u="sng">
              <a:solidFill>
                <a:schemeClr val="dk1"/>
              </a:solidFill>
              <a:uFillTx/>
              <a:latin typeface="Calibri"/>
            </a:rPr>
            <a:t>Key changes made to Serious Shea's financial model (Apr 2023) </a:t>
          </a:r>
          <a:endParaRPr b="0" lang="en-US" sz="1100" spc="-1" strike="noStrike">
            <a:latin typeface="Times New Roman"/>
          </a:endParaRPr>
        </a:p>
        <a:p>
          <a:pPr>
            <a:lnSpc>
              <a:spcPct val="100000"/>
            </a:lnSpc>
          </a:pPr>
          <a:r>
            <a:rPr b="0" lang="en-US" sz="1100" spc="-1" strike="noStrike">
              <a:solidFill>
                <a:schemeClr val="dk1"/>
              </a:solidFill>
              <a:latin typeface="Calibri"/>
            </a:rPr>
            <a:t>- Updated VCU volumes </a:t>
          </a:r>
          <a:endParaRPr b="0" lang="en-US" sz="1100" spc="-1" strike="noStrike">
            <a:latin typeface="Times New Roman"/>
          </a:endParaRPr>
        </a:p>
        <a:p>
          <a:pPr>
            <a:lnSpc>
              <a:spcPct val="100000"/>
            </a:lnSpc>
          </a:pPr>
          <a:r>
            <a:rPr b="0" lang="en-US" sz="1100" spc="-1" strike="noStrike">
              <a:solidFill>
                <a:schemeClr val="dk1"/>
              </a:solidFill>
              <a:latin typeface="Calibri"/>
            </a:rPr>
            <a:t>- Added carbon credit price increases</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Added 2% general inflation for the costs that did not include 5% CAGR </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Incorporated 2.5% selling price increase for the product sales given that we are including 2% or 5% cost increases for all costs</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Accounted pre-sales income of EUR 10 million in the revenue line </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Some cost classifications may vary from SS's version  </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Added Balance Sheet </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Replaced initial prep cost of US$75k (US$25k for 3 years) by the Carbon project development costs which includes all the technical costs etc. </a:t>
          </a: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 Ignored capitalization of tree-related costs as it may require specific accounting treatments </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verra.org/wp-content/uploads/2023/03/Program-Fee-Schedule-v4.3-FINAL.pdf" TargetMode="External"/><Relationship Id="rId3" Type="http://schemas.openxmlformats.org/officeDocument/2006/relationships/hyperlink" Target="https://verra.org/wp-content/uploads/2023/03/CCB-Standards-Fee-Schedule-v3.5-final.pdf" TargetMode="External"/><Relationship Id="rId4"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2.vml"/>
</Relationships>
</file>

<file path=xl/worksheets/_rels/sheet16.xml.rels><?xml version="1.0" encoding="UTF-8"?>
<Relationships xmlns="http://schemas.openxmlformats.org/package/2006/relationships"><Relationship Id="rId1" Type="http://schemas.openxmlformats.org/officeDocument/2006/relationships/hyperlink" Target="https://taxsummaries.pwc.com/senegal" TargetMode="External"/><Relationship Id="rId2" Type="http://schemas.openxmlformats.org/officeDocument/2006/relationships/hyperlink" Target="https://pages.stern.nyu.edu/~adamodar/New_Home_Page/datafile/Betas.html" TargetMode="External"/><Relationship Id="rId3" Type="http://schemas.openxmlformats.org/officeDocument/2006/relationships/hyperlink" Target="https://www.kroll.com/en/insights/publications/cost-of-capital/recommended-eurozone-equity-risk-premium-corresponding-risk-free-rates" TargetMode="External"/><Relationship Id="rId4" Type="http://schemas.openxmlformats.org/officeDocument/2006/relationships/hyperlink" Target="https://pages.stern.nyu.edu/~adamodar/New_Home_Page/datafile/ctryprem.html" TargetMode="Externa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2" min="1" style="1" width="3"/>
    <col collapsed="false" customWidth="false" hidden="false" outlineLevel="0" max="14" min="3" style="1" width="8.67"/>
    <col collapsed="false" customWidth="true" hidden="false" outlineLevel="0" max="15" min="15" style="1" width="49.16"/>
    <col collapsed="false" customWidth="false" hidden="false" outlineLevel="0" max="17" min="16" style="1" width="8.67"/>
    <col collapsed="false" customWidth="true" hidden="false" outlineLevel="0" max="18" min="18" style="1" width="49.16"/>
    <col collapsed="false" customWidth="false" hidden="false" outlineLevel="0" max="16384" min="19" style="1" width="8.67"/>
  </cols>
  <sheetData>
    <row r="1" customFormat="false" ht="15" hidden="false" customHeight="false" outlineLevel="0" collapsed="false">
      <c r="A1" s="0"/>
      <c r="B1" s="0"/>
      <c r="C1" s="0"/>
      <c r="D1" s="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4" customFormat="false" ht="15" hidden="false" customHeight="false" outlineLevel="0" collapsed="false">
      <c r="P4" s="2"/>
    </row>
    <row r="12" customFormat="false" ht="29.15" hidden="false" customHeight="false" outlineLevel="0" collapsed="false">
      <c r="C12" s="3" t="s">
        <v>0</v>
      </c>
    </row>
    <row r="14" customFormat="false" ht="15" hidden="false" customHeight="false" outlineLevel="0" collapsed="false">
      <c r="C14" s="1" t="s">
        <v>1</v>
      </c>
    </row>
    <row r="15" customFormat="false" ht="15" hidden="false" customHeight="false" outlineLevel="0" collapsed="false">
      <c r="C15" s="1" t="s">
        <v>2</v>
      </c>
    </row>
    <row r="16" customFormat="false" ht="15" hidden="false" customHeight="false" outlineLevel="0" collapsed="false">
      <c r="C16" s="1" t="s">
        <v>3</v>
      </c>
    </row>
    <row r="311" customFormat="false" ht="15" hidden="false" customHeight="false" outlineLevel="0" collapsed="false">
      <c r="P311" s="1" t="n">
        <f aca="false">$F311*P$5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D22" activeCellId="0" sqref="D22"/>
    </sheetView>
  </sheetViews>
  <sheetFormatPr defaultColWidth="8.83203125" defaultRowHeight="15" zeroHeight="false" outlineLevelRow="0" outlineLevelCol="0"/>
  <cols>
    <col collapsed="false" customWidth="true" hidden="false" outlineLevel="0" max="1" min="1" style="0" width="3.16"/>
    <col collapsed="false" customWidth="true" hidden="false" outlineLevel="0" max="2" min="2" style="0" width="91.16"/>
    <col collapsed="false" customWidth="true" hidden="false" outlineLevel="0" max="3" min="3" style="0" width="15.16"/>
    <col collapsed="false" customWidth="true" hidden="false" outlineLevel="0" max="4" min="4" style="0" width="17.5"/>
    <col collapsed="false" customWidth="true" hidden="false" outlineLevel="0" max="9" min="5" style="0" width="18.5"/>
  </cols>
  <sheetData>
    <row r="1" customFormat="false" ht="15" hidden="false" customHeight="false" outlineLevel="0" collapsed="false">
      <c r="A1" s="4"/>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4" customFormat="false" ht="15" hidden="false" customHeight="false" outlineLevel="0" collapsed="false">
      <c r="B4" s="1"/>
    </row>
    <row r="5" customFormat="false" ht="15" hidden="false" customHeight="false" outlineLevel="0" collapsed="false">
      <c r="B5" s="6" t="s">
        <v>4</v>
      </c>
      <c r="C5" s="7"/>
      <c r="D5" s="7"/>
      <c r="E5" s="7"/>
      <c r="F5" s="7"/>
      <c r="G5" s="7"/>
      <c r="H5" s="7"/>
      <c r="I5" s="7"/>
    </row>
    <row r="7" customFormat="false" ht="15" hidden="false" customHeight="false" outlineLevel="0" collapsed="false">
      <c r="B7" s="8" t="s">
        <v>5</v>
      </c>
    </row>
    <row r="8" customFormat="false" ht="15" hidden="false" customHeight="false" outlineLevel="0" collapsed="false">
      <c r="B8" s="1" t="s">
        <v>6</v>
      </c>
      <c r="E8" s="1"/>
    </row>
    <row r="9" customFormat="false" ht="15" hidden="false" customHeight="false" outlineLevel="0" collapsed="false">
      <c r="B9" s="1" t="s">
        <v>7</v>
      </c>
      <c r="E9" s="1"/>
    </row>
    <row r="10" customFormat="false" ht="15" hidden="false" customHeight="false" outlineLevel="0" collapsed="false">
      <c r="B10" s="1" t="s">
        <v>8</v>
      </c>
      <c r="E10" s="1"/>
    </row>
    <row r="11" customFormat="false" ht="15" hidden="false" customHeight="false" outlineLevel="0" collapsed="false">
      <c r="B11" s="9" t="s">
        <v>9</v>
      </c>
    </row>
    <row r="12" customFormat="false" ht="15" hidden="false" customHeight="false" outlineLevel="0" collapsed="false">
      <c r="B12" s="9" t="s">
        <v>10</v>
      </c>
    </row>
    <row r="13" customFormat="false" ht="15" hidden="false" customHeight="false" outlineLevel="0" collapsed="false">
      <c r="B13" s="9" t="s">
        <v>11</v>
      </c>
    </row>
    <row r="14" customFormat="false" ht="15" hidden="false" customHeight="false" outlineLevel="0" collapsed="false">
      <c r="B14" s="9"/>
    </row>
    <row r="15" customFormat="false" ht="15" hidden="false" customHeight="false" outlineLevel="0" collapsed="false">
      <c r="B15" s="10" t="s">
        <v>12</v>
      </c>
    </row>
    <row r="16" customFormat="false" ht="15" hidden="false" customHeight="false" outlineLevel="0" collapsed="false">
      <c r="B16" s="11" t="s">
        <v>13</v>
      </c>
    </row>
    <row r="17" customFormat="false" ht="15" hidden="false" customHeight="false" outlineLevel="0" collapsed="false">
      <c r="B17" s="11" t="s">
        <v>14</v>
      </c>
    </row>
    <row r="18" customFormat="false" ht="15" hidden="false" customHeight="false" outlineLevel="0" collapsed="false">
      <c r="B18" s="11" t="s">
        <v>15</v>
      </c>
    </row>
    <row r="19" customFormat="false" ht="15" hidden="false" customHeight="false" outlineLevel="0" collapsed="false">
      <c r="B19" s="12" t="s">
        <v>16</v>
      </c>
    </row>
    <row r="21" customFormat="false" ht="15" hidden="false" customHeight="false" outlineLevel="0" collapsed="false">
      <c r="B21" s="13" t="s">
        <v>17</v>
      </c>
    </row>
    <row r="22" customFormat="false" ht="15" hidden="false" customHeight="false" outlineLevel="0" collapsed="false">
      <c r="B22" s="13"/>
    </row>
    <row r="23" customFormat="false" ht="15" hidden="false" customHeight="false" outlineLevel="0" collapsed="false">
      <c r="B23" s="14" t="s">
        <v>18</v>
      </c>
    </row>
    <row r="24" customFormat="false" ht="15" hidden="false" customHeight="false" outlineLevel="0" collapsed="false">
      <c r="B24" s="14" t="s">
        <v>19</v>
      </c>
    </row>
    <row r="25" customFormat="false" ht="15" hidden="false" customHeight="false" outlineLevel="0" collapsed="false">
      <c r="B25" s="0" t="s">
        <v>20</v>
      </c>
    </row>
    <row r="26" customFormat="false" ht="15" hidden="false" customHeight="false" outlineLevel="0" collapsed="false">
      <c r="B26" s="14" t="s">
        <v>21</v>
      </c>
    </row>
    <row r="27" customFormat="false" ht="15" hidden="false" customHeight="false" outlineLevel="0" collapsed="false">
      <c r="B27" s="14" t="s">
        <v>22</v>
      </c>
    </row>
    <row r="28" customFormat="false" ht="15" hidden="false" customHeight="false" outlineLevel="0" collapsed="false">
      <c r="B28" s="14" t="s">
        <v>23</v>
      </c>
    </row>
    <row r="29" customFormat="false" ht="15" hidden="false" customHeight="false" outlineLevel="0" collapsed="false">
      <c r="B29" s="14" t="s">
        <v>24</v>
      </c>
      <c r="C29" s="14"/>
    </row>
    <row r="30" customFormat="false" ht="15" hidden="false" customHeight="false" outlineLevel="0" collapsed="false">
      <c r="B30" s="14" t="s">
        <v>25</v>
      </c>
      <c r="C30" s="14"/>
    </row>
    <row r="31" customFormat="false" ht="15" hidden="false" customHeight="false" outlineLevel="0" collapsed="false">
      <c r="B31" s="14" t="s">
        <v>26</v>
      </c>
    </row>
    <row r="32" customFormat="false" ht="15" hidden="false" customHeight="false" outlineLevel="0" collapsed="false">
      <c r="B32" s="14" t="s">
        <v>27</v>
      </c>
    </row>
    <row r="33" customFormat="false" ht="15" hidden="false" customHeight="false" outlineLevel="0" collapsed="false">
      <c r="B33" s="14" t="s">
        <v>28</v>
      </c>
    </row>
    <row r="34" customFormat="false" ht="15" hidden="false" customHeight="false" outlineLevel="0" collapsed="false">
      <c r="B34" s="14" t="s">
        <v>29</v>
      </c>
    </row>
    <row r="35" customFormat="false" ht="15" hidden="false" customHeight="false" outlineLevel="0" collapsed="false">
      <c r="B35" s="14" t="s">
        <v>30</v>
      </c>
    </row>
    <row r="36" customFormat="false" ht="15" hidden="false" customHeight="false" outlineLevel="0" collapsed="false">
      <c r="B36" s="14" t="s">
        <v>31</v>
      </c>
    </row>
    <row r="37" customFormat="false" ht="15" hidden="false" customHeight="false" outlineLevel="0" collapsed="false">
      <c r="B37" s="14" t="s">
        <v>32</v>
      </c>
    </row>
    <row r="38" customFormat="false" ht="15" hidden="false" customHeight="false" outlineLevel="0" collapsed="false">
      <c r="C38" s="15"/>
    </row>
    <row r="39" customFormat="false" ht="15" hidden="false" customHeight="false" outlineLevel="0" collapsed="false">
      <c r="B39" s="6" t="s">
        <v>18</v>
      </c>
      <c r="C39" s="16"/>
      <c r="D39" s="7"/>
      <c r="E39" s="7"/>
      <c r="F39" s="7"/>
      <c r="G39" s="7"/>
      <c r="H39" s="7"/>
      <c r="I39" s="7"/>
    </row>
    <row r="40" customFormat="false" ht="15" hidden="false" customHeight="false" outlineLevel="0" collapsed="false">
      <c r="C40" s="15"/>
    </row>
    <row r="41" customFormat="false" ht="15" hidden="false" customHeight="false" outlineLevel="0" collapsed="false">
      <c r="B41" s="13" t="s">
        <v>33</v>
      </c>
      <c r="C41" s="15"/>
    </row>
    <row r="42" customFormat="false" ht="15" hidden="false" customHeight="false" outlineLevel="0" collapsed="false">
      <c r="B42" s="0" t="s">
        <v>34</v>
      </c>
      <c r="C42" s="15"/>
    </row>
    <row r="43" customFormat="false" ht="15" hidden="false" customHeight="false" outlineLevel="0" collapsed="false">
      <c r="B43" s="9" t="s">
        <v>35</v>
      </c>
      <c r="C43" s="15"/>
    </row>
    <row r="44" customFormat="false" ht="15" hidden="false" customHeight="false" outlineLevel="0" collapsed="false">
      <c r="C44" s="15"/>
    </row>
    <row r="45" customFormat="false" ht="15" hidden="false" customHeight="false" outlineLevel="0" collapsed="false">
      <c r="B45" s="13" t="s">
        <v>36</v>
      </c>
    </row>
    <row r="46" customFormat="false" ht="15" hidden="false" customHeight="false" outlineLevel="0" collapsed="false">
      <c r="B46" s="17" t="s">
        <v>37</v>
      </c>
    </row>
    <row r="48" customFormat="false" ht="15" hidden="false" customHeight="false" outlineLevel="0" collapsed="false">
      <c r="B48" s="13" t="s">
        <v>38</v>
      </c>
    </row>
    <row r="49" customFormat="false" ht="15" hidden="false" customHeight="false" outlineLevel="0" collapsed="false">
      <c r="B49" s="0" t="s">
        <v>39</v>
      </c>
    </row>
    <row r="51" customFormat="false" ht="15" hidden="false" customHeight="false" outlineLevel="0" collapsed="false">
      <c r="B51" s="6" t="s">
        <v>40</v>
      </c>
      <c r="C51" s="7"/>
      <c r="D51" s="7"/>
      <c r="E51" s="7"/>
      <c r="F51" s="7"/>
      <c r="G51" s="7"/>
      <c r="H51" s="7"/>
      <c r="I51" s="7"/>
    </row>
    <row r="52" customFormat="false" ht="15" hidden="false" customHeight="false" outlineLevel="0" collapsed="false">
      <c r="H52" s="18"/>
    </row>
    <row r="53" customFormat="false" ht="15" hidden="false" customHeight="false" outlineLevel="0" collapsed="false">
      <c r="B53" s="0" t="s">
        <v>41</v>
      </c>
      <c r="H53" s="18"/>
    </row>
    <row r="54" customFormat="false" ht="15" hidden="false" customHeight="false" outlineLevel="0" collapsed="false">
      <c r="H54" s="18"/>
    </row>
    <row r="55" customFormat="false" ht="15" hidden="false" customHeight="false" outlineLevel="0" collapsed="false">
      <c r="B55" s="14" t="s">
        <v>42</v>
      </c>
      <c r="H55" s="18"/>
    </row>
    <row r="56" customFormat="false" ht="15" hidden="false" customHeight="false" outlineLevel="0" collapsed="false">
      <c r="B56" s="18" t="s">
        <v>43</v>
      </c>
      <c r="H56" s="18"/>
    </row>
    <row r="57" customFormat="false" ht="15" hidden="false" customHeight="false" outlineLevel="0" collapsed="false">
      <c r="B57" s="14" t="s">
        <v>44</v>
      </c>
      <c r="H57" s="18"/>
      <c r="I57" s="4"/>
    </row>
    <row r="58" customFormat="false" ht="15" hidden="false" customHeight="false" outlineLevel="0" collapsed="false">
      <c r="B58" s="11" t="s">
        <v>45</v>
      </c>
      <c r="H58" s="18"/>
    </row>
    <row r="59" customFormat="false" ht="15" hidden="false" customHeight="false" outlineLevel="0" collapsed="false">
      <c r="B59" s="19" t="s">
        <v>46</v>
      </c>
      <c r="H59" s="18"/>
    </row>
    <row r="60" customFormat="false" ht="15" hidden="false" customHeight="false" outlineLevel="0" collapsed="false">
      <c r="B60" s="9" t="s">
        <v>47</v>
      </c>
    </row>
    <row r="61" customFormat="false" ht="15" hidden="false" customHeight="false" outlineLevel="0" collapsed="false">
      <c r="B61" s="9" t="s">
        <v>48</v>
      </c>
    </row>
    <row r="63" customFormat="false" ht="15" hidden="false" customHeight="false" outlineLevel="0" collapsed="false">
      <c r="B63" s="6" t="s">
        <v>20</v>
      </c>
      <c r="C63" s="7"/>
      <c r="D63" s="7"/>
      <c r="E63" s="7"/>
      <c r="F63" s="7"/>
      <c r="G63" s="7"/>
      <c r="H63" s="7"/>
      <c r="I63" s="7"/>
    </row>
    <row r="65" customFormat="false" ht="15" hidden="false" customHeight="false" outlineLevel="0" collapsed="false">
      <c r="B65" s="0" t="s">
        <v>49</v>
      </c>
    </row>
    <row r="67" customFormat="false" ht="15" hidden="false" customHeight="false" outlineLevel="0" collapsed="false">
      <c r="B67" s="6" t="s">
        <v>21</v>
      </c>
      <c r="C67" s="6"/>
      <c r="D67" s="6"/>
      <c r="E67" s="6"/>
      <c r="F67" s="6"/>
      <c r="G67" s="6"/>
      <c r="H67" s="6"/>
      <c r="I67" s="6"/>
    </row>
    <row r="69" customFormat="false" ht="15" hidden="false" customHeight="false" outlineLevel="0" collapsed="false">
      <c r="B69" s="14" t="s">
        <v>50</v>
      </c>
    </row>
    <row r="70" customFormat="false" ht="15" hidden="false" customHeight="false" outlineLevel="0" collapsed="false">
      <c r="B70" s="14" t="s">
        <v>51</v>
      </c>
    </row>
    <row r="72" customFormat="false" ht="15" hidden="false" customHeight="false" outlineLevel="0" collapsed="false">
      <c r="B72" s="6" t="s">
        <v>22</v>
      </c>
      <c r="C72" s="7"/>
      <c r="D72" s="7"/>
      <c r="E72" s="7"/>
      <c r="F72" s="7"/>
      <c r="G72" s="7"/>
      <c r="H72" s="7"/>
      <c r="I72" s="7"/>
    </row>
    <row r="74" customFormat="false" ht="15" hidden="false" customHeight="false" outlineLevel="0" collapsed="false">
      <c r="B74" s="14" t="s">
        <v>52</v>
      </c>
    </row>
    <row r="76" customFormat="false" ht="15" hidden="false" customHeight="false" outlineLevel="0" collapsed="false">
      <c r="B76" s="6" t="s">
        <v>53</v>
      </c>
      <c r="C76" s="7"/>
      <c r="D76" s="7"/>
      <c r="E76" s="7"/>
      <c r="F76" s="7"/>
      <c r="G76" s="7"/>
      <c r="H76" s="7"/>
      <c r="I76" s="7"/>
    </row>
    <row r="78" customFormat="false" ht="15" hidden="false" customHeight="false" outlineLevel="0" collapsed="false">
      <c r="B78" s="0" t="s">
        <v>54</v>
      </c>
    </row>
    <row r="80" customFormat="false" ht="15" hidden="false" customHeight="false" outlineLevel="0" collapsed="false">
      <c r="B80" s="11" t="s">
        <v>55</v>
      </c>
    </row>
    <row r="81" customFormat="false" ht="15" hidden="false" customHeight="false" outlineLevel="0" collapsed="false">
      <c r="B81" s="0" t="s">
        <v>56</v>
      </c>
    </row>
    <row r="83" customFormat="false" ht="15" hidden="false" customHeight="false" outlineLevel="0" collapsed="false">
      <c r="B83" s="0" t="s">
        <v>57</v>
      </c>
    </row>
    <row r="84" customFormat="false" ht="15" hidden="false" customHeight="false" outlineLevel="0" collapsed="false">
      <c r="B84" s="0" t="s">
        <v>56</v>
      </c>
    </row>
    <row r="85" customFormat="false" ht="15" hidden="false" customHeight="false" outlineLevel="0" collapsed="false">
      <c r="B85" s="0" t="s">
        <v>58</v>
      </c>
    </row>
    <row r="86" customFormat="false" ht="15" hidden="false" customHeight="false" outlineLevel="0" collapsed="false">
      <c r="B86" s="19"/>
    </row>
    <row r="87" customFormat="false" ht="15" hidden="false" customHeight="false" outlineLevel="0" collapsed="false">
      <c r="B87" s="0" t="s">
        <v>59</v>
      </c>
    </row>
    <row r="88" customFormat="false" ht="15" hidden="false" customHeight="false" outlineLevel="0" collapsed="false">
      <c r="B88" s="0" t="s">
        <v>56</v>
      </c>
    </row>
    <row r="89" customFormat="false" ht="15" hidden="false" customHeight="false" outlineLevel="0" collapsed="false">
      <c r="B89" s="0" t="s">
        <v>60</v>
      </c>
    </row>
    <row r="91" customFormat="false" ht="15" hidden="false" customHeight="false" outlineLevel="0" collapsed="false">
      <c r="B91" s="6" t="s">
        <v>61</v>
      </c>
      <c r="C91" s="7"/>
      <c r="D91" s="7"/>
      <c r="E91" s="7"/>
      <c r="F91" s="7"/>
      <c r="G91" s="7"/>
      <c r="H91" s="7"/>
      <c r="I91" s="7"/>
    </row>
    <row r="93" customFormat="false" ht="15" hidden="false" customHeight="false" outlineLevel="0" collapsed="false">
      <c r="B93" s="0" t="s">
        <v>62</v>
      </c>
    </row>
    <row r="94" customFormat="false" ht="15" hidden="false" customHeight="false" outlineLevel="0" collapsed="false">
      <c r="B94" s="14" t="s">
        <v>63</v>
      </c>
    </row>
    <row r="95" customFormat="false" ht="15" hidden="false" customHeight="false" outlineLevel="0" collapsed="false">
      <c r="B95" s="14"/>
    </row>
    <row r="96" customFormat="false" ht="15" hidden="false" customHeight="false" outlineLevel="0" collapsed="false">
      <c r="B96" s="11" t="s">
        <v>64</v>
      </c>
    </row>
    <row r="97" customFormat="false" ht="15" hidden="false" customHeight="false" outlineLevel="0" collapsed="false">
      <c r="B97" s="18" t="s">
        <v>65</v>
      </c>
    </row>
    <row r="98" customFormat="false" ht="15" hidden="false" customHeight="false" outlineLevel="0" collapsed="false">
      <c r="B98" s="18" t="s">
        <v>66</v>
      </c>
    </row>
    <row r="99" customFormat="false" ht="15" hidden="false" customHeight="false" outlineLevel="0" collapsed="false">
      <c r="B99" s="18" t="s">
        <v>67</v>
      </c>
    </row>
    <row r="100" customFormat="false" ht="15" hidden="false" customHeight="false" outlineLevel="0" collapsed="false">
      <c r="B100" s="18" t="s">
        <v>68</v>
      </c>
    </row>
    <row r="101" customFormat="false" ht="15" hidden="false" customHeight="false" outlineLevel="0" collapsed="false">
      <c r="B101" s="18"/>
    </row>
    <row r="102" customFormat="false" ht="15" hidden="false" customHeight="false" outlineLevel="0" collapsed="false">
      <c r="B102" s="6" t="s">
        <v>69</v>
      </c>
      <c r="C102" s="7"/>
      <c r="D102" s="7"/>
      <c r="E102" s="7"/>
      <c r="F102" s="7"/>
      <c r="G102" s="7"/>
      <c r="H102" s="7"/>
      <c r="I102" s="7"/>
    </row>
    <row r="104" customFormat="false" ht="15" hidden="false" customHeight="false" outlineLevel="0" collapsed="false">
      <c r="B104" s="14" t="s">
        <v>70</v>
      </c>
    </row>
    <row r="105" customFormat="false" ht="15" hidden="false" customHeight="false" outlineLevel="0" collapsed="false">
      <c r="B105" s="14" t="s">
        <v>71</v>
      </c>
    </row>
    <row r="106" customFormat="false" ht="15" hidden="false" customHeight="false" outlineLevel="0" collapsed="false">
      <c r="B106" s="14" t="s">
        <v>72</v>
      </c>
    </row>
    <row r="108" customFormat="false" ht="15" hidden="false" customHeight="false" outlineLevel="0" collapsed="false">
      <c r="B108" s="6" t="s">
        <v>73</v>
      </c>
      <c r="C108" s="7"/>
      <c r="D108" s="7"/>
      <c r="E108" s="7"/>
      <c r="F108" s="7"/>
      <c r="G108" s="7"/>
      <c r="H108" s="7"/>
      <c r="I108" s="7"/>
    </row>
    <row r="110" customFormat="false" ht="15" hidden="false" customHeight="false" outlineLevel="0" collapsed="false">
      <c r="B110" s="0" t="s">
        <v>74</v>
      </c>
    </row>
    <row r="111" customFormat="false" ht="15" hidden="false" customHeight="false" outlineLevel="0" collapsed="false">
      <c r="B111" s="0" t="s">
        <v>75</v>
      </c>
    </row>
    <row r="112" customFormat="false" ht="15" hidden="false" customHeight="false" outlineLevel="0" collapsed="false">
      <c r="B112" s="0" t="s">
        <v>76</v>
      </c>
    </row>
    <row r="113" customFormat="false" ht="15" hidden="false" customHeight="false" outlineLevel="0" collapsed="false">
      <c r="B113" s="0" t="s">
        <v>77</v>
      </c>
    </row>
    <row r="115" customFormat="false" ht="15" hidden="false" customHeight="false" outlineLevel="0" collapsed="false">
      <c r="B115" s="6" t="s">
        <v>30</v>
      </c>
      <c r="C115" s="7"/>
      <c r="D115" s="7"/>
      <c r="E115" s="7"/>
      <c r="F115" s="7"/>
      <c r="G115" s="7"/>
      <c r="H115" s="7"/>
      <c r="I115" s="7"/>
    </row>
    <row r="117" customFormat="false" ht="15" hidden="false" customHeight="false" outlineLevel="0" collapsed="false">
      <c r="B117" s="0" t="s">
        <v>78</v>
      </c>
    </row>
    <row r="118" customFormat="false" ht="15" hidden="false" customHeight="false" outlineLevel="0" collapsed="false">
      <c r="B118" s="0" t="s">
        <v>79</v>
      </c>
    </row>
    <row r="120" customFormat="false" ht="15" hidden="false" customHeight="false" outlineLevel="0" collapsed="false">
      <c r="B120" s="6" t="s">
        <v>80</v>
      </c>
      <c r="C120" s="7"/>
      <c r="D120" s="7"/>
      <c r="E120" s="7"/>
      <c r="F120" s="7"/>
      <c r="G120" s="7"/>
      <c r="H120" s="7"/>
      <c r="I120" s="7"/>
    </row>
    <row r="122" customFormat="false" ht="15" hidden="false" customHeight="false" outlineLevel="0" collapsed="false">
      <c r="B122" s="0" t="s">
        <v>81</v>
      </c>
    </row>
    <row r="123" customFormat="false" ht="15" hidden="false" customHeight="false" outlineLevel="0" collapsed="false">
      <c r="B123" s="0" t="s">
        <v>82</v>
      </c>
    </row>
    <row r="125" customFormat="false" ht="15" hidden="false" customHeight="false" outlineLevel="0" collapsed="false">
      <c r="B125" s="6" t="s">
        <v>83</v>
      </c>
      <c r="C125" s="7"/>
      <c r="D125" s="7"/>
      <c r="E125" s="7"/>
      <c r="F125" s="7"/>
      <c r="G125" s="7"/>
      <c r="H125" s="7"/>
      <c r="I125" s="7"/>
    </row>
    <row r="127" customFormat="false" ht="15" hidden="false" customHeight="false" outlineLevel="0" collapsed="false">
      <c r="B127" s="20" t="s">
        <v>84</v>
      </c>
    </row>
    <row r="280" customFormat="false" ht="15" hidden="false" customHeight="false" outlineLevel="0" collapsed="false">
      <c r="J280" s="0" t="n">
        <f aca="false">$F280*J$5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00"/>
  <sheetViews>
    <sheetView showFormulas="false" showGridLines="false" showRowColHeaders="true" showZeros="true" rightToLeft="false" tabSelected="false" showOutlineSymbols="true" defaultGridColor="true" view="normal" topLeftCell="A46" colorId="64" zoomScale="80" zoomScaleNormal="80" zoomScalePageLayoutView="100" workbookViewId="0">
      <selection pane="topLeft" activeCell="E67" activeCellId="0" sqref="E67"/>
    </sheetView>
  </sheetViews>
  <sheetFormatPr defaultColWidth="8.83203125" defaultRowHeight="15" zeroHeight="false" outlineLevelRow="1" outlineLevelCol="0"/>
  <cols>
    <col collapsed="false" customWidth="true" hidden="false" outlineLevel="0" max="2" min="1" style="0" width="3"/>
    <col collapsed="false" customWidth="true" hidden="false" outlineLevel="0" max="3" min="3" style="0" width="40.67"/>
    <col collapsed="false" customWidth="true" hidden="false" outlineLevel="0" max="4" min="4" style="0" width="15.51"/>
    <col collapsed="false" customWidth="true" hidden="false" outlineLevel="0" max="5" min="5" style="0" width="18"/>
    <col collapsed="false" customWidth="true" hidden="false" outlineLevel="0" max="6" min="6" style="0" width="31.16"/>
    <col collapsed="false" customWidth="true" hidden="false" outlineLevel="0" max="8" min="7" style="0" width="20.16"/>
    <col collapsed="false" customWidth="true" hidden="false" outlineLevel="0" max="9" min="9" style="0" width="13.34"/>
    <col collapsed="false" customWidth="true" hidden="false" outlineLevel="0" max="11" min="10" style="0" width="13.5"/>
    <col collapsed="false" customWidth="true" hidden="false" outlineLevel="0" max="14" min="12" style="0" width="12.33"/>
  </cols>
  <sheetData>
    <row r="2" customFormat="false" ht="17.35" hidden="false" customHeight="false" outlineLevel="0" collapsed="false">
      <c r="B2" s="5" t="str">
        <f aca="false">"Projections - "&amp;Project_Name</f>
        <v>Projections - Serious Shea</v>
      </c>
      <c r="E2" s="21"/>
      <c r="F2" s="22"/>
    </row>
    <row r="3" customFormat="false" ht="15" hidden="false" customHeight="false" outlineLevel="0" collapsed="false">
      <c r="B3" s="1" t="s">
        <v>85</v>
      </c>
    </row>
    <row r="4" customFormat="false" ht="15" hidden="false" customHeight="false" outlineLevel="0" collapsed="false">
      <c r="B4" s="1"/>
    </row>
    <row r="5" customFormat="false" ht="15" hidden="false" customHeight="false" outlineLevel="0" collapsed="false">
      <c r="B5" s="6" t="s">
        <v>86</v>
      </c>
      <c r="C5" s="6"/>
      <c r="D5" s="6"/>
      <c r="E5" s="6" t="s">
        <v>87</v>
      </c>
      <c r="F5" s="23"/>
      <c r="G5" s="6" t="s">
        <v>88</v>
      </c>
      <c r="H5" s="6"/>
      <c r="I5" s="6"/>
      <c r="J5" s="6"/>
      <c r="K5" s="6"/>
      <c r="L5" s="6"/>
    </row>
    <row r="6" customFormat="false" ht="15" hidden="false" customHeight="false" outlineLevel="0" collapsed="false">
      <c r="B6" s="24" t="s">
        <v>89</v>
      </c>
      <c r="C6" s="13"/>
      <c r="D6" s="13"/>
    </row>
    <row r="7" customFormat="false" ht="15" hidden="false" customHeight="false" outlineLevel="0" collapsed="false">
      <c r="C7" s="1" t="s">
        <v>90</v>
      </c>
      <c r="D7" s="1"/>
      <c r="E7" s="25"/>
      <c r="F7" s="26" t="s">
        <v>91</v>
      </c>
      <c r="G7" s="27"/>
    </row>
    <row r="8" customFormat="false" ht="15" hidden="false" customHeight="false" outlineLevel="0" collapsed="false">
      <c r="C8" s="1" t="s">
        <v>92</v>
      </c>
      <c r="D8" s="1"/>
      <c r="E8" s="25"/>
      <c r="F8" s="26" t="s">
        <v>93</v>
      </c>
      <c r="G8" s="28"/>
    </row>
    <row r="9" customFormat="false" ht="15" hidden="false" customHeight="false" outlineLevel="0" collapsed="false">
      <c r="C9" s="0" t="s">
        <v>94</v>
      </c>
      <c r="E9" s="25" t="s">
        <v>95</v>
      </c>
      <c r="F9" s="29" t="n">
        <v>44927</v>
      </c>
      <c r="G9" s="28"/>
    </row>
    <row r="10" customFormat="false" ht="15" hidden="false" customHeight="false" outlineLevel="0" collapsed="false">
      <c r="C10" s="0" t="s">
        <v>96</v>
      </c>
      <c r="D10" s="1"/>
      <c r="E10" s="25" t="s">
        <v>95</v>
      </c>
      <c r="F10" s="29" t="n">
        <v>45292</v>
      </c>
      <c r="G10" s="28"/>
      <c r="H10" s="1"/>
    </row>
    <row r="11" customFormat="false" ht="15" hidden="false" customHeight="false" outlineLevel="0" collapsed="false">
      <c r="E11" s="30"/>
      <c r="H11" s="31"/>
    </row>
    <row r="12" customFormat="false" ht="15" hidden="false" customHeight="false" outlineLevel="0" collapsed="false">
      <c r="B12" s="24" t="s">
        <v>97</v>
      </c>
      <c r="E12" s="30"/>
      <c r="H12" s="28"/>
    </row>
    <row r="13" customFormat="false" ht="15" hidden="false" customHeight="false" outlineLevel="0" collapsed="false">
      <c r="C13" s="1" t="s">
        <v>98</v>
      </c>
      <c r="D13" s="1"/>
      <c r="E13" s="30"/>
      <c r="F13" s="32" t="s">
        <v>99</v>
      </c>
      <c r="G13" s="33" t="s">
        <v>100</v>
      </c>
    </row>
    <row r="14" customFormat="false" ht="15" hidden="false" customHeight="true" outlineLevel="0" collapsed="false">
      <c r="C14" s="34" t="s">
        <v>101</v>
      </c>
      <c r="D14" s="11"/>
      <c r="E14" s="35" t="s">
        <v>102</v>
      </c>
      <c r="F14" s="36" t="n">
        <f aca="false">'11.WACC'!D43</f>
        <v>0.135</v>
      </c>
      <c r="G14" s="37" t="s">
        <v>103</v>
      </c>
      <c r="H14" s="37"/>
      <c r="I14" s="37"/>
      <c r="J14" s="37"/>
      <c r="K14" s="37"/>
    </row>
    <row r="15" customFormat="false" ht="15" hidden="false" customHeight="false" outlineLevel="0" collapsed="false">
      <c r="C15" s="38" t="s">
        <v>104</v>
      </c>
      <c r="D15" s="38"/>
      <c r="E15" s="25" t="s">
        <v>105</v>
      </c>
      <c r="F15" s="39" t="n">
        <f aca="false">IF($F$13="Real",0,2%)</f>
        <v>0.02</v>
      </c>
      <c r="G15" s="40" t="s">
        <v>106</v>
      </c>
      <c r="J15" s="40"/>
      <c r="L15" s="4"/>
      <c r="M15" s="4"/>
    </row>
    <row r="16" customFormat="false" ht="15" hidden="false" customHeight="false" outlineLevel="0" collapsed="false">
      <c r="C16" s="38" t="s">
        <v>107</v>
      </c>
      <c r="D16" s="38"/>
      <c r="E16" s="25"/>
      <c r="F16" s="41" t="n">
        <f aca="false">1.1015</f>
        <v>1.1015</v>
      </c>
      <c r="G16" s="40" t="s">
        <v>108</v>
      </c>
      <c r="J16" s="40"/>
      <c r="L16" s="4"/>
      <c r="M16" s="4"/>
    </row>
    <row r="17" customFormat="false" ht="15" hidden="false" customHeight="false" outlineLevel="0" collapsed="false">
      <c r="B17" s="24"/>
      <c r="E17" s="30"/>
    </row>
    <row r="18" customFormat="false" ht="15" hidden="false" customHeight="false" outlineLevel="0" collapsed="false">
      <c r="B18" s="24" t="s">
        <v>109</v>
      </c>
      <c r="E18" s="30"/>
      <c r="F18" s="42"/>
    </row>
    <row r="19" customFormat="false" ht="15" hidden="false" customHeight="false" outlineLevel="0" collapsed="false">
      <c r="B19" s="11"/>
      <c r="C19" s="43" t="s">
        <v>110</v>
      </c>
      <c r="D19" s="11"/>
      <c r="E19" s="30"/>
      <c r="F19" s="38"/>
    </row>
    <row r="20" customFormat="false" ht="15" hidden="false" customHeight="false" outlineLevel="0" collapsed="false">
      <c r="B20" s="8" t="n">
        <v>1</v>
      </c>
      <c r="C20" s="44" t="s">
        <v>111</v>
      </c>
      <c r="D20" s="11"/>
      <c r="E20" s="30" t="s">
        <v>112</v>
      </c>
      <c r="F20" s="45" t="n">
        <f aca="false">8/F16</f>
        <v>7.26282342260554</v>
      </c>
      <c r="G20" s="33" t="s">
        <v>113</v>
      </c>
    </row>
    <row r="21" customFormat="false" ht="15" hidden="false" customHeight="false" outlineLevel="0" collapsed="false">
      <c r="B21" s="8" t="n">
        <v>2</v>
      </c>
      <c r="C21" s="44" t="s">
        <v>114</v>
      </c>
      <c r="D21" s="11"/>
      <c r="E21" s="30" t="s">
        <v>112</v>
      </c>
      <c r="F21" s="45" t="n">
        <v>10</v>
      </c>
      <c r="G21" s="38" t="s">
        <v>115</v>
      </c>
    </row>
    <row r="22" customFormat="false" ht="15" hidden="false" customHeight="false" outlineLevel="0" collapsed="false">
      <c r="B22" s="8" t="n">
        <v>3</v>
      </c>
      <c r="C22" s="44" t="s">
        <v>116</v>
      </c>
      <c r="D22" s="11"/>
      <c r="E22" s="30" t="s">
        <v>112</v>
      </c>
      <c r="F22" s="45" t="n">
        <f aca="false">13.8/$F$16</f>
        <v>12.5283704039946</v>
      </c>
      <c r="G22" s="33" t="s">
        <v>117</v>
      </c>
    </row>
    <row r="23" customFormat="false" ht="15" hidden="false" customHeight="false" outlineLevel="0" collapsed="false">
      <c r="B23" s="8" t="n">
        <v>4</v>
      </c>
      <c r="C23" s="44" t="s">
        <v>118</v>
      </c>
      <c r="D23" s="11"/>
      <c r="E23" s="30" t="s">
        <v>112</v>
      </c>
      <c r="F23" s="45" t="n">
        <v>9.9</v>
      </c>
      <c r="G23" s="33" t="s">
        <v>119</v>
      </c>
    </row>
    <row r="24" customFormat="false" ht="15" hidden="false" customHeight="false" outlineLevel="0" collapsed="false">
      <c r="B24" s="8" t="n">
        <v>5</v>
      </c>
      <c r="C24" s="44" t="s">
        <v>120</v>
      </c>
      <c r="D24" s="11"/>
      <c r="E24" s="30" t="s">
        <v>112</v>
      </c>
      <c r="F24" s="45" t="n">
        <v>10.2</v>
      </c>
      <c r="G24" s="33" t="s">
        <v>119</v>
      </c>
    </row>
    <row r="25" customFormat="false" ht="15" hidden="false" customHeight="false" outlineLevel="0" collapsed="false">
      <c r="B25" s="8" t="n">
        <v>6</v>
      </c>
      <c r="C25" s="44" t="s">
        <v>121</v>
      </c>
      <c r="D25" s="11"/>
      <c r="E25" s="30" t="s">
        <v>112</v>
      </c>
      <c r="F25" s="45" t="n">
        <v>11.3</v>
      </c>
      <c r="G25" s="33" t="s">
        <v>119</v>
      </c>
    </row>
    <row r="26" customFormat="false" ht="15" hidden="false" customHeight="false" outlineLevel="0" collapsed="false">
      <c r="B26" s="8" t="n">
        <v>7</v>
      </c>
      <c r="C26" s="44" t="s">
        <v>122</v>
      </c>
      <c r="D26" s="11"/>
      <c r="E26" s="30" t="s">
        <v>112</v>
      </c>
      <c r="F26" s="45" t="n">
        <v>11.9</v>
      </c>
      <c r="G26" s="33" t="s">
        <v>119</v>
      </c>
    </row>
    <row r="27" customFormat="false" ht="15" hidden="false" customHeight="false" outlineLevel="0" collapsed="false">
      <c r="B27" s="8"/>
      <c r="C27" s="44"/>
      <c r="D27" s="11"/>
      <c r="E27" s="30"/>
      <c r="F27" s="46"/>
      <c r="G27" s="38"/>
    </row>
    <row r="28" customFormat="false" ht="15" hidden="false" customHeight="false" outlineLevel="0" collapsed="false">
      <c r="B28" s="8"/>
      <c r="C28" s="34" t="s">
        <v>123</v>
      </c>
      <c r="D28" s="11"/>
      <c r="E28" s="47" t="s">
        <v>124</v>
      </c>
      <c r="F28" s="48" t="s">
        <v>114</v>
      </c>
      <c r="G28" s="49" t="s">
        <v>125</v>
      </c>
    </row>
    <row r="29" customFormat="false" ht="15" hidden="false" customHeight="false" outlineLevel="0" collapsed="false">
      <c r="B29" s="8"/>
      <c r="C29" s="1" t="s">
        <v>126</v>
      </c>
      <c r="D29" s="1"/>
      <c r="E29" s="25" t="s">
        <v>105</v>
      </c>
      <c r="F29" s="39" t="n">
        <f aca="false">F15</f>
        <v>0.02</v>
      </c>
      <c r="G29" s="40" t="s">
        <v>127</v>
      </c>
    </row>
    <row r="30" customFormat="false" ht="15" hidden="false" customHeight="false" outlineLevel="0" collapsed="false">
      <c r="B30" s="1"/>
      <c r="C30" s="11"/>
      <c r="D30" s="11"/>
      <c r="E30" s="25"/>
      <c r="F30" s="25"/>
      <c r="G30" s="25"/>
    </row>
    <row r="31" customFormat="false" ht="15" hidden="false" customHeight="false" outlineLevel="0" collapsed="false">
      <c r="B31" s="8"/>
      <c r="C31" s="25" t="s">
        <v>128</v>
      </c>
      <c r="D31" s="25"/>
      <c r="E31" s="25"/>
      <c r="F31" s="50" t="s">
        <v>129</v>
      </c>
    </row>
    <row r="32" customFormat="false" ht="15" hidden="false" customHeight="false" outlineLevel="0" collapsed="false">
      <c r="B32" s="8" t="n">
        <v>1</v>
      </c>
      <c r="C32" s="44" t="s">
        <v>130</v>
      </c>
      <c r="D32" s="25"/>
      <c r="E32" s="25" t="s">
        <v>131</v>
      </c>
      <c r="F32" s="51" t="n">
        <f aca="false">'4.1 Revenue Build - VCU'!E32</f>
        <v>6540628</v>
      </c>
      <c r="G32" s="52" t="s">
        <v>132</v>
      </c>
    </row>
    <row r="33" customFormat="false" ht="15" hidden="false" customHeight="false" outlineLevel="0" collapsed="false">
      <c r="B33" s="8" t="n">
        <v>2</v>
      </c>
      <c r="C33" s="44" t="s">
        <v>133</v>
      </c>
      <c r="D33" s="25"/>
      <c r="E33" s="25" t="s">
        <v>131</v>
      </c>
      <c r="F33" s="51" t="n">
        <f aca="false">'4.1 Revenue Build - VCU'!E33</f>
        <v>8089676</v>
      </c>
    </row>
    <row r="34" customFormat="false" ht="15" hidden="false" customHeight="false" outlineLevel="0" collapsed="false">
      <c r="B34" s="8" t="n">
        <v>3</v>
      </c>
      <c r="C34" s="44" t="s">
        <v>134</v>
      </c>
      <c r="D34" s="25"/>
      <c r="E34" s="25" t="s">
        <v>131</v>
      </c>
      <c r="F34" s="51" t="n">
        <f aca="false">'4.1 Revenue Build - VCU'!E34</f>
        <v>9753568</v>
      </c>
    </row>
    <row r="35" customFormat="false" ht="15" hidden="false" customHeight="false" outlineLevel="0" collapsed="false">
      <c r="B35" s="8"/>
      <c r="C35" s="25"/>
      <c r="D35" s="25"/>
      <c r="E35" s="25"/>
      <c r="F35" s="50"/>
      <c r="G35" s="1"/>
    </row>
    <row r="36" customFormat="false" ht="15" hidden="false" customHeight="false" outlineLevel="0" collapsed="false">
      <c r="B36" s="8"/>
      <c r="C36" s="34" t="s">
        <v>135</v>
      </c>
      <c r="D36" s="25"/>
      <c r="E36" s="25"/>
      <c r="F36" s="53" t="s">
        <v>133</v>
      </c>
      <c r="G36" s="49" t="s">
        <v>136</v>
      </c>
    </row>
    <row r="37" customFormat="false" ht="15" hidden="false" customHeight="false" outlineLevel="0" collapsed="false">
      <c r="B37" s="8"/>
      <c r="C37" s="25"/>
      <c r="D37" s="25"/>
      <c r="E37" s="25"/>
      <c r="F37" s="50"/>
      <c r="G37" s="1"/>
    </row>
    <row r="38" customFormat="false" ht="15" hidden="false" customHeight="false" outlineLevel="0" collapsed="false">
      <c r="B38" s="6" t="s">
        <v>137</v>
      </c>
      <c r="C38" s="6"/>
      <c r="D38" s="6"/>
      <c r="E38" s="54" t="s">
        <v>138</v>
      </c>
      <c r="F38" s="54" t="s">
        <v>139</v>
      </c>
      <c r="G38" s="54" t="s">
        <v>140</v>
      </c>
      <c r="H38" s="54" t="s">
        <v>141</v>
      </c>
      <c r="I38" s="54" t="s">
        <v>142</v>
      </c>
      <c r="J38" s="54" t="s">
        <v>143</v>
      </c>
      <c r="K38" s="54" t="s">
        <v>144</v>
      </c>
    </row>
    <row r="39" customFormat="false" ht="15" hidden="false" customHeight="false" outlineLevel="1" collapsed="false"/>
    <row r="40" customFormat="false" ht="15" hidden="false" customHeight="false" outlineLevel="1" collapsed="false">
      <c r="B40" s="8" t="s">
        <v>145</v>
      </c>
      <c r="C40" s="8"/>
      <c r="D40" s="8"/>
      <c r="E40" s="13"/>
    </row>
    <row r="41" customFormat="false" ht="15" hidden="false" customHeight="false" outlineLevel="1" collapsed="false">
      <c r="C41" s="11" t="str">
        <f aca="false">'2. NPV'!C9</f>
        <v>Revenue from ARR</v>
      </c>
      <c r="D41" s="11"/>
      <c r="E41" s="21" t="n">
        <f aca="false">SUM(F41:K41)</f>
        <v>112307100.27669</v>
      </c>
      <c r="F41" s="55" t="n">
        <f aca="false">SUM('2. NPV'!H9:L9)</f>
        <v>8435987.5936256</v>
      </c>
      <c r="G41" s="55" t="n">
        <f aca="false">SUM('2. NPV'!M9:Q9)</f>
        <v>5848102.60346854</v>
      </c>
      <c r="H41" s="55" t="n">
        <f aca="false">SUM('2. NPV'!R9:V9)</f>
        <v>19784718.8242823</v>
      </c>
      <c r="I41" s="55" t="n">
        <f aca="false">SUM('2. NPV'!W9:AA9)</f>
        <v>21843928.2505998</v>
      </c>
      <c r="J41" s="55" t="n">
        <f aca="false">SUM('2. NPV'!AB9:AF9)</f>
        <v>24117461.8479654</v>
      </c>
      <c r="K41" s="55" t="n">
        <f aca="false">SUM('2. NPV'!AG9:AL9)</f>
        <v>32276901.1567486</v>
      </c>
    </row>
    <row r="42" customFormat="false" ht="15" hidden="false" customHeight="false" outlineLevel="1" collapsed="false">
      <c r="C42" s="11" t="str">
        <f aca="false">'2. NPV'!C10</f>
        <v>Revenue from Productive Activities</v>
      </c>
      <c r="D42" s="11"/>
      <c r="E42" s="21" t="n">
        <f aca="false">SUM(F42:K42)</f>
        <v>774371813.478029</v>
      </c>
      <c r="F42" s="55" t="n">
        <f aca="false">SUM('2. NPV'!H10:L10)</f>
        <v>31030345.6328545</v>
      </c>
      <c r="G42" s="55" t="n">
        <f aca="false">SUM('2. NPV'!M10:Q10)</f>
        <v>105260432.156981</v>
      </c>
      <c r="H42" s="55" t="n">
        <f aca="false">SUM('2. NPV'!R10:V10)</f>
        <v>123383354.660039</v>
      </c>
      <c r="I42" s="55" t="n">
        <f aca="false">SUM('2. NPV'!W10:AA10)</f>
        <v>139596940.796365</v>
      </c>
      <c r="J42" s="55" t="n">
        <f aca="false">SUM('2. NPV'!AB10:AF10)</f>
        <v>157941125.311413</v>
      </c>
      <c r="K42" s="55" t="n">
        <f aca="false">SUM('2. NPV'!AG10:AL10)</f>
        <v>217159614.920376</v>
      </c>
    </row>
    <row r="43" customFormat="false" ht="15" hidden="false" customHeight="false" outlineLevel="1" collapsed="false">
      <c r="C43" s="11" t="s">
        <v>146</v>
      </c>
      <c r="D43" s="11"/>
      <c r="E43" s="21" t="n">
        <f aca="false">SUM(F43:K43)</f>
        <v>0</v>
      </c>
      <c r="F43" s="55" t="n">
        <f aca="false">SUM('2. NPV'!H11:L11)</f>
        <v>0</v>
      </c>
      <c r="G43" s="55" t="n">
        <f aca="false">SUM('2. NPV'!M11:Q11)</f>
        <v>0</v>
      </c>
      <c r="H43" s="55" t="n">
        <f aca="false">SUM('2. NPV'!R11:V11)</f>
        <v>0</v>
      </c>
      <c r="I43" s="55" t="n">
        <f aca="false">SUM('2. NPV'!W11:AA11)</f>
        <v>0</v>
      </c>
      <c r="J43" s="55" t="n">
        <f aca="false">SUM('2. NPV'!AB11:AF11)</f>
        <v>0</v>
      </c>
      <c r="K43" s="55" t="n">
        <f aca="false">SUM('2. NPV'!AG11:AL11)</f>
        <v>0</v>
      </c>
    </row>
    <row r="44" customFormat="false" ht="15" hidden="false" customHeight="false" outlineLevel="1" collapsed="false">
      <c r="B44" s="56"/>
      <c r="C44" s="57" t="s">
        <v>147</v>
      </c>
      <c r="D44" s="57"/>
      <c r="E44" s="58" t="n">
        <f aca="false">SUM(F44:K44)</f>
        <v>0</v>
      </c>
      <c r="F44" s="59" t="n">
        <f aca="false">SUM('2. NPV'!H12:L12)+SUM('2. NPV'!H13:L13)</f>
        <v>0</v>
      </c>
      <c r="G44" s="59" t="n">
        <f aca="false">SUM('2. NPV'!M13:Q13)+SUM('2. NPV'!M12:Q12)</f>
        <v>0</v>
      </c>
      <c r="H44" s="59" t="n">
        <f aca="false">SUM('2. NPV'!R13:V13)+SUM('2. NPV'!R12:V12)</f>
        <v>0</v>
      </c>
      <c r="I44" s="59" t="n">
        <f aca="false">SUM('2. NPV'!W13:AA13)+SUM('2. NPV'!W12:AA12)</f>
        <v>0</v>
      </c>
      <c r="J44" s="59" t="n">
        <f aca="false">SUM('2. NPV'!AB13:AF13)+SUM('2. NPV'!AB12:AF12)</f>
        <v>0</v>
      </c>
      <c r="K44" s="59" t="n">
        <f aca="false">SUM('2. NPV'!AG13:AL13)+SUM('2. NPV'!AG12:AL12)</f>
        <v>0</v>
      </c>
    </row>
    <row r="45" customFormat="false" ht="15" hidden="false" customHeight="false" outlineLevel="1" collapsed="false">
      <c r="B45" s="10" t="s">
        <v>148</v>
      </c>
      <c r="C45" s="10"/>
      <c r="D45" s="10"/>
      <c r="E45" s="60" t="n">
        <f aca="false">SUM(F45:L45)</f>
        <v>886678913.75472</v>
      </c>
      <c r="F45" s="61" t="n">
        <f aca="false">SUM(F40:F44)</f>
        <v>39466333.2264801</v>
      </c>
      <c r="G45" s="61" t="n">
        <f aca="false">SUM(G40:G44)</f>
        <v>111108534.76045</v>
      </c>
      <c r="H45" s="61" t="n">
        <f aca="false">SUM(H40:H44)</f>
        <v>143168073.484321</v>
      </c>
      <c r="I45" s="61" t="n">
        <f aca="false">SUM(I40:I44)</f>
        <v>161440869.046965</v>
      </c>
      <c r="J45" s="61" t="n">
        <f aca="false">SUM(J40:J44)</f>
        <v>182058587.159379</v>
      </c>
      <c r="K45" s="61" t="n">
        <f aca="false">SUM(K40:K44)</f>
        <v>249436516.077125</v>
      </c>
    </row>
    <row r="46" customFormat="false" ht="15" hidden="false" customHeight="false" outlineLevel="1" collapsed="false">
      <c r="B46" s="10"/>
      <c r="C46" s="10"/>
      <c r="D46" s="10"/>
      <c r="E46" s="13"/>
    </row>
    <row r="47" customFormat="false" ht="15" hidden="false" customHeight="false" outlineLevel="1" collapsed="false">
      <c r="B47" s="8" t="s">
        <v>149</v>
      </c>
      <c r="C47" s="8"/>
      <c r="D47" s="8"/>
      <c r="E47" s="13"/>
    </row>
    <row r="48" customFormat="false" ht="15" hidden="false" customHeight="false" outlineLevel="1" collapsed="false">
      <c r="B48" s="8"/>
      <c r="C48" s="11" t="s">
        <v>150</v>
      </c>
      <c r="D48" s="8"/>
      <c r="E48" s="21" t="n">
        <f aca="false">SUM(F48:K48)</f>
        <v>512173.399909215</v>
      </c>
      <c r="F48" s="55" t="n">
        <f aca="false">SUM('2. NPV'!H18:L18)</f>
        <v>512173.399909215</v>
      </c>
      <c r="G48" s="55" t="n">
        <f aca="false">SUM('2. NPV'!M18:Q18)</f>
        <v>0</v>
      </c>
      <c r="H48" s="55" t="n">
        <f aca="false">SUM('2. NPV'!R18:V18)</f>
        <v>0</v>
      </c>
      <c r="I48" s="55" t="n">
        <f aca="false">SUM('2. NPV'!W18:AA18)</f>
        <v>0</v>
      </c>
      <c r="J48" s="55" t="n">
        <f aca="false">SUM('2. NPV'!AB18:AF18)</f>
        <v>0</v>
      </c>
      <c r="K48" s="55" t="n">
        <f aca="false">SUM('2. NPV'!AG18:AL18)</f>
        <v>0</v>
      </c>
    </row>
    <row r="49" customFormat="false" ht="15" hidden="false" customHeight="false" outlineLevel="1" collapsed="false">
      <c r="B49" s="8"/>
      <c r="C49" s="11" t="s">
        <v>151</v>
      </c>
      <c r="D49" s="8"/>
      <c r="E49" s="21" t="n">
        <f aca="false">SUM(F49:K49)</f>
        <v>5301107.35522789</v>
      </c>
      <c r="F49" s="55" t="n">
        <f aca="false">SUM('2. NPV'!H19:L19)</f>
        <v>308221.779118309</v>
      </c>
      <c r="G49" s="55" t="n">
        <f aca="false">SUM('2. NPV'!M19:Q19)</f>
        <v>722149.148061364</v>
      </c>
      <c r="H49" s="55" t="n">
        <f aca="false">SUM('2. NPV'!R19:V19)</f>
        <v>859863.787531252</v>
      </c>
      <c r="I49" s="55" t="n">
        <f aca="false">SUM('2. NPV'!W19:AA19)</f>
        <v>975798.490340889</v>
      </c>
      <c r="J49" s="55" t="n">
        <f aca="false">SUM('2. NPV'!AB19:AF19)</f>
        <v>1021885.11856527</v>
      </c>
      <c r="K49" s="55" t="n">
        <f aca="false">SUM('2. NPV'!AG19:AL19)</f>
        <v>1413189.0316108</v>
      </c>
    </row>
    <row r="50" customFormat="false" ht="15" hidden="false" customHeight="false" outlineLevel="1" collapsed="false">
      <c r="B50" s="8"/>
      <c r="C50" s="11" t="s">
        <v>152</v>
      </c>
      <c r="D50" s="8"/>
      <c r="E50" s="21" t="n">
        <f aca="false">SUM(F50:K50)</f>
        <v>71731731.1442123</v>
      </c>
      <c r="F50" s="22" t="n">
        <f aca="false">SUM('2. NPV'!H21:L26)</f>
        <v>15122046.2591411</v>
      </c>
      <c r="G50" s="22" t="n">
        <f aca="false">SUM('2. NPV'!M21:Q26)</f>
        <v>16547195.7490315</v>
      </c>
      <c r="H50" s="22" t="n">
        <f aca="false">SUM('2. NPV'!R21:V26)</f>
        <v>8279448.00831194</v>
      </c>
      <c r="I50" s="22" t="n">
        <f aca="false">SUM('2. NPV'!W21:AA26)</f>
        <v>8698428.99934111</v>
      </c>
      <c r="J50" s="22" t="n">
        <f aca="false">SUM('2. NPV'!AB21:AF26)</f>
        <v>9758300.56743701</v>
      </c>
      <c r="K50" s="22" t="n">
        <f aca="false">SUM('2. NPV'!AG21:AL26)</f>
        <v>13326311.5609497</v>
      </c>
    </row>
    <row r="51" customFormat="false" ht="15" hidden="false" customHeight="false" outlineLevel="1" collapsed="false">
      <c r="C51" s="11" t="s">
        <v>153</v>
      </c>
      <c r="D51" s="11"/>
      <c r="E51" s="21" t="n">
        <f aca="false">SUM(F51:K51)</f>
        <v>127297899.274531</v>
      </c>
      <c r="F51" s="22" t="n">
        <f aca="false">SUM('2. NPV'!H28:L31)</f>
        <v>8178445.20752423</v>
      </c>
      <c r="G51" s="22" t="n">
        <f aca="false">SUM('2. NPV'!M28:Q31)</f>
        <v>19821823.890637</v>
      </c>
      <c r="H51" s="22" t="n">
        <f aca="false">SUM('2. NPV'!R28:V31)</f>
        <v>19175841.1443873</v>
      </c>
      <c r="I51" s="22" t="n">
        <f aca="false">SUM('2. NPV'!W28:AA31)</f>
        <v>21680230.8513797</v>
      </c>
      <c r="J51" s="22" t="n">
        <f aca="false">SUM('2. NPV'!AB28:AF31)</f>
        <v>24556364.1195298</v>
      </c>
      <c r="K51" s="22" t="n">
        <f aca="false">SUM('2. NPV'!AG28:AL31)</f>
        <v>33885194.0610725</v>
      </c>
    </row>
    <row r="52" customFormat="false" ht="15" hidden="false" customHeight="false" outlineLevel="1" collapsed="false">
      <c r="C52" s="11" t="s">
        <v>154</v>
      </c>
      <c r="D52" s="11"/>
      <c r="E52" s="21" t="n">
        <f aca="false">SUM(F52:K52)</f>
        <v>9306349.94853556</v>
      </c>
      <c r="F52" s="22" t="n">
        <f aca="false">SUM('2. NPV'!H32:L32)</f>
        <v>3251562.71453089</v>
      </c>
      <c r="G52" s="22" t="n">
        <f aca="false">SUM('2. NPV'!M32:Q32)</f>
        <v>2289310.41490035</v>
      </c>
      <c r="H52" s="22" t="n">
        <f aca="false">SUM('2. NPV'!R32:V32)</f>
        <v>728116.235792243</v>
      </c>
      <c r="I52" s="22" t="n">
        <f aca="false">SUM('2. NPV'!W32:AA32)</f>
        <v>823796.689114349</v>
      </c>
      <c r="J52" s="22" t="n">
        <f aca="false">SUM('2. NPV'!AB32:AF32)</f>
        <v>932050.33981608</v>
      </c>
      <c r="K52" s="22" t="n">
        <f aca="false">SUM('2. NPV'!AG32:AL32)</f>
        <v>1281513.55438165</v>
      </c>
    </row>
    <row r="53" customFormat="false" ht="15" hidden="false" customHeight="false" outlineLevel="1" collapsed="false">
      <c r="B53" s="56"/>
      <c r="C53" s="57" t="s">
        <v>155</v>
      </c>
      <c r="D53" s="57"/>
      <c r="E53" s="58" t="n">
        <f aca="false">SUM(F53:K53)</f>
        <v>0</v>
      </c>
      <c r="F53" s="62" t="n">
        <f aca="false">SUM('2. NPV'!H33:L35)</f>
        <v>0</v>
      </c>
      <c r="G53" s="62" t="n">
        <f aca="false">SUM('2. NPV'!M33:Q35)</f>
        <v>0</v>
      </c>
      <c r="H53" s="62" t="n">
        <f aca="false">SUM('2. NPV'!R33:V35)</f>
        <v>0</v>
      </c>
      <c r="I53" s="62" t="n">
        <f aca="false">SUM('2. NPV'!W33:AA35)</f>
        <v>0</v>
      </c>
      <c r="J53" s="62" t="n">
        <f aca="false">SUM('2. NPV'!AB33:AF35)</f>
        <v>0</v>
      </c>
      <c r="K53" s="62" t="n">
        <f aca="false">SUM('2. NPV'!AG33:AL35)</f>
        <v>0</v>
      </c>
    </row>
    <row r="54" customFormat="false" ht="15" hidden="false" customHeight="false" outlineLevel="1" collapsed="false">
      <c r="B54" s="10" t="s">
        <v>156</v>
      </c>
      <c r="C54" s="10"/>
      <c r="D54" s="10"/>
      <c r="E54" s="60" t="n">
        <f aca="false">SUM(E48:E53)</f>
        <v>214149261.122415</v>
      </c>
      <c r="F54" s="60" t="n">
        <f aca="false">SUM(F48:F53)</f>
        <v>27372449.3602237</v>
      </c>
      <c r="G54" s="60" t="n">
        <f aca="false">SUM(G48:G53)</f>
        <v>39380479.2026302</v>
      </c>
      <c r="H54" s="60" t="n">
        <f aca="false">SUM(H48:H53)</f>
        <v>29043269.1760227</v>
      </c>
      <c r="I54" s="60" t="n">
        <f aca="false">SUM(I48:I53)</f>
        <v>32178255.0301761</v>
      </c>
      <c r="J54" s="60" t="n">
        <f aca="false">SUM(J48:J53)</f>
        <v>36268600.1453481</v>
      </c>
      <c r="K54" s="60" t="n">
        <f aca="false">SUM(K48:K53)</f>
        <v>49906208.2080146</v>
      </c>
    </row>
    <row r="55" customFormat="false" ht="15" hidden="false" customHeight="false" outlineLevel="1" collapsed="false">
      <c r="B55" s="1"/>
      <c r="C55" s="1"/>
      <c r="D55" s="1"/>
      <c r="E55" s="63"/>
    </row>
    <row r="56" customFormat="false" ht="15" hidden="false" customHeight="false" outlineLevel="1" collapsed="false">
      <c r="B56" s="64" t="s">
        <v>157</v>
      </c>
      <c r="C56" s="64"/>
      <c r="D56" s="64"/>
      <c r="E56" s="60" t="n">
        <f aca="false">E45-E54</f>
        <v>672529652.632304</v>
      </c>
      <c r="F56" s="60" t="n">
        <f aca="false">F45-F54</f>
        <v>12093883.8662563</v>
      </c>
      <c r="G56" s="60" t="n">
        <f aca="false">G45-G54</f>
        <v>71728055.5578197</v>
      </c>
      <c r="H56" s="60" t="n">
        <f aca="false">H45-H54</f>
        <v>114124804.308299</v>
      </c>
      <c r="I56" s="60" t="n">
        <f aca="false">I45-I54</f>
        <v>129262614.016789</v>
      </c>
      <c r="J56" s="60" t="n">
        <f aca="false">J45-J54</f>
        <v>145789987.014031</v>
      </c>
      <c r="K56" s="60" t="n">
        <f aca="false">K45-K54</f>
        <v>199530307.86911</v>
      </c>
    </row>
    <row r="57" customFormat="false" ht="15" hidden="false" customHeight="false" outlineLevel="1" collapsed="false">
      <c r="B57" s="65" t="s">
        <v>158</v>
      </c>
      <c r="C57" s="66"/>
      <c r="D57" s="66"/>
      <c r="E57" s="67" t="n">
        <f aca="false">F57</f>
        <v>0</v>
      </c>
      <c r="F57" s="59" t="n">
        <f aca="false">'2. NPV'!H39</f>
        <v>0</v>
      </c>
      <c r="G57" s="58" t="n">
        <f aca="false">F58</f>
        <v>12093883.8662563</v>
      </c>
      <c r="H57" s="58" t="n">
        <f aca="false">G58</f>
        <v>83821939.424076</v>
      </c>
      <c r="I57" s="58" t="n">
        <f aca="false">H58</f>
        <v>197946743.732375</v>
      </c>
      <c r="J57" s="58" t="n">
        <f aca="false">I58</f>
        <v>327209357.749163</v>
      </c>
      <c r="K57" s="58" t="n">
        <f aca="false">J58</f>
        <v>472999344.763194</v>
      </c>
    </row>
    <row r="58" customFormat="false" ht="15" hidden="false" customHeight="false" outlineLevel="1" collapsed="false">
      <c r="B58" s="68" t="s">
        <v>159</v>
      </c>
      <c r="C58" s="8"/>
      <c r="D58" s="8"/>
      <c r="E58" s="60" t="n">
        <f aca="false">E57+E56</f>
        <v>672529652.632304</v>
      </c>
      <c r="F58" s="60" t="n">
        <f aca="false">F57+F56</f>
        <v>12093883.8662563</v>
      </c>
      <c r="G58" s="60" t="n">
        <f aca="false">G57+G56</f>
        <v>83821939.424076</v>
      </c>
      <c r="H58" s="60" t="n">
        <f aca="false">H57+H56</f>
        <v>197946743.732375</v>
      </c>
      <c r="I58" s="60" t="n">
        <f aca="false">I57+I56</f>
        <v>327209357.749163</v>
      </c>
      <c r="J58" s="60" t="n">
        <f aca="false">J57+J56</f>
        <v>472999344.763194</v>
      </c>
      <c r="K58" s="60" t="n">
        <f aca="false">K57+K56</f>
        <v>672529652.632304</v>
      </c>
    </row>
    <row r="59" customFormat="false" ht="15" hidden="false" customHeight="false" outlineLevel="1" collapsed="false"/>
    <row r="61" customFormat="false" ht="15" hidden="false" customHeight="false" outlineLevel="0" collapsed="false">
      <c r="B61" s="6" t="s">
        <v>160</v>
      </c>
      <c r="C61" s="6"/>
      <c r="D61" s="6"/>
      <c r="E61" s="6"/>
      <c r="F61" s="54" t="s">
        <v>139</v>
      </c>
      <c r="G61" s="54" t="s">
        <v>140</v>
      </c>
      <c r="H61" s="54" t="s">
        <v>141</v>
      </c>
      <c r="I61" s="54" t="s">
        <v>142</v>
      </c>
      <c r="J61" s="54" t="s">
        <v>143</v>
      </c>
      <c r="K61" s="54" t="s">
        <v>144</v>
      </c>
    </row>
    <row r="63" customFormat="false" ht="15" hidden="false" customHeight="false" outlineLevel="0" collapsed="false">
      <c r="B63" s="64" t="s">
        <v>157</v>
      </c>
      <c r="C63" s="64"/>
      <c r="D63" s="64"/>
      <c r="E63" s="21" t="n">
        <f aca="false">SUM(F63:K63)</f>
        <v>672529652.632304</v>
      </c>
      <c r="F63" s="21" t="n">
        <f aca="false">F56</f>
        <v>12093883.8662563</v>
      </c>
      <c r="G63" s="21" t="n">
        <f aca="false">G56</f>
        <v>71728055.5578197</v>
      </c>
      <c r="H63" s="21" t="n">
        <f aca="false">H56</f>
        <v>114124804.308299</v>
      </c>
      <c r="I63" s="21" t="n">
        <f aca="false">I56</f>
        <v>129262614.016789</v>
      </c>
      <c r="J63" s="21" t="n">
        <f aca="false">J56</f>
        <v>145789987.014031</v>
      </c>
      <c r="K63" s="21" t="n">
        <f aca="false">K56</f>
        <v>199530307.86911</v>
      </c>
    </row>
    <row r="64" customFormat="false" ht="15" hidden="false" customHeight="false" outlineLevel="0" collapsed="false">
      <c r="B64" s="13" t="s">
        <v>161</v>
      </c>
      <c r="E64" s="60" t="n">
        <f aca="false">SUM(F64:K64)</f>
        <v>71659176.8371762</v>
      </c>
      <c r="F64" s="69" t="n">
        <f aca="false">SUM('2. NPV'!H54:L54)</f>
        <v>5996164.51791288</v>
      </c>
      <c r="G64" s="69" t="n">
        <f aca="false">SUM('2. NPV'!M54:Q54)</f>
        <v>22524538.833831</v>
      </c>
      <c r="H64" s="69" t="n">
        <f aca="false">SUM('2. NPV'!R54:V54)</f>
        <v>19533675.1457096</v>
      </c>
      <c r="I64" s="69" t="n">
        <f aca="false">SUM('2. NPV'!W54:AA54)</f>
        <v>11753413.195298</v>
      </c>
      <c r="J64" s="69" t="n">
        <f aca="false">SUM('2. NPV'!AB54:AF54)</f>
        <v>7034274.6383771</v>
      </c>
      <c r="K64" s="69" t="n">
        <f aca="false">SUM('2. NPV'!AG54:AL54)</f>
        <v>4817110.50604758</v>
      </c>
    </row>
    <row r="65" customFormat="false" ht="15" hidden="false" customHeight="false" outlineLevel="0" collapsed="false">
      <c r="E65" s="21"/>
    </row>
    <row r="66" customFormat="false" ht="15" hidden="false" customHeight="false" outlineLevel="0" collapsed="false">
      <c r="B66" s="70" t="s">
        <v>162</v>
      </c>
      <c r="C66" s="71"/>
      <c r="D66" s="71" t="s">
        <v>163</v>
      </c>
      <c r="E66" s="72" t="n">
        <f aca="false">'2. NPV'!E60</f>
        <v>71659176.8371762</v>
      </c>
      <c r="F66" s="22"/>
      <c r="G66" s="22"/>
    </row>
    <row r="67" customFormat="false" ht="15" hidden="false" customHeight="false" outlineLevel="0" collapsed="false">
      <c r="B67" s="73" t="s">
        <v>164</v>
      </c>
      <c r="C67" s="74"/>
      <c r="D67" s="74" t="s">
        <v>102</v>
      </c>
      <c r="E67" s="75" t="n">
        <f aca="false">'2. NPV'!E61</f>
        <v>0</v>
      </c>
      <c r="F67" s="22"/>
    </row>
    <row r="68" customFormat="false" ht="15" hidden="false" customHeight="false" outlineLevel="0" collapsed="false">
      <c r="B68" s="73" t="s">
        <v>165</v>
      </c>
      <c r="C68" s="74"/>
      <c r="D68" s="74" t="s">
        <v>166</v>
      </c>
      <c r="E68" s="76" t="n">
        <f aca="false">'2. NPV'!E62</f>
        <v>2.67863304249358</v>
      </c>
      <c r="F68" s="22"/>
    </row>
    <row r="69" customFormat="false" ht="15" hidden="false" customHeight="false" outlineLevel="0" collapsed="false">
      <c r="B69" s="73" t="s">
        <v>167</v>
      </c>
      <c r="C69" s="74"/>
      <c r="D69" s="74" t="s">
        <v>163</v>
      </c>
      <c r="E69" s="77" t="n">
        <f aca="false">'2. NPV'!E63</f>
        <v>1700000</v>
      </c>
    </row>
    <row r="70" customFormat="false" ht="15" hidden="false" customHeight="false" outlineLevel="0" collapsed="false">
      <c r="B70" s="78" t="s">
        <v>168</v>
      </c>
      <c r="C70" s="74"/>
      <c r="D70" s="74" t="s">
        <v>163</v>
      </c>
      <c r="E70" s="79" t="n">
        <f aca="false">F56</f>
        <v>12093883.8662563</v>
      </c>
    </row>
    <row r="71" customFormat="false" ht="15" hidden="false" customHeight="false" outlineLevel="0" collapsed="false">
      <c r="B71" s="80" t="s">
        <v>169</v>
      </c>
      <c r="C71" s="81"/>
      <c r="D71" s="81" t="s">
        <v>163</v>
      </c>
      <c r="E71" s="82" t="n">
        <f aca="false">SUM(F56:G56)</f>
        <v>83821939.424076</v>
      </c>
    </row>
    <row r="74" customFormat="false" ht="15" hidden="false" customHeight="false" outlineLevel="0" collapsed="false">
      <c r="B74" s="6" t="s">
        <v>170</v>
      </c>
      <c r="C74" s="6"/>
      <c r="D74" s="6"/>
      <c r="E74" s="6"/>
      <c r="F74" s="6"/>
      <c r="G74" s="6"/>
      <c r="H74" s="6"/>
      <c r="I74" s="6"/>
      <c r="J74" s="6"/>
      <c r="K74" s="6"/>
    </row>
    <row r="76" customFormat="false" ht="15" hidden="false" customHeight="false" outlineLevel="0" collapsed="false">
      <c r="C76" s="83" t="s">
        <v>171</v>
      </c>
      <c r="D76" s="83"/>
      <c r="E76" s="84" t="s">
        <v>172</v>
      </c>
      <c r="F76" s="84"/>
      <c r="G76" s="84"/>
    </row>
    <row r="77" customFormat="false" ht="15" hidden="false" customHeight="false" outlineLevel="0" collapsed="false">
      <c r="C77" s="83"/>
      <c r="D77" s="83"/>
      <c r="E77" s="85" t="s">
        <v>173</v>
      </c>
      <c r="F77" s="85" t="s">
        <v>174</v>
      </c>
      <c r="G77" s="85" t="s">
        <v>175</v>
      </c>
    </row>
    <row r="78" customFormat="false" ht="15" hidden="false" customHeight="false" outlineLevel="0" collapsed="false">
      <c r="C78" s="86" t="s">
        <v>128</v>
      </c>
      <c r="D78" s="87" t="s">
        <v>176</v>
      </c>
      <c r="E78" s="88" t="n">
        <v>68603326.9073974</v>
      </c>
      <c r="F78" s="88" t="n">
        <v>72313243.0349411</v>
      </c>
      <c r="G78" s="88" t="n">
        <v>75740147.3185925</v>
      </c>
      <c r="H78" s="30" t="s">
        <v>177</v>
      </c>
      <c r="I78" s="89"/>
    </row>
    <row r="79" customFormat="false" ht="15" hidden="false" customHeight="false" outlineLevel="0" collapsed="false">
      <c r="C79" s="86"/>
      <c r="D79" s="87" t="s">
        <v>178</v>
      </c>
      <c r="E79" s="88" t="n">
        <v>71631567.7554919</v>
      </c>
      <c r="F79" s="88" t="n">
        <v>76523441.0273544</v>
      </c>
      <c r="G79" s="88" t="n">
        <v>81042136.5703518</v>
      </c>
    </row>
    <row r="80" customFormat="false" ht="15" hidden="false" customHeight="false" outlineLevel="0" collapsed="false">
      <c r="C80" s="86"/>
      <c r="D80" s="90" t="s">
        <v>179</v>
      </c>
      <c r="E80" s="88" t="n">
        <v>74884122.7404824</v>
      </c>
      <c r="F80" s="88" t="n">
        <v>81045505.5377244</v>
      </c>
      <c r="G80" s="88" t="n">
        <v>86736865.7666858</v>
      </c>
    </row>
    <row r="82" customFormat="false" ht="15" hidden="false" customHeight="false" outlineLevel="0" collapsed="false">
      <c r="C82" s="83" t="s">
        <v>180</v>
      </c>
      <c r="D82" s="83"/>
      <c r="E82" s="84" t="s">
        <v>172</v>
      </c>
      <c r="F82" s="84"/>
      <c r="G82" s="84"/>
    </row>
    <row r="83" customFormat="false" ht="15" hidden="false" customHeight="false" outlineLevel="0" collapsed="false">
      <c r="C83" s="83"/>
      <c r="D83" s="83"/>
      <c r="E83" s="85" t="str">
        <f aca="false">E77</f>
        <v>Low Price</v>
      </c>
      <c r="F83" s="85" t="str">
        <f aca="false">F77</f>
        <v>Medium Price</v>
      </c>
      <c r="G83" s="85" t="str">
        <f aca="false">G77</f>
        <v>High Price</v>
      </c>
    </row>
    <row r="84" customFormat="false" ht="15" hidden="false" customHeight="false" outlineLevel="0" collapsed="false">
      <c r="C84" s="86" t="s">
        <v>128</v>
      </c>
      <c r="D84" s="87" t="s">
        <v>176</v>
      </c>
      <c r="E84" s="91" t="n">
        <v>0.803522253001756</v>
      </c>
      <c r="F84" s="91" t="n">
        <v>0.82755482160725</v>
      </c>
      <c r="G84" s="91" t="n">
        <v>0.849879136634328</v>
      </c>
      <c r="H84" s="30" t="s">
        <v>177</v>
      </c>
    </row>
    <row r="85" customFormat="false" ht="15" hidden="false" customHeight="false" outlineLevel="0" collapsed="false">
      <c r="C85" s="86"/>
      <c r="D85" s="87" t="s">
        <v>178</v>
      </c>
      <c r="E85" s="91" t="n">
        <v>0.849278318016368</v>
      </c>
      <c r="F85" s="91" t="n">
        <v>0.893046353640266</v>
      </c>
      <c r="G85" s="91" t="n">
        <v>0.934844920656804</v>
      </c>
    </row>
    <row r="86" customFormat="false" ht="15" hidden="false" customHeight="false" outlineLevel="0" collapsed="false">
      <c r="C86" s="86"/>
      <c r="D86" s="90" t="s">
        <v>179</v>
      </c>
      <c r="E86" s="91" t="n">
        <v>0.901341075025233</v>
      </c>
      <c r="F86" s="91" t="n">
        <v>0.969805760710029</v>
      </c>
      <c r="G86" s="91" t="n">
        <v>1.03769404757777</v>
      </c>
    </row>
    <row r="88" customFormat="false" ht="15" hidden="false" customHeight="false" outlineLevel="0" collapsed="false">
      <c r="C88" s="83" t="s">
        <v>181</v>
      </c>
      <c r="D88" s="83"/>
      <c r="E88" s="84" t="s">
        <v>172</v>
      </c>
      <c r="F88" s="84"/>
      <c r="G88" s="84"/>
    </row>
    <row r="89" customFormat="false" ht="15" hidden="false" customHeight="false" outlineLevel="0" collapsed="false">
      <c r="C89" s="83"/>
      <c r="D89" s="83"/>
      <c r="E89" s="85" t="str">
        <f aca="false">E83</f>
        <v>Low Price</v>
      </c>
      <c r="F89" s="85" t="str">
        <f aca="false">F83</f>
        <v>Medium Price</v>
      </c>
      <c r="G89" s="85" t="str">
        <f aca="false">G83</f>
        <v>High Price</v>
      </c>
      <c r="I89" s="22"/>
    </row>
    <row r="90" customFormat="false" ht="15" hidden="false" customHeight="false" outlineLevel="0" collapsed="false">
      <c r="C90" s="86" t="s">
        <v>128</v>
      </c>
      <c r="D90" s="87" t="s">
        <v>176</v>
      </c>
      <c r="E90" s="55" t="n">
        <v>104661750.03567</v>
      </c>
      <c r="F90" s="55" t="n">
        <v>140337397.080364</v>
      </c>
      <c r="G90" s="55" t="n">
        <v>173291518.811531</v>
      </c>
      <c r="H90" s="30" t="s">
        <v>177</v>
      </c>
      <c r="I90" s="92"/>
      <c r="J90" s="93"/>
    </row>
    <row r="91" customFormat="false" ht="15" hidden="false" customHeight="false" outlineLevel="0" collapsed="false">
      <c r="C91" s="86"/>
      <c r="D91" s="87" t="s">
        <v>178</v>
      </c>
      <c r="E91" s="55" t="n">
        <v>129023555.083975</v>
      </c>
      <c r="F91" s="55" t="n">
        <v>173880557.406248</v>
      </c>
      <c r="G91" s="55" t="n">
        <v>215315632.519857</v>
      </c>
      <c r="I91" s="92"/>
      <c r="J91" s="93"/>
    </row>
    <row r="92" customFormat="false" ht="15" hidden="false" customHeight="false" outlineLevel="0" collapsed="false">
      <c r="C92" s="86"/>
      <c r="D92" s="90" t="s">
        <v>179</v>
      </c>
      <c r="E92" s="55" t="n">
        <v>155189938.284006</v>
      </c>
      <c r="F92" s="55" t="n">
        <v>209908396.274791</v>
      </c>
      <c r="G92" s="55" t="n">
        <v>260452643.539911</v>
      </c>
      <c r="I92" s="92"/>
      <c r="J92" s="93"/>
    </row>
    <row r="94" customFormat="false" ht="15" hidden="false" customHeight="false" outlineLevel="0" collapsed="false">
      <c r="E94" s="89"/>
      <c r="F94" s="89"/>
      <c r="G94" s="89"/>
    </row>
    <row r="95" customFormat="false" ht="15" hidden="false" customHeight="false" outlineLevel="0" collapsed="false">
      <c r="E95" s="89"/>
      <c r="F95" s="89"/>
      <c r="G95" s="89"/>
    </row>
    <row r="96" customFormat="false" ht="15" hidden="false" customHeight="false" outlineLevel="0" collapsed="false">
      <c r="E96" s="89"/>
      <c r="F96" s="89"/>
      <c r="G96" s="89"/>
    </row>
    <row r="97" customFormat="false" ht="15" hidden="false" customHeight="false" outlineLevel="0" collapsed="false">
      <c r="E97" s="89"/>
      <c r="F97" s="89"/>
      <c r="G97" s="89"/>
    </row>
    <row r="99" customFormat="false" ht="15" hidden="false" customHeight="false" outlineLevel="0" collapsed="false">
      <c r="E99" s="94"/>
      <c r="F99" s="94"/>
      <c r="G99" s="94"/>
    </row>
    <row r="100" customFormat="false" ht="15" hidden="false" customHeight="false" outlineLevel="0" collapsed="false">
      <c r="E100" s="95"/>
      <c r="F100" s="95"/>
      <c r="G100" s="95"/>
    </row>
  </sheetData>
  <mergeCells count="7">
    <mergeCell ref="G14:K14"/>
    <mergeCell ref="E76:G76"/>
    <mergeCell ref="C78:C80"/>
    <mergeCell ref="E82:G82"/>
    <mergeCell ref="C84:C86"/>
    <mergeCell ref="E88:G88"/>
    <mergeCell ref="C90:C92"/>
  </mergeCells>
  <conditionalFormatting sqref="E90:G92">
    <cfRule type="colorScale" priority="2">
      <colorScale>
        <cfvo type="min" val="0"/>
        <cfvo type="max" val="0"/>
        <color rgb="FFFFEF9C"/>
        <color rgb="FF63BE7B"/>
      </colorScale>
    </cfRule>
    <cfRule type="colorScale" priority="3">
      <colorScale>
        <cfvo type="min" val="0"/>
        <cfvo type="percentile" val="50"/>
        <cfvo type="max" val="0"/>
        <color rgb="FFF8696B"/>
        <color rgb="FFFFEB84"/>
        <color rgb="FF63BE7B"/>
      </colorScale>
    </cfRule>
  </conditionalFormatting>
  <conditionalFormatting sqref="E84:G86">
    <cfRule type="colorScale" priority="4">
      <colorScale>
        <cfvo type="min" val="0"/>
        <cfvo type="max" val="0"/>
        <color rgb="FFFFEF9C"/>
        <color rgb="FF63BE7B"/>
      </colorScale>
    </cfRule>
    <cfRule type="colorScale" priority="5">
      <colorScale>
        <cfvo type="min" val="0"/>
        <cfvo type="percentile" val="50"/>
        <cfvo type="max" val="0"/>
        <color rgb="FFF8696B"/>
        <color rgb="FFFFEB84"/>
        <color rgb="FF63BE7B"/>
      </colorScale>
    </cfRule>
  </conditionalFormatting>
  <conditionalFormatting sqref="E78:G80">
    <cfRule type="colorScale" priority="6">
      <colorScale>
        <cfvo type="min" val="0"/>
        <cfvo type="max" val="0"/>
        <color rgb="FFFFEF9C"/>
        <color rgb="FF63BE7B"/>
      </colorScale>
    </cfRule>
    <cfRule type="colorScale" priority="7">
      <colorScale>
        <cfvo type="min" val="0"/>
        <cfvo type="percentile" val="50"/>
        <cfvo type="max" val="0"/>
        <color rgb="FFF8696B"/>
        <color rgb="FFFFEB84"/>
        <color rgb="FF63BE7B"/>
      </colorScale>
    </cfRule>
  </conditionalFormatting>
  <conditionalFormatting sqref="E92:G92 E91:F91 E90:G90">
    <cfRule type="colorScale" priority="8">
      <colorScale>
        <cfvo type="min" val="0"/>
        <cfvo type="percentile" val="50"/>
        <cfvo type="max" val="0"/>
        <color rgb="FFF8696B"/>
        <color rgb="FFFFEB84"/>
        <color rgb="FF63BE7B"/>
      </colorScale>
    </cfRule>
  </conditionalFormatting>
  <conditionalFormatting sqref="E79:F79 E78:G78 E80:G80">
    <cfRule type="colorScale" priority="9">
      <colorScale>
        <cfvo type="min" val="0"/>
        <cfvo type="percentile" val="50"/>
        <cfvo type="max" val="0"/>
        <color rgb="FFF8696B"/>
        <color rgb="FFFFEB84"/>
        <color rgb="FF63BE7B"/>
      </colorScale>
    </cfRule>
  </conditionalFormatting>
  <dataValidations count="4">
    <dataValidation allowBlank="true" errorStyle="stop" operator="between" showDropDown="false" showErrorMessage="true" showInputMessage="true" sqref="F13" type="list">
      <formula1>"Nominal,Real"</formula1>
      <formula2>0</formula2>
    </dataValidation>
    <dataValidation allowBlank="true" errorStyle="stop" operator="between" showDropDown="false" showErrorMessage="true" showInputMessage="true" sqref="G35 G37" type="list">
      <formula1>"1,2,3,4"</formula1>
      <formula2>0</formula2>
    </dataValidation>
    <dataValidation allowBlank="true" errorStyle="stop" operator="between" showDropDown="false" showErrorMessage="true" showInputMessage="true" sqref="F36" type="list">
      <formula1>$C$32:$C$34</formula1>
      <formula2>0</formula2>
    </dataValidation>
    <dataValidation allowBlank="true" errorStyle="stop" operator="between" showDropDown="false" showErrorMessage="true" showInputMessage="true" sqref="F28" type="list">
      <formula1>$C$20:$C$26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3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0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H66" activeCellId="0" sqref="H66"/>
    </sheetView>
  </sheetViews>
  <sheetFormatPr defaultColWidth="8.66796875" defaultRowHeight="15" zeroHeight="false" outlineLevelRow="1" outlineLevelCol="1"/>
  <cols>
    <col collapsed="false" customWidth="true" hidden="false" outlineLevel="0" max="2" min="1" style="1" width="3"/>
    <col collapsed="false" customWidth="true" hidden="false" outlineLevel="0" max="3" min="3" style="1" width="49.51"/>
    <col collapsed="false" customWidth="true" hidden="false" outlineLevel="0" max="4" min="4" style="25" width="7.16"/>
    <col collapsed="false" customWidth="true" hidden="false" outlineLevel="0" max="5" min="5" style="1" width="15"/>
    <col collapsed="false" customWidth="true" hidden="false" outlineLevel="0" max="6" min="6" style="1" width="15.16"/>
    <col collapsed="false" customWidth="true" hidden="false" outlineLevel="0" max="7" min="7" style="1" width="5.66"/>
    <col collapsed="false" customWidth="true" hidden="false" outlineLevel="0" max="8" min="8" style="1" width="12.33"/>
    <col collapsed="false" customWidth="true" hidden="false" outlineLevel="0" max="9" min="9" style="1" width="12.5"/>
    <col collapsed="false" customWidth="true" hidden="false" outlineLevel="0" max="10" min="10" style="1" width="12.33"/>
    <col collapsed="false" customWidth="true" hidden="false" outlineLevel="0" max="14" min="11" style="1" width="13"/>
    <col collapsed="false" customWidth="true" hidden="false" outlineLevel="0" max="17" min="15" style="1" width="12.33"/>
    <col collapsed="false" customWidth="true" hidden="true" outlineLevel="1" max="19" min="18" style="1" width="13"/>
    <col collapsed="false" customWidth="true" hidden="true" outlineLevel="1" max="24" min="20" style="1" width="12.33"/>
    <col collapsed="false" customWidth="true" hidden="true" outlineLevel="1" max="36" min="25" style="1" width="13.5"/>
    <col collapsed="false" customWidth="true" hidden="false" outlineLevel="0" max="38" min="37" style="1" width="13.5"/>
    <col collapsed="false" customWidth="false" hidden="false" outlineLevel="0" max="40" min="39" style="1" width="8.67"/>
    <col collapsed="false" customWidth="true" hidden="false" outlineLevel="0" max="41" min="41" style="1" width="11.33"/>
    <col collapsed="false" customWidth="false" hidden="false" outlineLevel="0" max="16384" min="42" style="1" width="8.67"/>
  </cols>
  <sheetData>
    <row r="1" customFormat="false" ht="15" hidden="false" customHeight="false" outlineLevel="0" collapsed="false">
      <c r="A1" s="0"/>
      <c r="B1" s="0"/>
      <c r="C1" s="0"/>
      <c r="D1" s="3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c r="F3" s="96"/>
    </row>
    <row r="5" customFormat="false" ht="15" hidden="false" customHeight="false" outlineLevel="0" collapsed="false">
      <c r="B5" s="6" t="s">
        <v>182</v>
      </c>
      <c r="C5" s="7"/>
      <c r="D5" s="97" t="s">
        <v>87</v>
      </c>
      <c r="E5" s="7"/>
      <c r="F5" s="98" t="s">
        <v>138</v>
      </c>
      <c r="G5" s="99"/>
      <c r="H5" s="99" t="n">
        <f aca="false">H47</f>
        <v>2024</v>
      </c>
      <c r="I5" s="99" t="n">
        <f aca="false">I47</f>
        <v>2025</v>
      </c>
      <c r="J5" s="99" t="n">
        <f aca="false">J47</f>
        <v>2026</v>
      </c>
      <c r="K5" s="99" t="n">
        <f aca="false">K47</f>
        <v>2027</v>
      </c>
      <c r="L5" s="99" t="n">
        <f aca="false">L47</f>
        <v>2028</v>
      </c>
      <c r="M5" s="99" t="n">
        <f aca="false">M47</f>
        <v>2029</v>
      </c>
      <c r="N5" s="99" t="n">
        <f aca="false">N47</f>
        <v>2030</v>
      </c>
      <c r="O5" s="99" t="n">
        <f aca="false">O47</f>
        <v>2031</v>
      </c>
      <c r="P5" s="99" t="n">
        <f aca="false">P47</f>
        <v>2032</v>
      </c>
      <c r="Q5" s="99" t="n">
        <f aca="false">Q47</f>
        <v>2033</v>
      </c>
      <c r="R5" s="99" t="n">
        <f aca="false">R47</f>
        <v>2034</v>
      </c>
      <c r="S5" s="99" t="n">
        <f aca="false">S47</f>
        <v>2035</v>
      </c>
      <c r="T5" s="99" t="n">
        <f aca="false">T47</f>
        <v>2036</v>
      </c>
      <c r="U5" s="99" t="n">
        <f aca="false">U47</f>
        <v>2037</v>
      </c>
      <c r="V5" s="99" t="n">
        <f aca="false">V47</f>
        <v>2038</v>
      </c>
      <c r="W5" s="99" t="n">
        <f aca="false">W47</f>
        <v>2039</v>
      </c>
      <c r="X5" s="99" t="n">
        <f aca="false">X47</f>
        <v>2040</v>
      </c>
      <c r="Y5" s="99" t="n">
        <f aca="false">Y47</f>
        <v>2041</v>
      </c>
      <c r="Z5" s="99" t="n">
        <f aca="false">Z47</f>
        <v>2042</v>
      </c>
      <c r="AA5" s="99" t="n">
        <f aca="false">AA47</f>
        <v>2043</v>
      </c>
      <c r="AB5" s="99" t="n">
        <f aca="false">AB47</f>
        <v>2044</v>
      </c>
      <c r="AC5" s="99" t="n">
        <f aca="false">AC47</f>
        <v>2045</v>
      </c>
      <c r="AD5" s="99" t="n">
        <f aca="false">AD47</f>
        <v>2046</v>
      </c>
      <c r="AE5" s="99" t="n">
        <f aca="false">AE47</f>
        <v>2047</v>
      </c>
      <c r="AF5" s="99" t="n">
        <f aca="false">AF47</f>
        <v>2048</v>
      </c>
      <c r="AG5" s="99" t="n">
        <f aca="false">AG47</f>
        <v>2049</v>
      </c>
      <c r="AH5" s="99" t="n">
        <f aca="false">AH47</f>
        <v>2050</v>
      </c>
      <c r="AI5" s="99" t="n">
        <f aca="false">AI47</f>
        <v>2051</v>
      </c>
      <c r="AJ5" s="99" t="n">
        <f aca="false">AJ47</f>
        <v>2052</v>
      </c>
      <c r="AK5" s="99" t="n">
        <f aca="false">AK47</f>
        <v>2053</v>
      </c>
      <c r="AL5" s="99" t="n">
        <f aca="false">AL47</f>
        <v>2054</v>
      </c>
    </row>
    <row r="6" customFormat="false" ht="15" hidden="false" customHeight="false" outlineLevel="0" collapsed="false">
      <c r="B6" s="6"/>
      <c r="C6" s="7"/>
      <c r="D6" s="97"/>
      <c r="E6" s="7"/>
      <c r="F6" s="98" t="s">
        <v>183</v>
      </c>
      <c r="G6" s="99"/>
      <c r="H6" s="99" t="s">
        <v>184</v>
      </c>
      <c r="I6" s="99" t="s">
        <v>184</v>
      </c>
      <c r="J6" s="99" t="s">
        <v>184</v>
      </c>
      <c r="K6" s="99" t="s">
        <v>184</v>
      </c>
      <c r="L6" s="99" t="s">
        <v>184</v>
      </c>
      <c r="M6" s="99" t="s">
        <v>184</v>
      </c>
      <c r="N6" s="99" t="s">
        <v>184</v>
      </c>
      <c r="O6" s="99" t="s">
        <v>184</v>
      </c>
      <c r="P6" s="99" t="s">
        <v>184</v>
      </c>
      <c r="Q6" s="99" t="s">
        <v>184</v>
      </c>
      <c r="R6" s="99" t="s">
        <v>184</v>
      </c>
      <c r="S6" s="99" t="s">
        <v>184</v>
      </c>
      <c r="T6" s="99" t="s">
        <v>184</v>
      </c>
      <c r="U6" s="99" t="s">
        <v>184</v>
      </c>
      <c r="V6" s="99" t="s">
        <v>184</v>
      </c>
      <c r="W6" s="99" t="s">
        <v>184</v>
      </c>
      <c r="X6" s="99" t="s">
        <v>184</v>
      </c>
      <c r="Y6" s="99" t="s">
        <v>184</v>
      </c>
      <c r="Z6" s="99" t="s">
        <v>184</v>
      </c>
      <c r="AA6" s="99" t="s">
        <v>184</v>
      </c>
      <c r="AB6" s="99" t="s">
        <v>184</v>
      </c>
      <c r="AC6" s="99" t="s">
        <v>184</v>
      </c>
      <c r="AD6" s="99" t="s">
        <v>184</v>
      </c>
      <c r="AE6" s="99" t="s">
        <v>184</v>
      </c>
      <c r="AF6" s="99" t="s">
        <v>184</v>
      </c>
      <c r="AG6" s="99" t="s">
        <v>184</v>
      </c>
      <c r="AH6" s="99" t="s">
        <v>184</v>
      </c>
      <c r="AI6" s="99" t="s">
        <v>184</v>
      </c>
      <c r="AJ6" s="99" t="s">
        <v>184</v>
      </c>
      <c r="AK6" s="99" t="s">
        <v>184</v>
      </c>
      <c r="AL6" s="99" t="s">
        <v>184</v>
      </c>
    </row>
    <row r="7" customFormat="false" ht="15" hidden="false" customHeight="false" outlineLevel="0" collapsed="false">
      <c r="B7" s="6"/>
      <c r="C7" s="6"/>
      <c r="D7" s="97"/>
      <c r="E7" s="6"/>
      <c r="F7" s="6"/>
      <c r="G7" s="6"/>
      <c r="H7" s="6" t="n">
        <f aca="false">+'4.1 Revenue Build - VCU'!H$7</f>
        <v>1</v>
      </c>
      <c r="I7" s="6" t="n">
        <f aca="false">+'4.1 Revenue Build - VCU'!I$7</f>
        <v>2</v>
      </c>
      <c r="J7" s="6" t="n">
        <f aca="false">+'4.1 Revenue Build - VCU'!J$7</f>
        <v>3</v>
      </c>
      <c r="K7" s="6" t="n">
        <f aca="false">+'4.1 Revenue Build - VCU'!K$7</f>
        <v>4</v>
      </c>
      <c r="L7" s="6" t="n">
        <f aca="false">+'4.1 Revenue Build - VCU'!L$7</f>
        <v>5</v>
      </c>
      <c r="M7" s="6" t="n">
        <f aca="false">+'4.1 Revenue Build - VCU'!M$7</f>
        <v>6</v>
      </c>
      <c r="N7" s="6" t="n">
        <f aca="false">+'4.1 Revenue Build - VCU'!N$7</f>
        <v>7</v>
      </c>
      <c r="O7" s="6" t="n">
        <f aca="false">+'4.1 Revenue Build - VCU'!O$7</f>
        <v>8</v>
      </c>
      <c r="P7" s="6" t="n">
        <f aca="false">+'4.1 Revenue Build - VCU'!P$7</f>
        <v>9</v>
      </c>
      <c r="Q7" s="6" t="n">
        <f aca="false">+'4.1 Revenue Build - VCU'!Q$7</f>
        <v>10</v>
      </c>
      <c r="R7" s="6" t="n">
        <f aca="false">+'4.1 Revenue Build - VCU'!R$7</f>
        <v>11</v>
      </c>
      <c r="S7" s="6" t="n">
        <f aca="false">+'4.1 Revenue Build - VCU'!S$7</f>
        <v>12</v>
      </c>
      <c r="T7" s="6" t="n">
        <f aca="false">+'4.1 Revenue Build - VCU'!T$7</f>
        <v>13</v>
      </c>
      <c r="U7" s="6" t="n">
        <f aca="false">+'4.1 Revenue Build - VCU'!U$7</f>
        <v>14</v>
      </c>
      <c r="V7" s="6" t="n">
        <f aca="false">+'4.1 Revenue Build - VCU'!V$7</f>
        <v>15</v>
      </c>
      <c r="W7" s="6" t="n">
        <f aca="false">+'4.1 Revenue Build - VCU'!W$7</f>
        <v>16</v>
      </c>
      <c r="X7" s="6" t="n">
        <f aca="false">+'4.1 Revenue Build - VCU'!X$7</f>
        <v>17</v>
      </c>
      <c r="Y7" s="6" t="n">
        <f aca="false">+'4.1 Revenue Build - VCU'!Y$7</f>
        <v>18</v>
      </c>
      <c r="Z7" s="6" t="n">
        <f aca="false">+'4.1 Revenue Build - VCU'!Z$7</f>
        <v>19</v>
      </c>
      <c r="AA7" s="6" t="n">
        <f aca="false">+'4.1 Revenue Build - VCU'!AA$7</f>
        <v>20</v>
      </c>
      <c r="AB7" s="6" t="n">
        <f aca="false">+'4.1 Revenue Build - VCU'!AB$7</f>
        <v>21</v>
      </c>
      <c r="AC7" s="6" t="n">
        <f aca="false">+'4.1 Revenue Build - VCU'!AC$7</f>
        <v>22</v>
      </c>
      <c r="AD7" s="6" t="n">
        <f aca="false">+'4.1 Revenue Build - VCU'!AD$7</f>
        <v>23</v>
      </c>
      <c r="AE7" s="6" t="n">
        <f aca="false">+'4.1 Revenue Build - VCU'!AE$7</f>
        <v>24</v>
      </c>
      <c r="AF7" s="6" t="n">
        <f aca="false">+'4.1 Revenue Build - VCU'!AF$7</f>
        <v>25</v>
      </c>
      <c r="AG7" s="6" t="n">
        <f aca="false">+'4.1 Revenue Build - VCU'!AG$7</f>
        <v>26</v>
      </c>
      <c r="AH7" s="6" t="n">
        <f aca="false">+'4.1 Revenue Build - VCU'!AH$7</f>
        <v>27</v>
      </c>
      <c r="AI7" s="6" t="n">
        <f aca="false">+'4.1 Revenue Build - VCU'!AI$7</f>
        <v>28</v>
      </c>
      <c r="AJ7" s="6" t="n">
        <f aca="false">+'4.1 Revenue Build - VCU'!AJ$7</f>
        <v>29</v>
      </c>
      <c r="AK7" s="6" t="n">
        <f aca="false">+'4.1 Revenue Build - VCU'!AK$7</f>
        <v>30</v>
      </c>
      <c r="AL7" s="6" t="n">
        <f aca="false">+'4.1 Revenue Build - VCU'!AL$7</f>
        <v>31</v>
      </c>
    </row>
    <row r="8" customFormat="false" ht="15" hidden="false" customHeight="false" outlineLevel="0" collapsed="false">
      <c r="C8" s="8" t="s">
        <v>145</v>
      </c>
    </row>
    <row r="9" s="100" customFormat="true" ht="15" hidden="false" customHeight="false" outlineLevel="0" collapsed="false">
      <c r="A9" s="1"/>
      <c r="B9" s="1"/>
      <c r="C9" s="19" t="s">
        <v>185</v>
      </c>
      <c r="D9" s="25" t="s">
        <v>112</v>
      </c>
      <c r="E9" s="1"/>
      <c r="F9" s="22" t="n">
        <f aca="false">SUM(H9:AL9)</f>
        <v>112307100.27669</v>
      </c>
      <c r="H9" s="100" t="n">
        <f aca="false">'4.1 Revenue Build - VCU'!H51</f>
        <v>3000000</v>
      </c>
      <c r="I9" s="100" t="n">
        <f aca="false">'4.1 Revenue Build - VCU'!I51</f>
        <v>2000000</v>
      </c>
      <c r="J9" s="100" t="n">
        <f aca="false">'4.1 Revenue Build - VCU'!J51</f>
        <v>2663550.88</v>
      </c>
      <c r="K9" s="100" t="n">
        <f aca="false">'4.1 Revenue Build - VCU'!K51</f>
        <v>609898.70048</v>
      </c>
      <c r="L9" s="100" t="n">
        <f aca="false">'4.1 Revenue Build - VCU'!L51</f>
        <v>162538.0131456</v>
      </c>
      <c r="M9" s="100" t="n">
        <f aca="false">'4.1 Revenue Build - VCU'!M51</f>
        <v>366908.132519424</v>
      </c>
      <c r="N9" s="100" t="n">
        <f aca="false">'4.1 Revenue Build - VCU'!N51</f>
        <v>872190.270471583</v>
      </c>
      <c r="O9" s="100" t="n">
        <f aca="false">'4.1 Revenue Build - VCU'!O51</f>
        <v>754272.956805223</v>
      </c>
      <c r="P9" s="100" t="n">
        <f aca="false">'4.1 Revenue Build - VCU'!P51</f>
        <v>127476.540653047</v>
      </c>
      <c r="Q9" s="100" t="n">
        <f aca="false">'4.1 Revenue Build - VCU'!Q51</f>
        <v>3727254.70301926</v>
      </c>
      <c r="R9" s="100" t="n">
        <f aca="false">'4.1 Revenue Build - VCU'!R51</f>
        <v>3801799.79707965</v>
      </c>
      <c r="S9" s="100" t="n">
        <f aca="false">'4.1 Revenue Build - VCU'!S51</f>
        <v>3877835.79302124</v>
      </c>
      <c r="T9" s="100" t="n">
        <f aca="false">'4.1 Revenue Build - VCU'!T51</f>
        <v>3955392.50888167</v>
      </c>
      <c r="U9" s="100" t="n">
        <f aca="false">'4.1 Revenue Build - VCU'!U51</f>
        <v>4034500.3590593</v>
      </c>
      <c r="V9" s="100" t="n">
        <f aca="false">'4.1 Revenue Build - VCU'!V51</f>
        <v>4115190.36624049</v>
      </c>
      <c r="W9" s="100" t="n">
        <f aca="false">'4.1 Revenue Build - VCU'!W51</f>
        <v>4197494.1735653</v>
      </c>
      <c r="X9" s="100" t="n">
        <f aca="false">'4.1 Revenue Build - VCU'!X51</f>
        <v>4281444.0570366</v>
      </c>
      <c r="Y9" s="100" t="n">
        <f aca="false">'4.1 Revenue Build - VCU'!Y51</f>
        <v>4367072.93817733</v>
      </c>
      <c r="Z9" s="100" t="n">
        <f aca="false">'4.1 Revenue Build - VCU'!Z51</f>
        <v>4454414.39694088</v>
      </c>
      <c r="AA9" s="100" t="n">
        <f aca="false">'4.1 Revenue Build - VCU'!AA51</f>
        <v>4543502.6848797</v>
      </c>
      <c r="AB9" s="100" t="n">
        <f aca="false">'4.1 Revenue Build - VCU'!AB51</f>
        <v>4634372.73857729</v>
      </c>
      <c r="AC9" s="100" t="n">
        <f aca="false">'4.1 Revenue Build - VCU'!AC51</f>
        <v>4727060.19334884</v>
      </c>
      <c r="AD9" s="100" t="n">
        <f aca="false">'4.1 Revenue Build - VCU'!AD51</f>
        <v>4821601.39721582</v>
      </c>
      <c r="AE9" s="100" t="n">
        <f aca="false">'4.1 Revenue Build - VCU'!AE51</f>
        <v>4918033.42516013</v>
      </c>
      <c r="AF9" s="100" t="n">
        <f aca="false">'4.1 Revenue Build - VCU'!AF51</f>
        <v>5016394.09366334</v>
      </c>
      <c r="AG9" s="100" t="n">
        <f aca="false">'4.1 Revenue Build - VCU'!AG51</f>
        <v>5116721.9755366</v>
      </c>
      <c r="AH9" s="100" t="n">
        <f aca="false">'4.1 Revenue Build - VCU'!AH51</f>
        <v>5219056.41504733</v>
      </c>
      <c r="AI9" s="100" t="n">
        <f aca="false">'4.1 Revenue Build - VCU'!AI51</f>
        <v>5323437.54334828</v>
      </c>
      <c r="AJ9" s="100" t="n">
        <f aca="false">'4.1 Revenue Build - VCU'!AJ51</f>
        <v>5429906.29421525</v>
      </c>
      <c r="AK9" s="100" t="n">
        <f aca="false">'4.1 Revenue Build - VCU'!AK51</f>
        <v>5538504.42009955</v>
      </c>
      <c r="AL9" s="100" t="n">
        <f aca="false">'4.1 Revenue Build - VCU'!AL51</f>
        <v>5649274.50850154</v>
      </c>
      <c r="AN9" s="96"/>
    </row>
    <row r="10" s="100" customFormat="true" ht="15" hidden="false" customHeight="false" outlineLevel="0" collapsed="false">
      <c r="A10" s="1"/>
      <c r="B10" s="1"/>
      <c r="C10" s="19" t="s">
        <v>186</v>
      </c>
      <c r="D10" s="25" t="s">
        <v>112</v>
      </c>
      <c r="E10" s="1"/>
      <c r="F10" s="22" t="n">
        <f aca="false">SUM(H10:AL10)</f>
        <v>774371813.478029</v>
      </c>
      <c r="H10" s="100" t="n">
        <f aca="false">'4.2 Revenue Build - Other'!H40</f>
        <v>0</v>
      </c>
      <c r="I10" s="100" t="n">
        <f aca="false">'4.2 Revenue Build - Other'!I40</f>
        <v>640513.53125</v>
      </c>
      <c r="J10" s="100" t="n">
        <f aca="false">'4.2 Revenue Build - Other'!J40</f>
        <v>6217535.7125</v>
      </c>
      <c r="K10" s="100" t="n">
        <f aca="false">'4.2 Revenue Build - Other'!K40</f>
        <v>11217332.929043</v>
      </c>
      <c r="L10" s="100" t="n">
        <f aca="false">'4.2 Revenue Build - Other'!L40</f>
        <v>12954963.4600615</v>
      </c>
      <c r="M10" s="100" t="n">
        <f aca="false">'4.2 Revenue Build - Other'!M40</f>
        <v>19267436.3735435</v>
      </c>
      <c r="N10" s="100" t="n">
        <f aca="false">'4.2 Revenue Build - Other'!N40</f>
        <v>20128253.6040146</v>
      </c>
      <c r="O10" s="100" t="n">
        <f aca="false">'4.2 Revenue Build - Other'!O40</f>
        <v>21020069.5482757</v>
      </c>
      <c r="P10" s="100" t="n">
        <f aca="false">'4.2 Revenue Build - Other'!P40</f>
        <v>21943896.1312474</v>
      </c>
      <c r="Q10" s="100" t="n">
        <f aca="false">'4.2 Revenue Build - Other'!Q40</f>
        <v>22900776.4999</v>
      </c>
      <c r="R10" s="100" t="n">
        <f aca="false">'4.2 Revenue Build - Other'!R40</f>
        <v>23473295.9123975</v>
      </c>
      <c r="S10" s="100" t="n">
        <f aca="false">'4.2 Revenue Build - Other'!S40</f>
        <v>24060128.3102075</v>
      </c>
      <c r="T10" s="100" t="n">
        <f aca="false">'4.2 Revenue Build - Other'!T40</f>
        <v>24661631.5179627</v>
      </c>
      <c r="U10" s="100" t="n">
        <f aca="false">'4.2 Revenue Build - Other'!U40</f>
        <v>25278172.3059117</v>
      </c>
      <c r="V10" s="100" t="n">
        <f aca="false">'4.2 Revenue Build - Other'!V40</f>
        <v>25910126.6135595</v>
      </c>
      <c r="W10" s="100" t="n">
        <f aca="false">'4.2 Revenue Build - Other'!W40</f>
        <v>26557879.7788985</v>
      </c>
      <c r="X10" s="100" t="n">
        <f aca="false">'4.2 Revenue Build - Other'!X40</f>
        <v>27221826.773371</v>
      </c>
      <c r="Y10" s="100" t="n">
        <f aca="false">'4.2 Revenue Build - Other'!Y40</f>
        <v>27902372.4427052</v>
      </c>
      <c r="Z10" s="100" t="n">
        <f aca="false">'4.2 Revenue Build - Other'!Z40</f>
        <v>28599931.7537729</v>
      </c>
      <c r="AA10" s="100" t="n">
        <f aca="false">'4.2 Revenue Build - Other'!AA40</f>
        <v>29314930.0476172</v>
      </c>
      <c r="AB10" s="100" t="n">
        <f aca="false">'4.2 Revenue Build - Other'!AB40</f>
        <v>30047803.2988076</v>
      </c>
      <c r="AC10" s="100" t="n">
        <f aca="false">'4.2 Revenue Build - Other'!AC40</f>
        <v>30798998.3812778</v>
      </c>
      <c r="AD10" s="100" t="n">
        <f aca="false">'4.2 Revenue Build - Other'!AD40</f>
        <v>31568973.3408098</v>
      </c>
      <c r="AE10" s="100" t="n">
        <f aca="false">'4.2 Revenue Build - Other'!AE40</f>
        <v>32358197.67433</v>
      </c>
      <c r="AF10" s="100" t="n">
        <f aca="false">'4.2 Revenue Build - Other'!AF40</f>
        <v>33167152.6161882</v>
      </c>
      <c r="AG10" s="100" t="n">
        <f aca="false">'4.2 Revenue Build - Other'!AG40</f>
        <v>33996331.4315929</v>
      </c>
      <c r="AH10" s="100" t="n">
        <f aca="false">'4.2 Revenue Build - Other'!AH40</f>
        <v>34846239.7173828</v>
      </c>
      <c r="AI10" s="100" t="n">
        <f aca="false">'4.2 Revenue Build - Other'!AI40</f>
        <v>35717395.7103173</v>
      </c>
      <c r="AJ10" s="100" t="n">
        <f aca="false">'4.2 Revenue Build - Other'!AJ40</f>
        <v>36610330.6030753</v>
      </c>
      <c r="AK10" s="100" t="n">
        <f aca="false">'4.2 Revenue Build - Other'!AK40</f>
        <v>37525588.8681521</v>
      </c>
      <c r="AL10" s="100" t="n">
        <f aca="false">'4.2 Revenue Build - Other'!AL40</f>
        <v>38463728.589856</v>
      </c>
      <c r="AN10" s="96"/>
      <c r="AP10" s="96"/>
    </row>
    <row r="11" s="100" customFormat="true" ht="15" hidden="false" customHeight="false" outlineLevel="0" collapsed="false">
      <c r="A11" s="1"/>
      <c r="B11" s="1"/>
      <c r="C11" s="101" t="s">
        <v>146</v>
      </c>
      <c r="D11" s="25" t="s">
        <v>112</v>
      </c>
      <c r="E11" s="1"/>
      <c r="F11" s="22" t="n">
        <f aca="false">SUM(H11:AL11)</f>
        <v>0</v>
      </c>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row>
    <row r="12" s="100" customFormat="true" ht="15" hidden="false" customHeight="false" outlineLevel="0" collapsed="false">
      <c r="A12" s="1"/>
      <c r="B12" s="1"/>
      <c r="C12" s="101" t="s">
        <v>187</v>
      </c>
      <c r="D12" s="25" t="s">
        <v>112</v>
      </c>
      <c r="E12" s="1"/>
      <c r="F12" s="22" t="n">
        <f aca="false">SUM(H12:AL12)</f>
        <v>0</v>
      </c>
      <c r="G12" s="103"/>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row>
    <row r="13" s="100" customFormat="true" ht="15" hidden="false" customHeight="false" outlineLevel="0" collapsed="false">
      <c r="A13" s="1"/>
      <c r="B13" s="1"/>
      <c r="C13" s="101" t="s">
        <v>188</v>
      </c>
      <c r="D13" s="25" t="s">
        <v>112</v>
      </c>
      <c r="E13" s="1"/>
      <c r="F13" s="62" t="n">
        <f aca="false">SUM(H13:AL13)</f>
        <v>0</v>
      </c>
      <c r="G13" s="103"/>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row>
    <row r="14" s="107" customFormat="true" ht="15" hidden="false" customHeight="false" outlineLevel="0" collapsed="false">
      <c r="A14" s="8"/>
      <c r="B14" s="8"/>
      <c r="C14" s="104" t="s">
        <v>148</v>
      </c>
      <c r="D14" s="105"/>
      <c r="E14" s="68"/>
      <c r="F14" s="69" t="n">
        <f aca="false">SUM(H14:AL14)</f>
        <v>886678913.75472</v>
      </c>
      <c r="G14" s="106"/>
      <c r="H14" s="106" t="n">
        <f aca="false">SUM(H9:H13)</f>
        <v>3000000</v>
      </c>
      <c r="I14" s="106" t="n">
        <f aca="false">SUM(I9:I13)</f>
        <v>2640513.53125</v>
      </c>
      <c r="J14" s="106" t="n">
        <f aca="false">SUM(J9:J13)</f>
        <v>8881086.5925</v>
      </c>
      <c r="K14" s="106" t="n">
        <f aca="false">SUM(K9:K13)</f>
        <v>11827231.629523</v>
      </c>
      <c r="L14" s="106" t="n">
        <f aca="false">SUM(L9:L13)</f>
        <v>13117501.4732071</v>
      </c>
      <c r="M14" s="106" t="n">
        <f aca="false">SUM(M9:M13)</f>
        <v>19634344.5060629</v>
      </c>
      <c r="N14" s="106" t="n">
        <f aca="false">SUM(N9:N13)</f>
        <v>21000443.8744862</v>
      </c>
      <c r="O14" s="106" t="n">
        <f aca="false">SUM(O9:O13)</f>
        <v>21774342.505081</v>
      </c>
      <c r="P14" s="106" t="n">
        <f aca="false">SUM(P9:P13)</f>
        <v>22071372.6719005</v>
      </c>
      <c r="Q14" s="106" t="n">
        <f aca="false">SUM(Q9:Q13)</f>
        <v>26628031.2029193</v>
      </c>
      <c r="R14" s="106" t="n">
        <f aca="false">SUM(R9:R13)</f>
        <v>27275095.7094772</v>
      </c>
      <c r="S14" s="106" t="n">
        <f aca="false">SUM(S9:S13)</f>
        <v>27937964.1032287</v>
      </c>
      <c r="T14" s="106" t="n">
        <f aca="false">SUM(T9:T13)</f>
        <v>28617024.0268443</v>
      </c>
      <c r="U14" s="106" t="n">
        <f aca="false">SUM(U9:U13)</f>
        <v>29312672.664971</v>
      </c>
      <c r="V14" s="106" t="n">
        <f aca="false">SUM(V9:V13)</f>
        <v>30025316.9798</v>
      </c>
      <c r="W14" s="106" t="n">
        <f aca="false">SUM(W9:W13)</f>
        <v>30755373.9524638</v>
      </c>
      <c r="X14" s="106" t="n">
        <f aca="false">SUM(X9:X13)</f>
        <v>31503270.8304076</v>
      </c>
      <c r="Y14" s="106" t="n">
        <f aca="false">SUM(Y9:Y13)</f>
        <v>32269445.3808826</v>
      </c>
      <c r="Z14" s="106" t="n">
        <f aca="false">SUM(Z9:Z13)</f>
        <v>33054346.1507138</v>
      </c>
      <c r="AA14" s="106" t="n">
        <f aca="false">SUM(AA9:AA13)</f>
        <v>33858432.7324969</v>
      </c>
      <c r="AB14" s="106" t="n">
        <f aca="false">SUM(AB9:AB13)</f>
        <v>34682176.0373849</v>
      </c>
      <c r="AC14" s="106" t="n">
        <f aca="false">SUM(AC9:AC13)</f>
        <v>35526058.5746267</v>
      </c>
      <c r="AD14" s="106" t="n">
        <f aca="false">SUM(AD9:AD13)</f>
        <v>36390574.7380256</v>
      </c>
      <c r="AE14" s="106" t="n">
        <f aca="false">SUM(AE9:AE13)</f>
        <v>37276231.0994901</v>
      </c>
      <c r="AF14" s="106" t="n">
        <f aca="false">SUM(AF9:AF13)</f>
        <v>38183546.7098516</v>
      </c>
      <c r="AG14" s="106" t="n">
        <f aca="false">SUM(AG9:AG13)</f>
        <v>39113053.4071295</v>
      </c>
      <c r="AH14" s="106" t="n">
        <f aca="false">SUM(AH9:AH13)</f>
        <v>40065296.1324301</v>
      </c>
      <c r="AI14" s="106" t="n">
        <f aca="false">SUM(AI9:AI13)</f>
        <v>41040833.2536656</v>
      </c>
      <c r="AJ14" s="106" t="n">
        <f aca="false">SUM(AJ9:AJ13)</f>
        <v>42040236.8972905</v>
      </c>
      <c r="AK14" s="106" t="n">
        <f aca="false">SUM(AK9:AK13)</f>
        <v>43064093.2882517</v>
      </c>
      <c r="AL14" s="106" t="n">
        <f aca="false">SUM(AL9:AL13)</f>
        <v>44113003.0983575</v>
      </c>
      <c r="AN14" s="96"/>
      <c r="AO14" s="100"/>
    </row>
    <row r="15" s="100" customFormat="true" ht="15" hidden="false" customHeight="false" outlineLevel="0" collapsed="false">
      <c r="A15" s="1"/>
      <c r="B15" s="1"/>
      <c r="C15" s="10"/>
      <c r="D15" s="25"/>
      <c r="E15" s="1"/>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row>
    <row r="16" s="100" customFormat="true" ht="15" hidden="false" customHeight="false" outlineLevel="0" collapsed="false">
      <c r="A16" s="1"/>
      <c r="B16" s="1"/>
      <c r="C16" s="8" t="s">
        <v>149</v>
      </c>
      <c r="D16" s="25"/>
      <c r="E16" s="1"/>
    </row>
    <row r="17" s="100" customFormat="true" ht="15" hidden="false" customHeight="false" outlineLevel="0" collapsed="false">
      <c r="A17" s="1"/>
      <c r="B17" s="1"/>
      <c r="C17" s="19" t="s">
        <v>189</v>
      </c>
      <c r="D17" s="25"/>
      <c r="E17" s="1"/>
    </row>
    <row r="18" s="100" customFormat="true" ht="15" hidden="false" customHeight="false" outlineLevel="0" collapsed="false">
      <c r="A18" s="1"/>
      <c r="B18" s="1"/>
      <c r="C18" s="109" t="s">
        <v>190</v>
      </c>
      <c r="D18" s="25" t="s">
        <v>112</v>
      </c>
      <c r="E18" s="1"/>
      <c r="F18" s="22" t="n">
        <f aca="false">SUM(H18:AL18)</f>
        <v>512173.399909215</v>
      </c>
      <c r="H18" s="100" t="n">
        <f aca="false">'5.1 Project Dev''t &amp; Monitoring'!H24</f>
        <v>280980.481162052</v>
      </c>
      <c r="I18" s="100" t="n">
        <f aca="false">'5.1 Project Dev''t &amp; Monitoring'!I24</f>
        <v>231192.918747163</v>
      </c>
      <c r="J18" s="100" t="n">
        <f aca="false">'5.1 Project Dev''t &amp; Monitoring'!J24</f>
        <v>0</v>
      </c>
      <c r="K18" s="100" t="n">
        <f aca="false">'5.1 Project Dev''t &amp; Monitoring'!K24</f>
        <v>0</v>
      </c>
      <c r="L18" s="100" t="n">
        <f aca="false">'5.1 Project Dev''t &amp; Monitoring'!L24</f>
        <v>0</v>
      </c>
      <c r="M18" s="100" t="n">
        <f aca="false">'5.1 Project Dev''t &amp; Monitoring'!M24</f>
        <v>0</v>
      </c>
      <c r="N18" s="100" t="n">
        <f aca="false">'5.1 Project Dev''t &amp; Monitoring'!N24</f>
        <v>0</v>
      </c>
      <c r="O18" s="100" t="n">
        <f aca="false">'5.1 Project Dev''t &amp; Monitoring'!O24</f>
        <v>0</v>
      </c>
      <c r="P18" s="100" t="n">
        <f aca="false">'5.1 Project Dev''t &amp; Monitoring'!P24</f>
        <v>0</v>
      </c>
      <c r="Q18" s="100" t="n">
        <f aca="false">'5.1 Project Dev''t &amp; Monitoring'!Q24</f>
        <v>0</v>
      </c>
      <c r="R18" s="100" t="n">
        <f aca="false">'5.1 Project Dev''t &amp; Monitoring'!R24</f>
        <v>0</v>
      </c>
      <c r="S18" s="100" t="n">
        <f aca="false">'5.1 Project Dev''t &amp; Monitoring'!S24</f>
        <v>0</v>
      </c>
      <c r="T18" s="100" t="n">
        <f aca="false">'5.1 Project Dev''t &amp; Monitoring'!T24</f>
        <v>0</v>
      </c>
      <c r="U18" s="100" t="n">
        <f aca="false">'5.1 Project Dev''t &amp; Monitoring'!U24</f>
        <v>0</v>
      </c>
      <c r="V18" s="100" t="n">
        <f aca="false">'5.1 Project Dev''t &amp; Monitoring'!V24</f>
        <v>0</v>
      </c>
      <c r="W18" s="100" t="n">
        <f aca="false">'5.1 Project Dev''t &amp; Monitoring'!W24</f>
        <v>0</v>
      </c>
      <c r="X18" s="100" t="n">
        <f aca="false">'5.1 Project Dev''t &amp; Monitoring'!X24</f>
        <v>0</v>
      </c>
      <c r="Y18" s="100" t="n">
        <f aca="false">'5.1 Project Dev''t &amp; Monitoring'!Y24</f>
        <v>0</v>
      </c>
      <c r="Z18" s="100" t="n">
        <f aca="false">'5.1 Project Dev''t &amp; Monitoring'!Z24</f>
        <v>0</v>
      </c>
      <c r="AA18" s="100" t="n">
        <f aca="false">'5.1 Project Dev''t &amp; Monitoring'!AA24</f>
        <v>0</v>
      </c>
      <c r="AB18" s="100" t="n">
        <f aca="false">'5.1 Project Dev''t &amp; Monitoring'!AB24</f>
        <v>0</v>
      </c>
      <c r="AC18" s="100" t="n">
        <f aca="false">'5.1 Project Dev''t &amp; Monitoring'!AC24</f>
        <v>0</v>
      </c>
      <c r="AD18" s="100" t="n">
        <f aca="false">'5.1 Project Dev''t &amp; Monitoring'!AD24</f>
        <v>0</v>
      </c>
      <c r="AE18" s="100" t="n">
        <f aca="false">'5.1 Project Dev''t &amp; Monitoring'!AE24</f>
        <v>0</v>
      </c>
      <c r="AF18" s="100" t="n">
        <f aca="false">'5.1 Project Dev''t &amp; Monitoring'!AF24</f>
        <v>0</v>
      </c>
      <c r="AG18" s="100" t="n">
        <f aca="false">'5.1 Project Dev''t &amp; Monitoring'!AG24</f>
        <v>0</v>
      </c>
      <c r="AH18" s="100" t="n">
        <f aca="false">'5.1 Project Dev''t &amp; Monitoring'!AH24</f>
        <v>0</v>
      </c>
      <c r="AI18" s="100" t="n">
        <f aca="false">'5.1 Project Dev''t &amp; Monitoring'!AI24</f>
        <v>0</v>
      </c>
      <c r="AJ18" s="100" t="n">
        <f aca="false">'5.1 Project Dev''t &amp; Monitoring'!AJ24</f>
        <v>0</v>
      </c>
      <c r="AK18" s="100" t="n">
        <f aca="false">'5.1 Project Dev''t &amp; Monitoring'!AK24</f>
        <v>0</v>
      </c>
      <c r="AL18" s="100" t="n">
        <f aca="false">'5.1 Project Dev''t &amp; Monitoring'!AL24</f>
        <v>0</v>
      </c>
    </row>
    <row r="19" s="100" customFormat="true" ht="15" hidden="false" customHeight="false" outlineLevel="0" collapsed="false">
      <c r="A19" s="1"/>
      <c r="B19" s="1"/>
      <c r="C19" s="109" t="s">
        <v>191</v>
      </c>
      <c r="D19" s="25" t="s">
        <v>112</v>
      </c>
      <c r="E19" s="1"/>
      <c r="F19" s="22" t="n">
        <f aca="false">SUM(H19:AL19)</f>
        <v>5301107.35522789</v>
      </c>
      <c r="H19" s="100" t="n">
        <f aca="false">'5.1 Project Dev''t &amp; Monitoring'!H57</f>
        <v>4167.04493871993</v>
      </c>
      <c r="I19" s="100" t="n">
        <f aca="false">'5.1 Project Dev''t &amp; Monitoring'!I57</f>
        <v>66589.3781207444</v>
      </c>
      <c r="J19" s="100" t="n">
        <f aca="false">'5.1 Project Dev''t &amp; Monitoring'!J57</f>
        <v>60545.6014845211</v>
      </c>
      <c r="K19" s="100" t="n">
        <f aca="false">'5.1 Project Dev''t &amp; Monitoring'!K57</f>
        <v>91926.7623524459</v>
      </c>
      <c r="L19" s="100" t="n">
        <f aca="false">'5.1 Project Dev''t &amp; Monitoring'!L57</f>
        <v>84992.9922218773</v>
      </c>
      <c r="M19" s="100" t="n">
        <f aca="false">'5.1 Project Dev''t &amp; Monitoring'!M57</f>
        <v>119898.3567643</v>
      </c>
      <c r="N19" s="100" t="n">
        <f aca="false">'5.1 Project Dev''t &amp; Monitoring'!N57</f>
        <v>114452.432830458</v>
      </c>
      <c r="O19" s="100" t="n">
        <f aca="false">'5.1 Project Dev''t &amp; Monitoring'!O57</f>
        <v>170434.987765083</v>
      </c>
      <c r="P19" s="100" t="n">
        <f aca="false">'5.1 Project Dev''t &amp; Monitoring'!P57</f>
        <v>146153.474078027</v>
      </c>
      <c r="Q19" s="100" t="n">
        <f aca="false">'5.1 Project Dev''t &amp; Monitoring'!Q57</f>
        <v>171209.896623496</v>
      </c>
      <c r="R19" s="100" t="n">
        <f aca="false">'5.1 Project Dev''t &amp; Monitoring'!R57</f>
        <v>152058.074430779</v>
      </c>
      <c r="S19" s="100" t="n">
        <f aca="false">'5.1 Project Dev''t &amp; Monitoring'!S57</f>
        <v>178126.776447085</v>
      </c>
      <c r="T19" s="100" t="n">
        <f aca="false">'5.1 Project Dev''t &amp; Monitoring'!T57</f>
        <v>158201.220637783</v>
      </c>
      <c r="U19" s="100" t="n">
        <f aca="false">'5.1 Project Dev''t &amp; Monitoring'!U57</f>
        <v>206885.166064056</v>
      </c>
      <c r="V19" s="100" t="n">
        <f aca="false">'5.1 Project Dev''t &amp; Monitoring'!V57</f>
        <v>164592.549951549</v>
      </c>
      <c r="W19" s="100" t="n">
        <f aca="false">'5.1 Project Dev''t &amp; Monitoring'!W57</f>
        <v>192810.151383456</v>
      </c>
      <c r="X19" s="100" t="n">
        <f aca="false">'5.1 Project Dev''t &amp; Monitoring'!X57</f>
        <v>171242.088969592</v>
      </c>
      <c r="Y19" s="100" t="n">
        <f aca="false">'5.1 Project Dev''t &amp; Monitoring'!Y57</f>
        <v>200599.681499347</v>
      </c>
      <c r="Z19" s="100" t="n">
        <f aca="false">'5.1 Project Dev''t &amp; Monitoring'!Z57</f>
        <v>178160.269363963</v>
      </c>
      <c r="AA19" s="100" t="n">
        <f aca="false">'5.1 Project Dev''t &amp; Monitoring'!AA57</f>
        <v>232986.299124531</v>
      </c>
      <c r="AB19" s="100" t="n">
        <f aca="false">'5.1 Project Dev''t &amp; Monitoring'!AB57</f>
        <v>185357.944246268</v>
      </c>
      <c r="AC19" s="100" t="n">
        <f aca="false">'5.1 Project Dev''t &amp; Monitoring'!AC57</f>
        <v>217135.54654065</v>
      </c>
      <c r="AD19" s="100" t="n">
        <f aca="false">'5.1 Project Dev''t &amp; Monitoring'!AD57</f>
        <v>192846.405193817</v>
      </c>
      <c r="AE19" s="100" t="n">
        <f aca="false">'5.1 Project Dev''t &amp; Monitoring'!AE57</f>
        <v>225907.822620893</v>
      </c>
      <c r="AF19" s="100" t="n">
        <f aca="false">'5.1 Project Dev''t &amp; Monitoring'!AF57</f>
        <v>200637.399963647</v>
      </c>
      <c r="AG19" s="100" t="n">
        <f aca="false">'5.1 Project Dev''t &amp; Monitoring'!AG57</f>
        <v>262380.414277448</v>
      </c>
      <c r="AH19" s="100" t="n">
        <f aca="false">'5.1 Project Dev''t &amp; Monitoring'!AH57</f>
        <v>208743.150922178</v>
      </c>
      <c r="AI19" s="100" t="n">
        <f aca="false">'5.1 Project Dev''t &amp; Monitoring'!AI57</f>
        <v>244529.89240043</v>
      </c>
      <c r="AJ19" s="100" t="n">
        <f aca="false">'5.1 Project Dev''t &amp; Monitoring'!AJ57</f>
        <v>217176.374219434</v>
      </c>
      <c r="AK19" s="100" t="n">
        <f aca="false">'5.1 Project Dev''t &amp; Monitoring'!AK57</f>
        <v>254408.900053407</v>
      </c>
      <c r="AL19" s="100" t="n">
        <f aca="false">'5.1 Project Dev''t &amp; Monitoring'!AL57</f>
        <v>225950.299737899</v>
      </c>
    </row>
    <row r="20" s="100" customFormat="true" ht="15" hidden="false" customHeight="false" outlineLevel="0" collapsed="false">
      <c r="A20" s="1"/>
      <c r="B20" s="1"/>
      <c r="C20" s="19" t="s">
        <v>192</v>
      </c>
      <c r="D20" s="25"/>
      <c r="E20" s="110"/>
      <c r="F20" s="22"/>
    </row>
    <row r="21" s="100" customFormat="true" ht="15" hidden="false" customHeight="false" outlineLevel="0" collapsed="false">
      <c r="A21" s="1"/>
      <c r="B21" s="1"/>
      <c r="C21" s="109" t="str">
        <f aca="false">'5.2 Cost Build - ARR'!C134</f>
        <v>Nursery - CAPEX</v>
      </c>
      <c r="D21" s="25" t="s">
        <v>112</v>
      </c>
      <c r="E21" s="110"/>
      <c r="F21" s="22" t="n">
        <f aca="false">SUM(H21:AL21)</f>
        <v>1101992.0625</v>
      </c>
      <c r="H21" s="100" t="n">
        <f aca="false">'5.2 Cost Build - ARR'!H134</f>
        <v>545540.625</v>
      </c>
      <c r="I21" s="100" t="n">
        <f aca="false">'5.2 Cost Build - ARR'!I134</f>
        <v>556451.4375</v>
      </c>
      <c r="J21" s="100" t="n">
        <f aca="false">'5.2 Cost Build - ARR'!J134</f>
        <v>0</v>
      </c>
      <c r="K21" s="100" t="n">
        <f aca="false">'5.2 Cost Build - ARR'!K134</f>
        <v>0</v>
      </c>
      <c r="L21" s="100" t="n">
        <f aca="false">'5.2 Cost Build - ARR'!L134</f>
        <v>0</v>
      </c>
      <c r="M21" s="100" t="n">
        <f aca="false">'5.2 Cost Build - ARR'!M134</f>
        <v>0</v>
      </c>
      <c r="N21" s="100" t="n">
        <f aca="false">'5.2 Cost Build - ARR'!N134</f>
        <v>0</v>
      </c>
      <c r="O21" s="100" t="n">
        <f aca="false">'5.2 Cost Build - ARR'!O134</f>
        <v>0</v>
      </c>
      <c r="P21" s="100" t="n">
        <f aca="false">'5.2 Cost Build - ARR'!P134</f>
        <v>0</v>
      </c>
      <c r="Q21" s="100" t="n">
        <f aca="false">'5.2 Cost Build - ARR'!Q134</f>
        <v>0</v>
      </c>
      <c r="R21" s="100" t="n">
        <f aca="false">'5.2 Cost Build - ARR'!R134</f>
        <v>0</v>
      </c>
      <c r="S21" s="100" t="n">
        <f aca="false">'5.2 Cost Build - ARR'!S134</f>
        <v>0</v>
      </c>
      <c r="T21" s="100" t="n">
        <f aca="false">'5.2 Cost Build - ARR'!T134</f>
        <v>0</v>
      </c>
      <c r="U21" s="100" t="n">
        <f aca="false">'5.2 Cost Build - ARR'!U134</f>
        <v>0</v>
      </c>
      <c r="V21" s="100" t="n">
        <f aca="false">'5.2 Cost Build - ARR'!V134</f>
        <v>0</v>
      </c>
      <c r="W21" s="100" t="n">
        <f aca="false">'5.2 Cost Build - ARR'!W134</f>
        <v>0</v>
      </c>
      <c r="X21" s="100" t="n">
        <f aca="false">'5.2 Cost Build - ARR'!X134</f>
        <v>0</v>
      </c>
      <c r="Y21" s="100" t="n">
        <f aca="false">'5.2 Cost Build - ARR'!Y134</f>
        <v>0</v>
      </c>
      <c r="Z21" s="100" t="n">
        <f aca="false">'5.2 Cost Build - ARR'!Z134</f>
        <v>0</v>
      </c>
      <c r="AA21" s="100" t="n">
        <f aca="false">'5.2 Cost Build - ARR'!AA134</f>
        <v>0</v>
      </c>
      <c r="AB21" s="100" t="n">
        <f aca="false">'5.2 Cost Build - ARR'!AB134</f>
        <v>0</v>
      </c>
      <c r="AC21" s="100" t="n">
        <f aca="false">'5.2 Cost Build - ARR'!AC134</f>
        <v>0</v>
      </c>
      <c r="AD21" s="100" t="n">
        <f aca="false">'5.2 Cost Build - ARR'!AD134</f>
        <v>0</v>
      </c>
      <c r="AE21" s="100" t="n">
        <f aca="false">'5.2 Cost Build - ARR'!AE134</f>
        <v>0</v>
      </c>
      <c r="AF21" s="100" t="n">
        <f aca="false">'5.2 Cost Build - ARR'!AF134</f>
        <v>0</v>
      </c>
      <c r="AG21" s="100" t="n">
        <f aca="false">'5.2 Cost Build - ARR'!AG134</f>
        <v>0</v>
      </c>
      <c r="AH21" s="100" t="n">
        <f aca="false">'5.2 Cost Build - ARR'!AH134</f>
        <v>0</v>
      </c>
      <c r="AI21" s="100" t="n">
        <f aca="false">'5.2 Cost Build - ARR'!AI134</f>
        <v>0</v>
      </c>
      <c r="AJ21" s="100" t="n">
        <f aca="false">'5.2 Cost Build - ARR'!AJ134</f>
        <v>0</v>
      </c>
      <c r="AK21" s="100" t="n">
        <f aca="false">'5.2 Cost Build - ARR'!AK134</f>
        <v>0</v>
      </c>
      <c r="AL21" s="100" t="n">
        <f aca="false">'5.2 Cost Build - ARR'!AL134</f>
        <v>0</v>
      </c>
    </row>
    <row r="22" s="100" customFormat="true" ht="15" hidden="false" customHeight="false" outlineLevel="0" collapsed="false">
      <c r="A22" s="1"/>
      <c r="B22" s="1"/>
      <c r="C22" s="109" t="str">
        <f aca="false">'5.2 Cost Build - ARR'!C135</f>
        <v>Nursery - OPEX</v>
      </c>
      <c r="D22" s="25" t="s">
        <v>112</v>
      </c>
      <c r="E22" s="110"/>
      <c r="F22" s="22" t="n">
        <f aca="false">SUM(H22:AL22)</f>
        <v>10716324.3918279</v>
      </c>
      <c r="H22" s="100" t="n">
        <f aca="false">'5.2 Cost Build - ARR'!H135</f>
        <v>816000</v>
      </c>
      <c r="I22" s="22" t="n">
        <f aca="false">'5.2 Cost Build - ARR'!I135</f>
        <v>1331712</v>
      </c>
      <c r="J22" s="100" t="n">
        <f aca="false">'5.2 Cost Build - ARR'!J135</f>
        <v>1358346.24</v>
      </c>
      <c r="K22" s="100" t="n">
        <f aca="false">'5.2 Cost Build - ARR'!K135</f>
        <v>1385513.1648</v>
      </c>
      <c r="L22" s="100" t="n">
        <f aca="false">'5.2 Cost Build - ARR'!L135</f>
        <v>1413223.428096</v>
      </c>
      <c r="M22" s="100" t="n">
        <f aca="false">'5.2 Cost Build - ARR'!M135</f>
        <v>1441487.89665792</v>
      </c>
      <c r="N22" s="100" t="n">
        <f aca="false">'5.2 Cost Build - ARR'!N135</f>
        <v>1470317.65459108</v>
      </c>
      <c r="O22" s="100" t="n">
        <f aca="false">'5.2 Cost Build - ARR'!O135</f>
        <v>1499724.0076829</v>
      </c>
      <c r="P22" s="100" t="n">
        <f aca="false">'5.2 Cost Build - ARR'!P135</f>
        <v>0</v>
      </c>
      <c r="Q22" s="100" t="n">
        <f aca="false">'5.2 Cost Build - ARR'!Q135</f>
        <v>0</v>
      </c>
      <c r="R22" s="100" t="n">
        <f aca="false">'5.2 Cost Build - ARR'!R135</f>
        <v>0</v>
      </c>
      <c r="S22" s="100" t="n">
        <f aca="false">'5.2 Cost Build - ARR'!S135</f>
        <v>0</v>
      </c>
      <c r="T22" s="100" t="n">
        <f aca="false">'5.2 Cost Build - ARR'!T135</f>
        <v>0</v>
      </c>
      <c r="U22" s="100" t="n">
        <f aca="false">'5.2 Cost Build - ARR'!U135</f>
        <v>0</v>
      </c>
      <c r="V22" s="100" t="n">
        <f aca="false">'5.2 Cost Build - ARR'!V135</f>
        <v>0</v>
      </c>
      <c r="W22" s="100" t="n">
        <f aca="false">'5.2 Cost Build - ARR'!W135</f>
        <v>0</v>
      </c>
      <c r="X22" s="100" t="n">
        <f aca="false">'5.2 Cost Build - ARR'!X135</f>
        <v>0</v>
      </c>
      <c r="Y22" s="100" t="n">
        <f aca="false">'5.2 Cost Build - ARR'!Y135</f>
        <v>0</v>
      </c>
      <c r="Z22" s="100" t="n">
        <f aca="false">'5.2 Cost Build - ARR'!Z135</f>
        <v>0</v>
      </c>
      <c r="AA22" s="100" t="n">
        <f aca="false">'5.2 Cost Build - ARR'!AA135</f>
        <v>0</v>
      </c>
      <c r="AB22" s="100" t="n">
        <f aca="false">'5.2 Cost Build - ARR'!AB135</f>
        <v>0</v>
      </c>
      <c r="AC22" s="100" t="n">
        <f aca="false">'5.2 Cost Build - ARR'!AC135</f>
        <v>0</v>
      </c>
      <c r="AD22" s="100" t="n">
        <f aca="false">'5.2 Cost Build - ARR'!AD135</f>
        <v>0</v>
      </c>
      <c r="AE22" s="100" t="n">
        <f aca="false">'5.2 Cost Build - ARR'!AE135</f>
        <v>0</v>
      </c>
      <c r="AF22" s="100" t="n">
        <f aca="false">'5.2 Cost Build - ARR'!AF135</f>
        <v>0</v>
      </c>
      <c r="AG22" s="100" t="n">
        <f aca="false">'5.2 Cost Build - ARR'!AG135</f>
        <v>0</v>
      </c>
      <c r="AH22" s="100" t="n">
        <f aca="false">'5.2 Cost Build - ARR'!AH135</f>
        <v>0</v>
      </c>
      <c r="AI22" s="100" t="n">
        <f aca="false">'5.2 Cost Build - ARR'!AI135</f>
        <v>0</v>
      </c>
      <c r="AJ22" s="100" t="n">
        <f aca="false">'5.2 Cost Build - ARR'!AJ135</f>
        <v>0</v>
      </c>
      <c r="AK22" s="100" t="n">
        <f aca="false">'5.2 Cost Build - ARR'!AK135</f>
        <v>0</v>
      </c>
      <c r="AL22" s="100" t="n">
        <f aca="false">'5.2 Cost Build - ARR'!AL135</f>
        <v>0</v>
      </c>
    </row>
    <row r="23" s="100" customFormat="true" ht="15" hidden="false" customHeight="false" outlineLevel="0" collapsed="false">
      <c r="A23" s="1"/>
      <c r="B23" s="1"/>
      <c r="C23" s="109" t="str">
        <f aca="false">'5.2 Cost Build - ARR'!C136</f>
        <v>Plantation &amp; Transportation Cost</v>
      </c>
      <c r="D23" s="25" t="s">
        <v>112</v>
      </c>
      <c r="E23" s="110"/>
      <c r="F23" s="22" t="n">
        <f aca="false">SUM(H23:AL23)</f>
        <v>5465325.43983223</v>
      </c>
      <c r="H23" s="100" t="n">
        <f aca="false">'5.2 Cost Build - ARR'!H136</f>
        <v>0</v>
      </c>
      <c r="I23" s="22" t="n">
        <f aca="false">'5.2 Cost Build - ARR'!I136</f>
        <v>416160</v>
      </c>
      <c r="J23" s="100" t="n">
        <f aca="false">'5.2 Cost Build - ARR'!J136</f>
        <v>679173.12</v>
      </c>
      <c r="K23" s="100" t="n">
        <f aca="false">'5.2 Cost Build - ARR'!K136</f>
        <v>692756.5824</v>
      </c>
      <c r="L23" s="100" t="n">
        <f aca="false">'5.2 Cost Build - ARR'!L136</f>
        <v>706611.714048</v>
      </c>
      <c r="M23" s="100" t="n">
        <f aca="false">'5.2 Cost Build - ARR'!M136</f>
        <v>720743.94832896</v>
      </c>
      <c r="N23" s="100" t="n">
        <f aca="false">'5.2 Cost Build - ARR'!N136</f>
        <v>735158.827295539</v>
      </c>
      <c r="O23" s="100" t="n">
        <f aca="false">'5.2 Cost Build - ARR'!O136</f>
        <v>749862.00384145</v>
      </c>
      <c r="P23" s="100" t="n">
        <f aca="false">'5.2 Cost Build - ARR'!P136</f>
        <v>764859.243918279</v>
      </c>
      <c r="Q23" s="100" t="n">
        <f aca="false">'5.2 Cost Build - ARR'!Q136</f>
        <v>0</v>
      </c>
      <c r="R23" s="100" t="n">
        <f aca="false">'5.2 Cost Build - ARR'!R136</f>
        <v>0</v>
      </c>
      <c r="S23" s="100" t="n">
        <f aca="false">'5.2 Cost Build - ARR'!S136</f>
        <v>0</v>
      </c>
      <c r="T23" s="100" t="n">
        <f aca="false">'5.2 Cost Build - ARR'!T136</f>
        <v>0</v>
      </c>
      <c r="U23" s="100" t="n">
        <f aca="false">'5.2 Cost Build - ARR'!U136</f>
        <v>0</v>
      </c>
      <c r="V23" s="100" t="n">
        <f aca="false">'5.2 Cost Build - ARR'!V136</f>
        <v>0</v>
      </c>
      <c r="W23" s="100" t="n">
        <f aca="false">'5.2 Cost Build - ARR'!W136</f>
        <v>0</v>
      </c>
      <c r="X23" s="100" t="n">
        <f aca="false">'5.2 Cost Build - ARR'!X136</f>
        <v>0</v>
      </c>
      <c r="Y23" s="100" t="n">
        <f aca="false">'5.2 Cost Build - ARR'!Y136</f>
        <v>0</v>
      </c>
      <c r="Z23" s="100" t="n">
        <f aca="false">'5.2 Cost Build - ARR'!Z136</f>
        <v>0</v>
      </c>
      <c r="AA23" s="100" t="n">
        <f aca="false">'5.2 Cost Build - ARR'!AA136</f>
        <v>0</v>
      </c>
      <c r="AB23" s="100" t="n">
        <f aca="false">'5.2 Cost Build - ARR'!AB136</f>
        <v>0</v>
      </c>
      <c r="AC23" s="100" t="n">
        <f aca="false">'5.2 Cost Build - ARR'!AC136</f>
        <v>0</v>
      </c>
      <c r="AD23" s="100" t="n">
        <f aca="false">'5.2 Cost Build - ARR'!AD136</f>
        <v>0</v>
      </c>
      <c r="AE23" s="100" t="n">
        <f aca="false">'5.2 Cost Build - ARR'!AE136</f>
        <v>0</v>
      </c>
      <c r="AF23" s="100" t="n">
        <f aca="false">'5.2 Cost Build - ARR'!AF136</f>
        <v>0</v>
      </c>
      <c r="AG23" s="100" t="n">
        <f aca="false">'5.2 Cost Build - ARR'!AG136</f>
        <v>0</v>
      </c>
      <c r="AH23" s="100" t="n">
        <f aca="false">'5.2 Cost Build - ARR'!AH136</f>
        <v>0</v>
      </c>
      <c r="AI23" s="100" t="n">
        <f aca="false">'5.2 Cost Build - ARR'!AI136</f>
        <v>0</v>
      </c>
      <c r="AJ23" s="100" t="n">
        <f aca="false">'5.2 Cost Build - ARR'!AJ136</f>
        <v>0</v>
      </c>
      <c r="AK23" s="100" t="n">
        <f aca="false">'5.2 Cost Build - ARR'!AK136</f>
        <v>0</v>
      </c>
      <c r="AL23" s="100" t="n">
        <f aca="false">'5.2 Cost Build - ARR'!AL136</f>
        <v>0</v>
      </c>
    </row>
    <row r="24" s="100" customFormat="true" ht="15" hidden="false" customHeight="false" outlineLevel="0" collapsed="false">
      <c r="A24" s="1"/>
      <c r="B24" s="1"/>
      <c r="C24" s="109" t="str">
        <f aca="false">'5.2 Cost Build - ARR'!C137</f>
        <v>Maintenance cost</v>
      </c>
      <c r="D24" s="25" t="s">
        <v>112</v>
      </c>
      <c r="E24" s="110"/>
      <c r="F24" s="22" t="n">
        <f aca="false">SUM(H24:AL24)</f>
        <v>3625378.26831156</v>
      </c>
      <c r="H24" s="100" t="n">
        <f aca="false">'5.2 Cost Build - ARR'!H137</f>
        <v>0</v>
      </c>
      <c r="I24" s="22" t="n">
        <f aca="false">'5.2 Cost Build - ARR'!I137</f>
        <v>0</v>
      </c>
      <c r="J24" s="100" t="n">
        <f aca="false">'5.2 Cost Build - ARR'!J137</f>
        <v>90202.68</v>
      </c>
      <c r="K24" s="100" t="n">
        <f aca="false">'5.2 Cost Build - ARR'!K137</f>
        <v>239217.50736</v>
      </c>
      <c r="L24" s="100" t="n">
        <f aca="false">'5.2 Cost Build - ARR'!L137</f>
        <v>394156.8467424</v>
      </c>
      <c r="M24" s="100" t="n">
        <f aca="false">'5.2 Cost Build - ARR'!M137</f>
        <v>459474.267059712</v>
      </c>
      <c r="N24" s="100" t="n">
        <f aca="false">'5.2 Cost Build - ARR'!N137</f>
        <v>468663.752400906</v>
      </c>
      <c r="O24" s="100" t="n">
        <f aca="false">'5.2 Cost Build - ARR'!O137</f>
        <v>478037.027448924</v>
      </c>
      <c r="P24" s="100" t="n">
        <f aca="false">'5.2 Cost Build - ARR'!P137</f>
        <v>487597.767997903</v>
      </c>
      <c r="Q24" s="100" t="n">
        <f aca="false">'5.2 Cost Build - ARR'!Q137</f>
        <v>497349.723357861</v>
      </c>
      <c r="R24" s="100" t="n">
        <f aca="false">'5.2 Cost Build - ARR'!R137</f>
        <v>338197.811883345</v>
      </c>
      <c r="S24" s="100" t="n">
        <f aca="false">'5.2 Cost Build - ARR'!S137</f>
        <v>172480.884060506</v>
      </c>
      <c r="T24" s="100" t="n">
        <f aca="false">'5.2 Cost Build - ARR'!T137</f>
        <v>0</v>
      </c>
      <c r="U24" s="100" t="n">
        <f aca="false">'5.2 Cost Build - ARR'!U137</f>
        <v>0</v>
      </c>
      <c r="V24" s="100" t="n">
        <f aca="false">'5.2 Cost Build - ARR'!V137</f>
        <v>0</v>
      </c>
      <c r="W24" s="100" t="n">
        <f aca="false">'5.2 Cost Build - ARR'!W137</f>
        <v>0</v>
      </c>
      <c r="X24" s="100" t="n">
        <f aca="false">'5.2 Cost Build - ARR'!X137</f>
        <v>0</v>
      </c>
      <c r="Y24" s="100" t="n">
        <f aca="false">'5.2 Cost Build - ARR'!Y137</f>
        <v>0</v>
      </c>
      <c r="Z24" s="100" t="n">
        <f aca="false">'5.2 Cost Build - ARR'!Z137</f>
        <v>0</v>
      </c>
      <c r="AA24" s="100" t="n">
        <f aca="false">'5.2 Cost Build - ARR'!AA137</f>
        <v>0</v>
      </c>
      <c r="AB24" s="100" t="n">
        <f aca="false">'5.2 Cost Build - ARR'!AB137</f>
        <v>0</v>
      </c>
      <c r="AC24" s="100" t="n">
        <f aca="false">'5.2 Cost Build - ARR'!AC137</f>
        <v>0</v>
      </c>
      <c r="AD24" s="100" t="n">
        <f aca="false">'5.2 Cost Build - ARR'!AD137</f>
        <v>0</v>
      </c>
      <c r="AE24" s="100" t="n">
        <f aca="false">'5.2 Cost Build - ARR'!AE137</f>
        <v>0</v>
      </c>
      <c r="AF24" s="100" t="n">
        <f aca="false">'5.2 Cost Build - ARR'!AF137</f>
        <v>0</v>
      </c>
      <c r="AG24" s="100" t="n">
        <f aca="false">'5.2 Cost Build - ARR'!AG137</f>
        <v>0</v>
      </c>
      <c r="AH24" s="100" t="n">
        <f aca="false">'5.2 Cost Build - ARR'!AH137</f>
        <v>0</v>
      </c>
      <c r="AI24" s="100" t="n">
        <f aca="false">'5.2 Cost Build - ARR'!AI137</f>
        <v>0</v>
      </c>
      <c r="AJ24" s="100" t="n">
        <f aca="false">'5.2 Cost Build - ARR'!AJ137</f>
        <v>0</v>
      </c>
      <c r="AK24" s="100" t="n">
        <f aca="false">'5.2 Cost Build - ARR'!AK137</f>
        <v>0</v>
      </c>
      <c r="AL24" s="100" t="n">
        <f aca="false">'5.2 Cost Build - ARR'!AL137</f>
        <v>0</v>
      </c>
    </row>
    <row r="25" s="100" customFormat="true" ht="15" hidden="false" customHeight="false" outlineLevel="0" collapsed="false">
      <c r="A25" s="1"/>
      <c r="B25" s="1"/>
      <c r="C25" s="109" t="str">
        <f aca="false">'5.2 Cost Build - ARR'!C138</f>
        <v>Plantation Overhead</v>
      </c>
      <c r="D25" s="25" t="s">
        <v>112</v>
      </c>
      <c r="E25" s="110"/>
      <c r="F25" s="22" t="n">
        <f aca="false">SUM(H25:AL25)</f>
        <v>43560756.5174644</v>
      </c>
      <c r="H25" s="100" t="n">
        <f aca="false">'5.2 Cost Build - ARR'!H138</f>
        <v>396060</v>
      </c>
      <c r="I25" s="22" t="n">
        <f aca="false">'5.2 Cost Build - ARR'!I138</f>
        <v>674967.48</v>
      </c>
      <c r="J25" s="100" t="n">
        <f aca="false">'5.2 Cost Build - ARR'!J138</f>
        <v>701931.7446</v>
      </c>
      <c r="K25" s="100" t="n">
        <f aca="false">'5.2 Cost Build - ARR'!K138</f>
        <v>928306.66335</v>
      </c>
      <c r="L25" s="100" t="n">
        <f aca="false">'5.2 Cost Build - ARR'!L138</f>
        <v>1044410.7235047</v>
      </c>
      <c r="M25" s="100" t="n">
        <f aca="false">'5.2 Cost Build - ARR'!M138</f>
        <v>1074613.74288104</v>
      </c>
      <c r="N25" s="100" t="n">
        <f aca="false">'5.2 Cost Build - ARR'!N138</f>
        <v>1188547.55719968</v>
      </c>
      <c r="O25" s="100" t="n">
        <f aca="false">'5.2 Cost Build - ARR'!O138</f>
        <v>1215202.76859727</v>
      </c>
      <c r="P25" s="100" t="n">
        <f aca="false">'5.2 Cost Build - ARR'!P138</f>
        <v>1242433.29723549</v>
      </c>
      <c r="Q25" s="100" t="n">
        <f aca="false">'5.2 Cost Build - ARR'!Q138</f>
        <v>1270252.76010979</v>
      </c>
      <c r="R25" s="100" t="n">
        <f aca="false">'5.2 Cost Build - ARR'!R138</f>
        <v>1298675.15208805</v>
      </c>
      <c r="S25" s="100" t="n">
        <f aca="false">'5.2 Cost Build - ARR'!S138</f>
        <v>1325674.85874468</v>
      </c>
      <c r="T25" s="100" t="n">
        <f aca="false">'5.2 Cost Build - ARR'!T138</f>
        <v>1353265.86971519</v>
      </c>
      <c r="U25" s="100" t="n">
        <f aca="false">'5.2 Cost Build - ARR'!U138</f>
        <v>1381462.57659488</v>
      </c>
      <c r="V25" s="100" t="n">
        <f aca="false">'5.2 Cost Build - ARR'!V138</f>
        <v>1410279.78708645</v>
      </c>
      <c r="W25" s="100" t="n">
        <f aca="false">'5.2 Cost Build - ARR'!W138</f>
        <v>1439732.73973582</v>
      </c>
      <c r="X25" s="100" t="n">
        <f aca="false">'5.2 Cost Build - ARR'!X138</f>
        <v>1469837.11928357</v>
      </c>
      <c r="Y25" s="100" t="n">
        <f aca="false">'5.2 Cost Build - ARR'!Y138</f>
        <v>1500609.07265992</v>
      </c>
      <c r="Z25" s="100" t="n">
        <f aca="false">'5.2 Cost Build - ARR'!Z138</f>
        <v>1532065.22565333</v>
      </c>
      <c r="AA25" s="100" t="n">
        <f aca="false">'5.2 Cost Build - ARR'!AA138</f>
        <v>1564222.70028362</v>
      </c>
      <c r="AB25" s="100" t="n">
        <f aca="false">'5.2 Cost Build - ARR'!AB138</f>
        <v>1597099.13291238</v>
      </c>
      <c r="AC25" s="100" t="n">
        <f aca="false">'5.2 Cost Build - ARR'!AC138</f>
        <v>1630712.69312487</v>
      </c>
      <c r="AD25" s="100" t="n">
        <f aca="false">'5.2 Cost Build - ARR'!AD138</f>
        <v>1665082.10341932</v>
      </c>
      <c r="AE25" s="100" t="n">
        <f aca="false">'5.2 Cost Build - ARR'!AE138</f>
        <v>1700226.65974126</v>
      </c>
      <c r="AF25" s="100" t="n">
        <f aca="false">'5.2 Cost Build - ARR'!AF138</f>
        <v>1736166.25290231</v>
      </c>
      <c r="AG25" s="100" t="n">
        <f aca="false">'5.2 Cost Build - ARR'!AG138</f>
        <v>1772921.3909249</v>
      </c>
      <c r="AH25" s="100" t="n">
        <f aca="false">'5.2 Cost Build - ARR'!AH138</f>
        <v>1810513.22235616</v>
      </c>
      <c r="AI25" s="100" t="n">
        <f aca="false">'5.2 Cost Build - ARR'!AI138</f>
        <v>1848963.56059669</v>
      </c>
      <c r="AJ25" s="100" t="n">
        <f aca="false">'5.2 Cost Build - ARR'!AJ138</f>
        <v>1888294.9092917</v>
      </c>
      <c r="AK25" s="100" t="n">
        <f aca="false">'5.2 Cost Build - ARR'!AK138</f>
        <v>1928530.48883476</v>
      </c>
      <c r="AL25" s="100" t="n">
        <f aca="false">'5.2 Cost Build - ARR'!AL138</f>
        <v>1969694.26403655</v>
      </c>
    </row>
    <row r="26" s="100" customFormat="true" ht="15" hidden="false" customHeight="false" outlineLevel="0" collapsed="false">
      <c r="A26" s="1"/>
      <c r="B26" s="1"/>
      <c r="C26" s="109" t="str">
        <f aca="false">'5.2 Cost Build - ARR'!C144</f>
        <v>Office Equipment &amp; Vehicles</v>
      </c>
      <c r="D26" s="25" t="s">
        <v>112</v>
      </c>
      <c r="E26" s="111"/>
      <c r="F26" s="22" t="n">
        <f aca="false">SUM(H26:AL26)</f>
        <v>7261954.46427621</v>
      </c>
      <c r="H26" s="100" t="n">
        <f aca="false">'5.2 Cost Build - ARR'!H144</f>
        <v>364670</v>
      </c>
      <c r="I26" s="22" t="n">
        <f aca="false">'5.2 Cost Build - ARR'!I144</f>
        <v>49894.2</v>
      </c>
      <c r="J26" s="100" t="n">
        <f aca="false">'5.2 Cost Build - ARR'!J144</f>
        <v>91166.85</v>
      </c>
      <c r="K26" s="100" t="n">
        <f aca="false">'5.2 Cost Build - ARR'!K144</f>
        <v>93337.4745</v>
      </c>
      <c r="L26" s="100" t="n">
        <f aca="false">'5.2 Cost Build - ARR'!L144</f>
        <v>152235.77724</v>
      </c>
      <c r="M26" s="100" t="n">
        <f aca="false">'5.2 Cost Build - ARR'!M144</f>
        <v>97863.13785105</v>
      </c>
      <c r="N26" s="100" t="n">
        <f aca="false">'5.2 Cost Build - ARR'!N144</f>
        <v>162697.688066196</v>
      </c>
      <c r="O26" s="100" t="n">
        <f aca="false">'5.2 Cost Build - ARR'!O144</f>
        <v>168248.029717295</v>
      </c>
      <c r="P26" s="100" t="n">
        <f aca="false">'5.2 Cost Build - ARR'!P144</f>
        <v>174024.197595905</v>
      </c>
      <c r="Q26" s="100" t="n">
        <f aca="false">'5.2 Cost Build - ARR'!Q144</f>
        <v>180036.4491963</v>
      </c>
      <c r="R26" s="100" t="n">
        <f aca="false">'5.2 Cost Build - ARR'!R144</f>
        <v>186295.534211126</v>
      </c>
      <c r="S26" s="100" t="n">
        <f aca="false">'5.2 Cost Build - ARR'!S144</f>
        <v>192812.718727795</v>
      </c>
      <c r="T26" s="100" t="n">
        <f aca="false">'5.2 Cost Build - ARR'!T144</f>
        <v>199599.810626419</v>
      </c>
      <c r="U26" s="100" t="n">
        <f aca="false">'5.2 Cost Build - ARR'!U144</f>
        <v>206669.186239219</v>
      </c>
      <c r="V26" s="100" t="n">
        <f aca="false">'5.2 Cost Build - ARR'!V144</f>
        <v>214033.818334288</v>
      </c>
      <c r="W26" s="100" t="n">
        <f aca="false">'5.2 Cost Build - ARR'!W144</f>
        <v>221707.305489773</v>
      </c>
      <c r="X26" s="100" t="n">
        <f aca="false">'5.2 Cost Build - ARR'!X144</f>
        <v>229703.902927808</v>
      </c>
      <c r="Y26" s="100" t="n">
        <f aca="false">'5.2 Cost Build - ARR'!Y144</f>
        <v>238038.554881016</v>
      </c>
      <c r="Z26" s="100" t="n">
        <f aca="false">'5.2 Cost Build - ARR'!Z144</f>
        <v>246726.92856802</v>
      </c>
      <c r="AA26" s="100" t="n">
        <f aca="false">'5.2 Cost Build - ARR'!AA144</f>
        <v>255785.449858233</v>
      </c>
      <c r="AB26" s="100" t="n">
        <f aca="false">'5.2 Cost Build - ARR'!AB144</f>
        <v>265231.340710194</v>
      </c>
      <c r="AC26" s="100" t="n">
        <f aca="false">'5.2 Cost Build - ARR'!AC144</f>
        <v>275082.658471933</v>
      </c>
      <c r="AD26" s="100" t="n">
        <f aca="false">'5.2 Cost Build - ARR'!AD144</f>
        <v>285358.337136284</v>
      </c>
      <c r="AE26" s="100" t="n">
        <f aca="false">'5.2 Cost Build - ARR'!AE144</f>
        <v>296078.230648667</v>
      </c>
      <c r="AF26" s="100" t="n">
        <f aca="false">'5.2 Cost Build - ARR'!AF144</f>
        <v>307263.158369781</v>
      </c>
      <c r="AG26" s="100" t="n">
        <f aca="false">'5.2 Cost Build - ARR'!AG144</f>
        <v>318934.952800725</v>
      </c>
      <c r="AH26" s="100" t="n">
        <f aca="false">'5.2 Cost Build - ARR'!AH144</f>
        <v>331116.509683465</v>
      </c>
      <c r="AI26" s="100" t="n">
        <f aca="false">'5.2 Cost Build - ARR'!AI144</f>
        <v>343831.840595195</v>
      </c>
      <c r="AJ26" s="100" t="n">
        <f aca="false">'5.2 Cost Build - ARR'!AJ144</f>
        <v>357106.128161064</v>
      </c>
      <c r="AK26" s="100" t="n">
        <f aca="false">'5.2 Cost Build - ARR'!AK144</f>
        <v>370965.784015948</v>
      </c>
      <c r="AL26" s="100" t="n">
        <f aca="false">'5.2 Cost Build - ARR'!AL144</f>
        <v>385438.509652513</v>
      </c>
    </row>
    <row r="27" s="100" customFormat="true" ht="15" hidden="false" customHeight="false" outlineLevel="0" collapsed="false">
      <c r="A27" s="1"/>
      <c r="B27" s="1"/>
      <c r="C27" s="19" t="s">
        <v>153</v>
      </c>
      <c r="D27" s="25"/>
      <c r="E27" s="110"/>
      <c r="F27" s="22"/>
      <c r="I27" s="22"/>
    </row>
    <row r="28" s="100" customFormat="true" ht="15" hidden="false" customHeight="false" outlineLevel="0" collapsed="false">
      <c r="A28" s="1"/>
      <c r="B28" s="1"/>
      <c r="C28" s="109" t="str">
        <f aca="false">'5.3 Cost Build - Productive'!C128</f>
        <v>Processing Centers - CAPEX</v>
      </c>
      <c r="D28" s="25" t="s">
        <v>112</v>
      </c>
      <c r="E28" s="110"/>
      <c r="F28" s="22" t="n">
        <f aca="false">SUM(H28:AL28)</f>
        <v>8115482.09237982</v>
      </c>
      <c r="H28" s="100" t="n">
        <f aca="false">'5.3 Cost Build - Productive'!H128</f>
        <v>0</v>
      </c>
      <c r="I28" s="22" t="n">
        <f aca="false">'5.3 Cost Build - Productive'!I128</f>
        <v>735993.72</v>
      </c>
      <c r="J28" s="100" t="n">
        <f aca="false">'5.3 Cost Build - Productive'!J128</f>
        <v>772793.406</v>
      </c>
      <c r="K28" s="100" t="n">
        <f aca="false">'5.3 Cost Build - Productive'!K128</f>
        <v>811433.0763</v>
      </c>
      <c r="L28" s="100" t="n">
        <f aca="false">'5.3 Cost Build - Productive'!L128</f>
        <v>852004.730115</v>
      </c>
      <c r="M28" s="100" t="n">
        <f aca="false">'5.3 Cost Build - Productive'!M128</f>
        <v>894604.96662075</v>
      </c>
      <c r="N28" s="100" t="n">
        <f aca="false">'5.3 Cost Build - Productive'!N128</f>
        <v>939335.214951788</v>
      </c>
      <c r="O28" s="100" t="n">
        <f aca="false">'5.3 Cost Build - Productive'!O128</f>
        <v>986301.975699377</v>
      </c>
      <c r="P28" s="100" t="n">
        <f aca="false">'5.3 Cost Build - Productive'!P128</f>
        <v>1035617.07448435</v>
      </c>
      <c r="Q28" s="100" t="n">
        <f aca="false">'5.3 Cost Build - Productive'!Q128</f>
        <v>1087397.92820856</v>
      </c>
      <c r="R28" s="100" t="n">
        <f aca="false">'5.3 Cost Build - Productive'!R128</f>
        <v>0</v>
      </c>
      <c r="S28" s="100" t="n">
        <f aca="false">'5.3 Cost Build - Productive'!S128</f>
        <v>0</v>
      </c>
      <c r="T28" s="100" t="n">
        <f aca="false">'5.3 Cost Build - Productive'!T128</f>
        <v>0</v>
      </c>
      <c r="U28" s="100" t="n">
        <f aca="false">'5.3 Cost Build - Productive'!U128</f>
        <v>0</v>
      </c>
      <c r="V28" s="100" t="n">
        <f aca="false">'5.3 Cost Build - Productive'!V128</f>
        <v>0</v>
      </c>
      <c r="W28" s="100" t="n">
        <f aca="false">'5.3 Cost Build - Productive'!W128</f>
        <v>0</v>
      </c>
      <c r="X28" s="100" t="n">
        <f aca="false">'5.3 Cost Build - Productive'!X128</f>
        <v>0</v>
      </c>
      <c r="Y28" s="100" t="n">
        <f aca="false">'5.3 Cost Build - Productive'!Y128</f>
        <v>0</v>
      </c>
      <c r="Z28" s="100" t="n">
        <f aca="false">'5.3 Cost Build - Productive'!Z128</f>
        <v>0</v>
      </c>
      <c r="AA28" s="100" t="n">
        <f aca="false">'5.3 Cost Build - Productive'!AA128</f>
        <v>0</v>
      </c>
      <c r="AB28" s="100" t="n">
        <f aca="false">'5.3 Cost Build - Productive'!AB128</f>
        <v>0</v>
      </c>
      <c r="AC28" s="100" t="n">
        <f aca="false">'5.3 Cost Build - Productive'!AC128</f>
        <v>0</v>
      </c>
      <c r="AD28" s="100" t="n">
        <f aca="false">'5.3 Cost Build - Productive'!AD128</f>
        <v>0</v>
      </c>
      <c r="AE28" s="100" t="n">
        <f aca="false">'5.3 Cost Build - Productive'!AE128</f>
        <v>0</v>
      </c>
      <c r="AF28" s="100" t="n">
        <f aca="false">'5.3 Cost Build - Productive'!AF128</f>
        <v>0</v>
      </c>
      <c r="AG28" s="100" t="n">
        <f aca="false">'5.3 Cost Build - Productive'!AG128</f>
        <v>0</v>
      </c>
      <c r="AH28" s="100" t="n">
        <f aca="false">'5.3 Cost Build - Productive'!AH128</f>
        <v>0</v>
      </c>
      <c r="AI28" s="100" t="n">
        <f aca="false">'5.3 Cost Build - Productive'!AI128</f>
        <v>0</v>
      </c>
      <c r="AJ28" s="100" t="n">
        <f aca="false">'5.3 Cost Build - Productive'!AJ128</f>
        <v>0</v>
      </c>
      <c r="AK28" s="100" t="n">
        <f aca="false">'5.3 Cost Build - Productive'!AK128</f>
        <v>0</v>
      </c>
      <c r="AL28" s="100" t="n">
        <f aca="false">'5.3 Cost Build - Productive'!AL128</f>
        <v>0</v>
      </c>
    </row>
    <row r="29" s="100" customFormat="true" ht="15" hidden="false" customHeight="false" outlineLevel="0" collapsed="false">
      <c r="A29" s="1"/>
      <c r="B29" s="1"/>
      <c r="C29" s="109" t="str">
        <f aca="false">'5.3 Cost Build - Productive'!C130</f>
        <v>Processing Centers - OPEX</v>
      </c>
      <c r="D29" s="25" t="s">
        <v>112</v>
      </c>
      <c r="E29" s="111"/>
      <c r="F29" s="22" t="n">
        <f aca="false">SUM(H29:AL29)</f>
        <v>50604090.591896</v>
      </c>
      <c r="H29" s="100" t="n">
        <f aca="false">'5.3 Cost Build - Productive'!H130</f>
        <v>0</v>
      </c>
      <c r="I29" s="22" t="n">
        <f aca="false">'5.3 Cost Build - Productive'!I130</f>
        <v>97100.681</v>
      </c>
      <c r="J29" s="100" t="n">
        <f aca="false">'5.3 Cost Build - Productive'!J130</f>
        <v>407826.795659375</v>
      </c>
      <c r="K29" s="100" t="n">
        <f aca="false">'5.3 Cost Build - Productive'!K130</f>
        <v>691635.298285312</v>
      </c>
      <c r="L29" s="100" t="n">
        <f aca="false">'5.3 Cost Build - Productive'!L130</f>
        <v>814380.431080838</v>
      </c>
      <c r="M29" s="100" t="n">
        <f aca="false">'5.3 Cost Build - Productive'!M130</f>
        <v>1168019.25776554</v>
      </c>
      <c r="N29" s="100" t="n">
        <f aca="false">'5.3 Cost Build - Productive'!N130</f>
        <v>1251339.05110874</v>
      </c>
      <c r="O29" s="100" t="n">
        <f aca="false">'5.3 Cost Build - Productive'!O130</f>
        <v>1338590.57195517</v>
      </c>
      <c r="P29" s="100" t="n">
        <f aca="false">'5.3 Cost Build - Productive'!P130</f>
        <v>1429948.63821446</v>
      </c>
      <c r="Q29" s="100" t="n">
        <f aca="false">'5.3 Cost Build - Productive'!Q130</f>
        <v>1525596.14262787</v>
      </c>
      <c r="R29" s="100" t="n">
        <f aca="false">'5.3 Cost Build - Productive'!R130</f>
        <v>1510306.8812247</v>
      </c>
      <c r="S29" s="100" t="n">
        <f aca="false">'5.3 Cost Build - Productive'!S130</f>
        <v>1550479.53104974</v>
      </c>
      <c r="T29" s="100" t="n">
        <f aca="false">'5.3 Cost Build - Productive'!T130</f>
        <v>1591777.24601012</v>
      </c>
      <c r="U29" s="100" t="n">
        <f aca="false">'5.3 Cost Build - Productive'!U130</f>
        <v>1634234.19017872</v>
      </c>
      <c r="V29" s="100" t="n">
        <f aca="false">'5.3 Cost Build - Productive'!V130</f>
        <v>1677885.68360245</v>
      </c>
      <c r="W29" s="100" t="n">
        <f aca="false">'5.3 Cost Build - Productive'!W130</f>
        <v>1722768.24629524</v>
      </c>
      <c r="X29" s="100" t="n">
        <f aca="false">'5.3 Cost Build - Productive'!X130</f>
        <v>1768919.64408548</v>
      </c>
      <c r="Y29" s="100" t="n">
        <f aca="false">'5.3 Cost Build - Productive'!Y130</f>
        <v>1816378.93640213</v>
      </c>
      <c r="Z29" s="100" t="n">
        <f aca="false">'5.3 Cost Build - Productive'!Z130</f>
        <v>1865186.52608741</v>
      </c>
      <c r="AA29" s="100" t="n">
        <f aca="false">'5.3 Cost Build - Productive'!AA130</f>
        <v>1915384.21132859</v>
      </c>
      <c r="AB29" s="100" t="n">
        <f aca="false">'5.3 Cost Build - Productive'!AB130</f>
        <v>1967015.23980525</v>
      </c>
      <c r="AC29" s="100" t="n">
        <f aca="false">'5.3 Cost Build - Productive'!AC130</f>
        <v>2020124.36515349</v>
      </c>
      <c r="AD29" s="100" t="n">
        <f aca="false">'5.3 Cost Build - Productive'!AD130</f>
        <v>2074757.9058531</v>
      </c>
      <c r="AE29" s="100" t="n">
        <f aca="false">'5.3 Cost Build - Productive'!AE130</f>
        <v>2130963.80664874</v>
      </c>
      <c r="AF29" s="100" t="n">
        <f aca="false">'5.3 Cost Build - Productive'!AF130</f>
        <v>2188791.70262173</v>
      </c>
      <c r="AG29" s="100" t="n">
        <f aca="false">'5.3 Cost Build - Productive'!AG130</f>
        <v>2248292.98603439</v>
      </c>
      <c r="AH29" s="100" t="n">
        <f aca="false">'5.3 Cost Build - Productive'!AH130</f>
        <v>2309520.87607471</v>
      </c>
      <c r="AI29" s="100" t="n">
        <f aca="false">'5.3 Cost Build - Productive'!AI130</f>
        <v>2372530.49163552</v>
      </c>
      <c r="AJ29" s="100" t="n">
        <f aca="false">'5.3 Cost Build - Productive'!AJ130</f>
        <v>2437378.9272683</v>
      </c>
      <c r="AK29" s="100" t="n">
        <f aca="false">'5.3 Cost Build - Productive'!AK130</f>
        <v>2504125.33245899</v>
      </c>
      <c r="AL29" s="100" t="n">
        <f aca="false">'5.3 Cost Build - Productive'!AL130</f>
        <v>2572830.9943799</v>
      </c>
    </row>
    <row r="30" s="100" customFormat="true" ht="15" hidden="false" customHeight="false" outlineLevel="0" collapsed="false">
      <c r="A30" s="1"/>
      <c r="B30" s="1"/>
      <c r="C30" s="109" t="str">
        <f aca="false">'5.3 Cost Build - Productive'!C131</f>
        <v>Productive Activities' Overhead</v>
      </c>
      <c r="D30" s="25" t="s">
        <v>112</v>
      </c>
      <c r="E30" s="111"/>
      <c r="F30" s="22" t="n">
        <f aca="false">SUM(H30:AL30)</f>
        <v>57052659.9447363</v>
      </c>
      <c r="H30" s="100" t="n">
        <f aca="false">'5.3 Cost Build - Productive'!H131</f>
        <v>22740</v>
      </c>
      <c r="I30" s="22" t="n">
        <f aca="false">'5.3 Cost Build - Productive'!I131</f>
        <v>181609.8</v>
      </c>
      <c r="J30" s="100" t="n">
        <f aca="false">'5.3 Cost Build - Productive'!J131</f>
        <v>392907.975</v>
      </c>
      <c r="K30" s="100" t="n">
        <f aca="false">'5.3 Cost Build - Productive'!K131</f>
        <v>568939.18623</v>
      </c>
      <c r="L30" s="100" t="n">
        <f aca="false">'5.3 Cost Build - Productive'!L131</f>
        <v>762870.1186887</v>
      </c>
      <c r="M30" s="100" t="n">
        <f aca="false">'5.3 Cost Build - Productive'!M131</f>
        <v>959745.176116116</v>
      </c>
      <c r="N30" s="100" t="n">
        <f aca="false">'5.3 Cost Build - Productive'!N131</f>
        <v>1163276.4725114</v>
      </c>
      <c r="O30" s="100" t="n">
        <f aca="false">'5.3 Cost Build - Productive'!O131</f>
        <v>1373376.78503258</v>
      </c>
      <c r="P30" s="100" t="n">
        <f aca="false">'5.3 Cost Build - Productive'!P131</f>
        <v>1591400.3272732</v>
      </c>
      <c r="Q30" s="100" t="n">
        <f aca="false">'5.3 Cost Build - Productive'!Q131</f>
        <v>1817581.25468743</v>
      </c>
      <c r="R30" s="100" t="n">
        <f aca="false">'5.3 Cost Build - Productive'!R131</f>
        <v>1856950.21655725</v>
      </c>
      <c r="S30" s="100" t="n">
        <f aca="false">'5.3 Cost Build - Productive'!S131</f>
        <v>1895115.42450326</v>
      </c>
      <c r="T30" s="100" t="n">
        <f aca="false">'5.3 Cost Build - Productive'!T131</f>
        <v>1934095.24678894</v>
      </c>
      <c r="U30" s="100" t="n">
        <f aca="false">'5.3 Cost Build - Productive'!U131</f>
        <v>1973908.54121011</v>
      </c>
      <c r="V30" s="100" t="n">
        <f aca="false">'5.3 Cost Build - Productive'!V131</f>
        <v>2014574.67099398</v>
      </c>
      <c r="W30" s="100" t="n">
        <f aca="false">'5.3 Cost Build - Productive'!W131</f>
        <v>2056113.52132151</v>
      </c>
      <c r="X30" s="100" t="n">
        <f aca="false">'5.3 Cost Build - Productive'!X131</f>
        <v>2098545.51650097</v>
      </c>
      <c r="Y30" s="100" t="n">
        <f aca="false">'5.3 Cost Build - Productive'!Y131</f>
        <v>2141891.63782167</v>
      </c>
      <c r="Z30" s="100" t="n">
        <f aca="false">'5.3 Cost Build - Productive'!Z131</f>
        <v>2186173.44211831</v>
      </c>
      <c r="AA30" s="100" t="n">
        <f aca="false">'5.3 Cost Build - Productive'!AA131</f>
        <v>2231413.08107791</v>
      </c>
      <c r="AB30" s="100" t="n">
        <f aca="false">'5.3 Cost Build - Productive'!AB131</f>
        <v>2277633.32132255</v>
      </c>
      <c r="AC30" s="100" t="n">
        <f aca="false">'5.3 Cost Build - Productive'!AC131</f>
        <v>2324857.56530324</v>
      </c>
      <c r="AD30" s="100" t="n">
        <f aca="false">'5.3 Cost Build - Productive'!AD131</f>
        <v>2373109.87304126</v>
      </c>
      <c r="AE30" s="100" t="n">
        <f aca="false">'5.3 Cost Build - Productive'!AE131</f>
        <v>2422414.98475564</v>
      </c>
      <c r="AF30" s="100" t="n">
        <f aca="false">'5.3 Cost Build - Productive'!AF131</f>
        <v>2472798.34441698</v>
      </c>
      <c r="AG30" s="100" t="n">
        <f aca="false">'5.3 Cost Build - Productive'!AG131</f>
        <v>2524286.12426986</v>
      </c>
      <c r="AH30" s="100" t="n">
        <f aca="false">'5.3 Cost Build - Productive'!AH131</f>
        <v>2576905.25036802</v>
      </c>
      <c r="AI30" s="100" t="n">
        <f aca="false">'5.3 Cost Build - Productive'!AI131</f>
        <v>2630683.42916879</v>
      </c>
      <c r="AJ30" s="100" t="n">
        <f aca="false">'5.3 Cost Build - Productive'!AJ131</f>
        <v>2685649.17523523</v>
      </c>
      <c r="AK30" s="100" t="n">
        <f aca="false">'5.3 Cost Build - Productive'!AK131</f>
        <v>2741831.84009717</v>
      </c>
      <c r="AL30" s="100" t="n">
        <f aca="false">'5.3 Cost Build - Productive'!AL131</f>
        <v>2799261.6423242</v>
      </c>
    </row>
    <row r="31" s="100" customFormat="true" ht="15" hidden="false" customHeight="false" outlineLevel="0" collapsed="false">
      <c r="A31" s="1"/>
      <c r="B31" s="1"/>
      <c r="C31" s="109" t="str">
        <f aca="false">'5.2 Cost Build - ARR'!C144</f>
        <v>Office Equipment &amp; Vehicles</v>
      </c>
      <c r="D31" s="25" t="s">
        <v>112</v>
      </c>
      <c r="E31" s="111"/>
      <c r="F31" s="22" t="n">
        <f aca="false">SUM(H31:AL31)</f>
        <v>11525666.6455184</v>
      </c>
      <c r="H31" s="100" t="n">
        <f aca="false">'5.3 Cost Build - Productive'!H136</f>
        <v>206162</v>
      </c>
      <c r="I31" s="100" t="n">
        <f aca="false">'5.3 Cost Build - Productive'!I136</f>
        <v>196747.2</v>
      </c>
      <c r="J31" s="100" t="n">
        <f aca="false">'5.3 Cost Build - Productive'!J136</f>
        <v>219663.225</v>
      </c>
      <c r="K31" s="100" t="n">
        <f aca="false">'5.3 Cost Build - Productive'!K136</f>
        <v>212068.125</v>
      </c>
      <c r="L31" s="100" t="n">
        <f aca="false">'5.3 Cost Build - Productive'!L136</f>
        <v>231569.439165</v>
      </c>
      <c r="M31" s="100" t="n">
        <f aca="false">'5.3 Cost Build - Productive'!M136</f>
        <v>228763.6800273</v>
      </c>
      <c r="N31" s="100" t="n">
        <f aca="false">'5.3 Cost Build - Productive'!N136</f>
        <v>243915.524461915</v>
      </c>
      <c r="O31" s="100" t="n">
        <f aca="false">'5.3 Cost Build - Productive'!O136</f>
        <v>252214.777498715</v>
      </c>
      <c r="P31" s="100" t="n">
        <f aca="false">'5.3 Cost Build - Productive'!P136</f>
        <v>262189.282766396</v>
      </c>
      <c r="Q31" s="100" t="n">
        <f aca="false">'5.3 Cost Build - Productive'!Q136</f>
        <v>272609.788625315</v>
      </c>
      <c r="R31" s="100" t="n">
        <f aca="false">'5.3 Cost Build - Productive'!R136</f>
        <v>283497.540611593</v>
      </c>
      <c r="S31" s="100" t="n">
        <f aca="false">'5.3 Cost Build - Productive'!S136</f>
        <v>294874.825448285</v>
      </c>
      <c r="T31" s="100" t="n">
        <f aca="false">'5.3 Cost Build - Productive'!T136</f>
        <v>306765.022682933</v>
      </c>
      <c r="U31" s="100" t="n">
        <f aca="false">'5.3 Cost Build - Productive'!U136</f>
        <v>319192.658898559</v>
      </c>
      <c r="V31" s="100" t="n">
        <f aca="false">'5.3 Cost Build - Productive'!V136</f>
        <v>332183.464626595</v>
      </c>
      <c r="W31" s="100" t="n">
        <f aca="false">'5.3 Cost Build - Productive'!W136</f>
        <v>345764.434096696</v>
      </c>
      <c r="X31" s="100" t="n">
        <f aca="false">'5.3 Cost Build - Productive'!X136</f>
        <v>359963.887965077</v>
      </c>
      <c r="Y31" s="100" t="n">
        <f aca="false">'5.3 Cost Build - Productive'!Y136</f>
        <v>374811.539170147</v>
      </c>
      <c r="Z31" s="100" t="n">
        <f aca="false">'5.3 Cost Build - Productive'!Z136</f>
        <v>390338.562071608</v>
      </c>
      <c r="AA31" s="100" t="n">
        <f aca="false">'5.3 Cost Build - Productive'!AA136</f>
        <v>406577.665037001</v>
      </c>
      <c r="AB31" s="100" t="n">
        <f aca="false">'5.3 Cost Build - Productive'!AB136</f>
        <v>423563.1666479</v>
      </c>
      <c r="AC31" s="100" t="n">
        <f aca="false">'5.3 Cost Build - Productive'!AC136</f>
        <v>441331.075706524</v>
      </c>
      <c r="AD31" s="100" t="n">
        <f aca="false">'5.3 Cost Build - Productive'!AD136</f>
        <v>459919.175232605</v>
      </c>
      <c r="AE31" s="100" t="n">
        <f aca="false">'5.3 Cost Build - Productive'!AE136</f>
        <v>479367.110649805</v>
      </c>
      <c r="AF31" s="100" t="n">
        <f aca="false">'5.3 Cost Build - Productive'!AF136</f>
        <v>499716.482370976</v>
      </c>
      <c r="AG31" s="100" t="n">
        <f aca="false">'5.3 Cost Build - Productive'!AG136</f>
        <v>521010.943001979</v>
      </c>
      <c r="AH31" s="100" t="n">
        <f aca="false">'5.3 Cost Build - Productive'!AH136</f>
        <v>543296.299394781</v>
      </c>
      <c r="AI31" s="100" t="n">
        <f aca="false">'5.3 Cost Build - Productive'!AI136</f>
        <v>566620.619792078</v>
      </c>
      <c r="AJ31" s="100" t="n">
        <f aca="false">'5.3 Cost Build - Productive'!AJ136</f>
        <v>591034.34631779</v>
      </c>
      <c r="AK31" s="100" t="n">
        <f aca="false">'5.3 Cost Build - Productive'!AK136</f>
        <v>616590.413080511</v>
      </c>
      <c r="AL31" s="100" t="n">
        <f aca="false">'5.3 Cost Build - Productive'!AL136</f>
        <v>643344.370170304</v>
      </c>
    </row>
    <row r="32" s="100" customFormat="true" ht="15" hidden="false" customHeight="false" outlineLevel="0" collapsed="false">
      <c r="A32" s="1"/>
      <c r="B32" s="1"/>
      <c r="C32" s="19" t="s">
        <v>154</v>
      </c>
      <c r="D32" s="25" t="s">
        <v>112</v>
      </c>
      <c r="E32" s="111"/>
      <c r="F32" s="22" t="n">
        <f aca="false">SUM(H32:AL32)</f>
        <v>9306349.94853556</v>
      </c>
      <c r="H32" s="100" t="n">
        <f aca="false">-'7.CFS'!H13</f>
        <v>-5589.04109589041</v>
      </c>
      <c r="I32" s="100" t="n">
        <f aca="false">-'7.CFS'!I13</f>
        <v>105077.164811644</v>
      </c>
      <c r="J32" s="100" t="n">
        <f aca="false">-'7.CFS'!J13</f>
        <v>1457551.44974743</v>
      </c>
      <c r="K32" s="100" t="n">
        <f aca="false">-'7.CFS'!K13</f>
        <v>1295934.90102529</v>
      </c>
      <c r="L32" s="100" t="n">
        <f aca="false">-'7.CFS'!L13</f>
        <v>398588.240042413</v>
      </c>
      <c r="M32" s="100" t="n">
        <f aca="false">-'7.CFS'!M13</f>
        <v>1648233.39862741</v>
      </c>
      <c r="N32" s="100" t="n">
        <f aca="false">-'7.CFS'!N13</f>
        <v>150754.387126002</v>
      </c>
      <c r="O32" s="100" t="n">
        <f aca="false">-'7.CFS'!O13</f>
        <v>155229.487081456</v>
      </c>
      <c r="P32" s="100" t="n">
        <f aca="false">-'7.CFS'!P13</f>
        <v>170311.639495422</v>
      </c>
      <c r="Q32" s="100" t="n">
        <f aca="false">-'7.CFS'!Q13</f>
        <v>164781.502570064</v>
      </c>
      <c r="R32" s="100" t="n">
        <f aca="false">-'7.CFS'!R13</f>
        <v>138521.82823578</v>
      </c>
      <c r="S32" s="100" t="n">
        <f aca="false">-'7.CFS'!S13</f>
        <v>141984.873941676</v>
      </c>
      <c r="T32" s="100" t="n">
        <f aca="false">-'7.CFS'!T13</f>
        <v>145534.495790217</v>
      </c>
      <c r="U32" s="100" t="n">
        <f aca="false">-'7.CFS'!U13</f>
        <v>149172.858184972</v>
      </c>
      <c r="V32" s="100" t="n">
        <f aca="false">-'7.CFS'!V13</f>
        <v>152902.179639598</v>
      </c>
      <c r="W32" s="100" t="n">
        <f aca="false">-'7.CFS'!W13</f>
        <v>156724.734130587</v>
      </c>
      <c r="X32" s="100" t="n">
        <f aca="false">-'7.CFS'!X13</f>
        <v>160642.85248385</v>
      </c>
      <c r="Y32" s="100" t="n">
        <f aca="false">-'7.CFS'!Y13</f>
        <v>164658.92379595</v>
      </c>
      <c r="Z32" s="100" t="n">
        <f aca="false">-'7.CFS'!Z13</f>
        <v>168775.396890848</v>
      </c>
      <c r="AA32" s="100" t="n">
        <f aca="false">-'7.CFS'!AA13</f>
        <v>172994.781813115</v>
      </c>
      <c r="AB32" s="100" t="n">
        <f aca="false">-'7.CFS'!AB13</f>
        <v>177319.651358446</v>
      </c>
      <c r="AC32" s="100" t="n">
        <f aca="false">-'7.CFS'!AC13</f>
        <v>181752.642642406</v>
      </c>
      <c r="AD32" s="100" t="n">
        <f aca="false">-'7.CFS'!AD13</f>
        <v>186296.458708469</v>
      </c>
      <c r="AE32" s="100" t="n">
        <f aca="false">-'7.CFS'!AE13</f>
        <v>190953.870176178</v>
      </c>
      <c r="AF32" s="100" t="n">
        <f aca="false">-'7.CFS'!AF13</f>
        <v>195727.71693058</v>
      </c>
      <c r="AG32" s="100" t="n">
        <f aca="false">-'7.CFS'!AG13</f>
        <v>200620.909853849</v>
      </c>
      <c r="AH32" s="100" t="n">
        <f aca="false">-'7.CFS'!AH13</f>
        <v>205636.432600192</v>
      </c>
      <c r="AI32" s="100" t="n">
        <f aca="false">-'7.CFS'!AI13</f>
        <v>210777.343415197</v>
      </c>
      <c r="AJ32" s="100" t="n">
        <f aca="false">-'7.CFS'!AJ13</f>
        <v>216046.777000582</v>
      </c>
      <c r="AK32" s="100" t="n">
        <f aca="false">-'7.CFS'!AK13</f>
        <v>221447.946425591</v>
      </c>
      <c r="AL32" s="100" t="n">
        <f aca="false">-'7.CFS'!AL13</f>
        <v>226984.145086236</v>
      </c>
    </row>
    <row r="33" s="100" customFormat="true" ht="15" hidden="false" customHeight="false" outlineLevel="0" collapsed="false">
      <c r="A33" s="1"/>
      <c r="B33" s="1"/>
      <c r="C33" s="101" t="s">
        <v>193</v>
      </c>
      <c r="D33" s="25" t="s">
        <v>112</v>
      </c>
      <c r="E33" s="1"/>
      <c r="F33" s="22" t="n">
        <f aca="false">SUM(H33:AL33)</f>
        <v>0</v>
      </c>
      <c r="G33" s="103"/>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row>
    <row r="34" s="100" customFormat="true" ht="15" hidden="false" customHeight="false" outlineLevel="0" collapsed="false">
      <c r="A34" s="1"/>
      <c r="B34" s="1"/>
      <c r="C34" s="101" t="s">
        <v>194</v>
      </c>
      <c r="D34" s="25" t="s">
        <v>112</v>
      </c>
      <c r="E34" s="1"/>
      <c r="F34" s="22" t="n">
        <f aca="false">SUM(H34:AL34)</f>
        <v>0</v>
      </c>
      <c r="G34" s="103"/>
      <c r="H34" s="11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row>
    <row r="35" s="100" customFormat="true" ht="15" hidden="false" customHeight="false" outlineLevel="0" collapsed="false">
      <c r="A35" s="1"/>
      <c r="B35" s="1"/>
      <c r="C35" s="101" t="s">
        <v>195</v>
      </c>
      <c r="D35" s="25" t="s">
        <v>112</v>
      </c>
      <c r="E35" s="110"/>
      <c r="F35" s="22" t="n">
        <f aca="false">SUM(H35:AL35)</f>
        <v>0</v>
      </c>
      <c r="G35" s="113"/>
      <c r="H35" s="11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row>
    <row r="36" s="107" customFormat="true" ht="15" hidden="false" customHeight="false" outlineLevel="0" collapsed="false">
      <c r="A36" s="8"/>
      <c r="B36" s="8"/>
      <c r="C36" s="104" t="s">
        <v>156</v>
      </c>
      <c r="D36" s="105"/>
      <c r="E36" s="114"/>
      <c r="F36" s="115" t="n">
        <f aca="false">SUM(F17:F35)</f>
        <v>214149261.122415</v>
      </c>
      <c r="H36" s="106" t="n">
        <f aca="false">SUM(H17:H35)</f>
        <v>2630731.11000488</v>
      </c>
      <c r="I36" s="106" t="n">
        <f aca="false">SUM(I17:I35)</f>
        <v>4643495.98017955</v>
      </c>
      <c r="J36" s="106" t="n">
        <f aca="false">SUM(J17:J35)</f>
        <v>6232109.08749133</v>
      </c>
      <c r="K36" s="106" t="n">
        <f aca="false">SUM(K17:K35)</f>
        <v>7011068.74160305</v>
      </c>
      <c r="L36" s="106" t="n">
        <f aca="false">SUM(L17:L35)</f>
        <v>6855044.44094493</v>
      </c>
      <c r="M36" s="106" t="n">
        <f aca="false">SUM(M17:M35)</f>
        <v>8813447.8287001</v>
      </c>
      <c r="N36" s="106" t="n">
        <f aca="false">SUM(N17:N35)</f>
        <v>7888458.5625437</v>
      </c>
      <c r="O36" s="106" t="n">
        <f aca="false">SUM(O17:O35)</f>
        <v>8387222.42232022</v>
      </c>
      <c r="P36" s="106" t="n">
        <f aca="false">SUM(P17:P35)</f>
        <v>7304534.94305943</v>
      </c>
      <c r="Q36" s="106" t="n">
        <f aca="false">SUM(Q17:Q35)</f>
        <v>6986815.44600669</v>
      </c>
      <c r="R36" s="106" t="n">
        <f aca="false">SUM(R17:R35)</f>
        <v>5764503.03924262</v>
      </c>
      <c r="S36" s="106" t="n">
        <f aca="false">SUM(S17:S35)</f>
        <v>5751549.89292303</v>
      </c>
      <c r="T36" s="106" t="n">
        <f aca="false">SUM(T17:T35)</f>
        <v>5689238.9122516</v>
      </c>
      <c r="U36" s="106" t="n">
        <f aca="false">SUM(U17:U35)</f>
        <v>5871525.17737053</v>
      </c>
      <c r="V36" s="106" t="n">
        <f aca="false">SUM(V17:V35)</f>
        <v>5966452.15423491</v>
      </c>
      <c r="W36" s="106" t="n">
        <f aca="false">SUM(W17:W35)</f>
        <v>6135621.13245308</v>
      </c>
      <c r="X36" s="106" t="n">
        <f aca="false">SUM(X17:X35)</f>
        <v>6258855.01221634</v>
      </c>
      <c r="Y36" s="106" t="n">
        <f aca="false">SUM(Y17:Y35)</f>
        <v>6436988.34623017</v>
      </c>
      <c r="Z36" s="106" t="n">
        <f aca="false">SUM(Z17:Z35)</f>
        <v>6567426.3507535</v>
      </c>
      <c r="AA36" s="106" t="n">
        <f aca="false">SUM(AA17:AA35)</f>
        <v>6779364.188523</v>
      </c>
      <c r="AB36" s="106" t="n">
        <f aca="false">SUM(AB17:AB35)</f>
        <v>6893219.79700299</v>
      </c>
      <c r="AC36" s="106" t="n">
        <f aca="false">SUM(AC17:AC35)</f>
        <v>7090996.54694312</v>
      </c>
      <c r="AD36" s="106" t="n">
        <f aca="false">SUM(AD17:AD35)</f>
        <v>7237370.25858486</v>
      </c>
      <c r="AE36" s="106" t="n">
        <f aca="false">SUM(AE17:AE35)</f>
        <v>7445912.48524118</v>
      </c>
      <c r="AF36" s="106" t="n">
        <f aca="false">SUM(AF17:AF35)</f>
        <v>7601101.057576</v>
      </c>
      <c r="AG36" s="106" t="n">
        <f aca="false">SUM(AG17:AG35)</f>
        <v>7848447.72116314</v>
      </c>
      <c r="AH36" s="106" t="n">
        <f aca="false">SUM(AH17:AH35)</f>
        <v>7985731.74139951</v>
      </c>
      <c r="AI36" s="106" t="n">
        <f aca="false">SUM(AI17:AI35)</f>
        <v>8217937.1776039</v>
      </c>
      <c r="AJ36" s="106" t="n">
        <f aca="false">SUM(AJ17:AJ35)</f>
        <v>8392686.63749411</v>
      </c>
      <c r="AK36" s="106" t="n">
        <f aca="false">SUM(AK17:AK35)</f>
        <v>8637900.70496638</v>
      </c>
      <c r="AL36" s="106" t="n">
        <f aca="false">SUM(AL17:AL35)</f>
        <v>8823504.2253876</v>
      </c>
    </row>
    <row r="37" s="100" customFormat="true" ht="15" hidden="false" customHeight="false" outlineLevel="0" collapsed="false">
      <c r="A37" s="1"/>
      <c r="B37" s="1"/>
      <c r="C37" s="1"/>
      <c r="D37" s="25"/>
      <c r="F37" s="95"/>
      <c r="G37" s="1"/>
    </row>
    <row r="38" s="8" customFormat="true" ht="15" hidden="false" customHeight="false" outlineLevel="0" collapsed="false">
      <c r="C38" s="64" t="s">
        <v>157</v>
      </c>
      <c r="D38" s="25" t="s">
        <v>112</v>
      </c>
      <c r="F38" s="22" t="n">
        <f aca="false">SUM(H38:AL38)</f>
        <v>672529652.632304</v>
      </c>
      <c r="H38" s="100" t="n">
        <f aca="false">H14-H36</f>
        <v>369268.889995119</v>
      </c>
      <c r="I38" s="100" t="n">
        <f aca="false">I14-I36</f>
        <v>-2002982.44892955</v>
      </c>
      <c r="J38" s="100" t="n">
        <f aca="false">J14-J36</f>
        <v>2648977.50500867</v>
      </c>
      <c r="K38" s="100" t="n">
        <f aca="false">K14-K36</f>
        <v>4816162.88791992</v>
      </c>
      <c r="L38" s="100" t="n">
        <f aca="false">L14-L36</f>
        <v>6262457.03226219</v>
      </c>
      <c r="M38" s="100" t="n">
        <f aca="false">M14-M36</f>
        <v>10820896.6773628</v>
      </c>
      <c r="N38" s="100" t="n">
        <f aca="false">N14-N36</f>
        <v>13111985.3119425</v>
      </c>
      <c r="O38" s="100" t="n">
        <f aca="false">O14-O36</f>
        <v>13387120.0827607</v>
      </c>
      <c r="P38" s="100" t="n">
        <f aca="false">P14-P36</f>
        <v>14766837.728841</v>
      </c>
      <c r="Q38" s="100" t="n">
        <f aca="false">Q14-Q36</f>
        <v>19641215.7569126</v>
      </c>
      <c r="R38" s="100" t="n">
        <f aca="false">R14-R36</f>
        <v>21510592.6702346</v>
      </c>
      <c r="S38" s="100" t="n">
        <f aca="false">S14-S36</f>
        <v>22186414.2103057</v>
      </c>
      <c r="T38" s="100" t="n">
        <f aca="false">T14-T36</f>
        <v>22927785.1145927</v>
      </c>
      <c r="U38" s="100" t="n">
        <f aca="false">U14-U36</f>
        <v>23441147.4876005</v>
      </c>
      <c r="V38" s="100" t="n">
        <f aca="false">V14-V36</f>
        <v>24058864.8255651</v>
      </c>
      <c r="W38" s="100" t="n">
        <f aca="false">W14-W36</f>
        <v>24619752.8200107</v>
      </c>
      <c r="X38" s="100" t="n">
        <f aca="false">X14-X36</f>
        <v>25244415.8181912</v>
      </c>
      <c r="Y38" s="100" t="n">
        <f aca="false">Y14-Y36</f>
        <v>25832457.0346524</v>
      </c>
      <c r="Z38" s="100" t="n">
        <f aca="false">Z14-Z36</f>
        <v>26486919.7999603</v>
      </c>
      <c r="AA38" s="100" t="n">
        <f aca="false">AA14-AA36</f>
        <v>27079068.5439739</v>
      </c>
      <c r="AB38" s="100" t="n">
        <f aca="false">AB14-AB36</f>
        <v>27788956.2403819</v>
      </c>
      <c r="AC38" s="100" t="n">
        <f aca="false">AC14-AC36</f>
        <v>28435062.0276835</v>
      </c>
      <c r="AD38" s="100" t="n">
        <f aca="false">AD14-AD36</f>
        <v>29153204.4794407</v>
      </c>
      <c r="AE38" s="100" t="n">
        <f aca="false">AE14-AE36</f>
        <v>29830318.6142489</v>
      </c>
      <c r="AF38" s="100" t="n">
        <f aca="false">AF14-AF36</f>
        <v>30582445.6522756</v>
      </c>
      <c r="AG38" s="100" t="n">
        <f aca="false">AG14-AG36</f>
        <v>31264605.6859664</v>
      </c>
      <c r="AH38" s="100" t="n">
        <f aca="false">AH14-AH36</f>
        <v>32079564.3910306</v>
      </c>
      <c r="AI38" s="100" t="n">
        <f aca="false">AI14-AI36</f>
        <v>32822896.0760617</v>
      </c>
      <c r="AJ38" s="100" t="n">
        <f aca="false">AJ14-AJ36</f>
        <v>33647550.2597964</v>
      </c>
      <c r="AK38" s="100" t="n">
        <f aca="false">AK14-AK36</f>
        <v>34426192.5832853</v>
      </c>
      <c r="AL38" s="100" t="n">
        <f aca="false">AL14-AL36</f>
        <v>35289498.8729699</v>
      </c>
    </row>
    <row r="39" customFormat="false" ht="15" hidden="false" customHeight="false" outlineLevel="0" collapsed="false">
      <c r="C39" s="65" t="s">
        <v>158</v>
      </c>
      <c r="D39" s="116" t="s">
        <v>112</v>
      </c>
      <c r="H39" s="100" t="n">
        <f aca="false">G40</f>
        <v>0</v>
      </c>
      <c r="I39" s="100" t="n">
        <f aca="false">H40</f>
        <v>369268.889995119</v>
      </c>
      <c r="J39" s="100" t="n">
        <f aca="false">I40</f>
        <v>-1633713.55893443</v>
      </c>
      <c r="K39" s="100" t="n">
        <f aca="false">J40</f>
        <v>1015263.94607424</v>
      </c>
      <c r="L39" s="100" t="n">
        <f aca="false">K40</f>
        <v>5831426.83399416</v>
      </c>
      <c r="M39" s="100" t="n">
        <f aca="false">L40</f>
        <v>12093883.8662563</v>
      </c>
      <c r="N39" s="100" t="n">
        <f aca="false">M40</f>
        <v>22914780.5436192</v>
      </c>
      <c r="O39" s="100" t="n">
        <f aca="false">N40</f>
        <v>36026765.8555616</v>
      </c>
      <c r="P39" s="100" t="n">
        <f aca="false">O40</f>
        <v>49413885.9383224</v>
      </c>
      <c r="Q39" s="100" t="n">
        <f aca="false">P40</f>
        <v>64180723.6671634</v>
      </c>
      <c r="R39" s="100" t="n">
        <f aca="false">Q40</f>
        <v>83821939.424076</v>
      </c>
      <c r="S39" s="100" t="n">
        <f aca="false">R40</f>
        <v>105332532.094311</v>
      </c>
      <c r="T39" s="100" t="n">
        <f aca="false">S40</f>
        <v>127518946.304616</v>
      </c>
      <c r="U39" s="100" t="n">
        <f aca="false">T40</f>
        <v>150446731.419209</v>
      </c>
      <c r="V39" s="100" t="n">
        <f aca="false">U40</f>
        <v>173887878.90681</v>
      </c>
      <c r="W39" s="100" t="n">
        <f aca="false">V40</f>
        <v>197946743.732375</v>
      </c>
      <c r="X39" s="100" t="n">
        <f aca="false">W40</f>
        <v>222566496.552385</v>
      </c>
      <c r="Y39" s="100" t="n">
        <f aca="false">X40</f>
        <v>247810912.370577</v>
      </c>
      <c r="Z39" s="100" t="n">
        <f aca="false">Y40</f>
        <v>273643369.405229</v>
      </c>
      <c r="AA39" s="100" t="n">
        <f aca="false">Z40</f>
        <v>300130289.205189</v>
      </c>
      <c r="AB39" s="100" t="n">
        <f aca="false">AA40</f>
        <v>327209357.749163</v>
      </c>
      <c r="AC39" s="100" t="n">
        <f aca="false">AB40</f>
        <v>354998313.989545</v>
      </c>
      <c r="AD39" s="100" t="n">
        <f aca="false">AC40</f>
        <v>383433376.017229</v>
      </c>
      <c r="AE39" s="100" t="n">
        <f aca="false">AD40</f>
        <v>412586580.496669</v>
      </c>
      <c r="AF39" s="100" t="n">
        <f aca="false">AE40</f>
        <v>442416899.110918</v>
      </c>
      <c r="AG39" s="100" t="n">
        <f aca="false">AF40</f>
        <v>472999344.763194</v>
      </c>
      <c r="AH39" s="100" t="n">
        <f aca="false">AG40</f>
        <v>504263950.44916</v>
      </c>
      <c r="AI39" s="100" t="n">
        <f aca="false">AH40</f>
        <v>536343514.840191</v>
      </c>
      <c r="AJ39" s="100" t="n">
        <f aca="false">AI40</f>
        <v>569166410.916253</v>
      </c>
      <c r="AK39" s="100" t="n">
        <f aca="false">AJ40</f>
        <v>602813961.176049</v>
      </c>
      <c r="AL39" s="100" t="n">
        <f aca="false">AK40</f>
        <v>637240153.759334</v>
      </c>
    </row>
    <row r="40" s="8" customFormat="true" ht="15" hidden="false" customHeight="false" outlineLevel="0" collapsed="false">
      <c r="C40" s="68" t="s">
        <v>159</v>
      </c>
      <c r="D40" s="25" t="s">
        <v>112</v>
      </c>
      <c r="E40" s="68"/>
      <c r="F40" s="68"/>
      <c r="G40" s="117" t="n">
        <v>0</v>
      </c>
      <c r="H40" s="106" t="n">
        <f aca="false">H38+H39</f>
        <v>369268.889995119</v>
      </c>
      <c r="I40" s="106" t="n">
        <f aca="false">I38+I39</f>
        <v>-1633713.55893443</v>
      </c>
      <c r="J40" s="106" t="n">
        <f aca="false">J38+J39</f>
        <v>1015263.94607424</v>
      </c>
      <c r="K40" s="106" t="n">
        <f aca="false">K38+K39</f>
        <v>5831426.83399416</v>
      </c>
      <c r="L40" s="106" t="n">
        <f aca="false">L38+L39</f>
        <v>12093883.8662563</v>
      </c>
      <c r="M40" s="106" t="n">
        <f aca="false">M38+M39</f>
        <v>22914780.5436192</v>
      </c>
      <c r="N40" s="106" t="n">
        <f aca="false">N38+N39</f>
        <v>36026765.8555616</v>
      </c>
      <c r="O40" s="106" t="n">
        <f aca="false">O38+O39</f>
        <v>49413885.9383224</v>
      </c>
      <c r="P40" s="106" t="n">
        <f aca="false">P38+P39</f>
        <v>64180723.6671634</v>
      </c>
      <c r="Q40" s="106" t="n">
        <f aca="false">Q38+Q39</f>
        <v>83821939.424076</v>
      </c>
      <c r="R40" s="106" t="n">
        <f aca="false">R38+R39</f>
        <v>105332532.094311</v>
      </c>
      <c r="S40" s="106" t="n">
        <f aca="false">S38+S39</f>
        <v>127518946.304616</v>
      </c>
      <c r="T40" s="106" t="n">
        <f aca="false">T38+T39</f>
        <v>150446731.419209</v>
      </c>
      <c r="U40" s="106" t="n">
        <f aca="false">U38+U39</f>
        <v>173887878.90681</v>
      </c>
      <c r="V40" s="106" t="n">
        <f aca="false">V38+V39</f>
        <v>197946743.732375</v>
      </c>
      <c r="W40" s="106" t="n">
        <f aca="false">W38+W39</f>
        <v>222566496.552385</v>
      </c>
      <c r="X40" s="106" t="n">
        <f aca="false">X38+X39</f>
        <v>247810912.370577</v>
      </c>
      <c r="Y40" s="106" t="n">
        <f aca="false">Y38+Y39</f>
        <v>273643369.405229</v>
      </c>
      <c r="Z40" s="106" t="n">
        <f aca="false">Z38+Z39</f>
        <v>300130289.205189</v>
      </c>
      <c r="AA40" s="106" t="n">
        <f aca="false">AA38+AA39</f>
        <v>327209357.749163</v>
      </c>
      <c r="AB40" s="106" t="n">
        <f aca="false">AB38+AB39</f>
        <v>354998313.989545</v>
      </c>
      <c r="AC40" s="106" t="n">
        <f aca="false">AC38+AC39</f>
        <v>383433376.017229</v>
      </c>
      <c r="AD40" s="106" t="n">
        <f aca="false">AD38+AD39</f>
        <v>412586580.496669</v>
      </c>
      <c r="AE40" s="106" t="n">
        <f aca="false">AE38+AE39</f>
        <v>442416899.110918</v>
      </c>
      <c r="AF40" s="106" t="n">
        <f aca="false">AF38+AF39</f>
        <v>472999344.763194</v>
      </c>
      <c r="AG40" s="106" t="n">
        <f aca="false">AG38+AG39</f>
        <v>504263950.44916</v>
      </c>
      <c r="AH40" s="106" t="n">
        <f aca="false">AH38+AH39</f>
        <v>536343514.840191</v>
      </c>
      <c r="AI40" s="106" t="n">
        <f aca="false">AI38+AI39</f>
        <v>569166410.916253</v>
      </c>
      <c r="AJ40" s="106" t="n">
        <f aca="false">AJ38+AJ39</f>
        <v>602813961.176049</v>
      </c>
      <c r="AK40" s="106" t="n">
        <f aca="false">AK38+AK39</f>
        <v>637240153.759334</v>
      </c>
      <c r="AL40" s="106" t="n">
        <f aca="false">AL38+AL39</f>
        <v>672529652.632304</v>
      </c>
    </row>
    <row r="41" s="100" customFormat="true" ht="15" hidden="false" customHeight="false" outlineLevel="0" collapsed="false">
      <c r="A41" s="1"/>
      <c r="B41" s="1"/>
      <c r="C41" s="1"/>
      <c r="D41" s="25"/>
      <c r="E41" s="1"/>
      <c r="G41" s="1"/>
    </row>
    <row r="42" s="100" customFormat="true" ht="15" hidden="false" customHeight="false" outlineLevel="0" collapsed="false">
      <c r="A42" s="1"/>
      <c r="B42" s="1"/>
      <c r="C42" s="1"/>
      <c r="D42" s="25"/>
      <c r="E42" s="1"/>
      <c r="F42" s="1"/>
      <c r="G42" s="1"/>
      <c r="J42" s="110"/>
    </row>
    <row r="43" customFormat="false" ht="15" hidden="false" customHeight="false" outlineLevel="0" collapsed="false">
      <c r="C43" s="118" t="s">
        <v>196</v>
      </c>
      <c r="D43" s="119" t="s">
        <v>87</v>
      </c>
      <c r="E43" s="120"/>
      <c r="F43" s="120"/>
      <c r="G43" s="120"/>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row>
    <row r="44" customFormat="false" ht="15" hidden="false" customHeight="false" outlineLevel="0" collapsed="false">
      <c r="C44" s="1" t="s">
        <v>197</v>
      </c>
      <c r="D44" s="25" t="s">
        <v>95</v>
      </c>
      <c r="E44" s="122" t="n">
        <v>44927</v>
      </c>
      <c r="F44" s="123"/>
    </row>
    <row r="45" customFormat="false" ht="15" hidden="false" customHeight="false" outlineLevel="0" collapsed="false">
      <c r="C45" s="11" t="s">
        <v>198</v>
      </c>
      <c r="D45" s="25" t="s">
        <v>102</v>
      </c>
      <c r="E45" s="124" t="n">
        <f aca="false">'1. Project Summary'!$F$14</f>
        <v>0.135</v>
      </c>
      <c r="F45" s="125"/>
    </row>
    <row r="46" customFormat="false" ht="15" hidden="false" customHeight="false" outlineLevel="0" collapsed="false">
      <c r="C46" s="11"/>
      <c r="E46" s="126"/>
      <c r="F46" s="126"/>
    </row>
    <row r="47" customFormat="false" ht="15" hidden="false" customHeight="false" outlineLevel="0" collapsed="false">
      <c r="B47" s="38"/>
      <c r="C47" s="38" t="s">
        <v>166</v>
      </c>
      <c r="D47" s="127" t="s">
        <v>199</v>
      </c>
      <c r="E47" s="38"/>
      <c r="F47" s="38"/>
      <c r="G47" s="38"/>
      <c r="H47" s="38" t="n">
        <v>2024</v>
      </c>
      <c r="I47" s="38" t="n">
        <f aca="false">H47+1</f>
        <v>2025</v>
      </c>
      <c r="J47" s="38" t="n">
        <f aca="false">I47+1</f>
        <v>2026</v>
      </c>
      <c r="K47" s="38" t="n">
        <f aca="false">J47+1</f>
        <v>2027</v>
      </c>
      <c r="L47" s="38" t="n">
        <f aca="false">K47+1</f>
        <v>2028</v>
      </c>
      <c r="M47" s="38" t="n">
        <f aca="false">L47+1</f>
        <v>2029</v>
      </c>
      <c r="N47" s="38" t="n">
        <f aca="false">M47+1</f>
        <v>2030</v>
      </c>
      <c r="O47" s="38" t="n">
        <f aca="false">N47+1</f>
        <v>2031</v>
      </c>
      <c r="P47" s="38" t="n">
        <f aca="false">O47+1</f>
        <v>2032</v>
      </c>
      <c r="Q47" s="38" t="n">
        <f aca="false">P47+1</f>
        <v>2033</v>
      </c>
      <c r="R47" s="38" t="n">
        <f aca="false">Q47+1</f>
        <v>2034</v>
      </c>
      <c r="S47" s="38" t="n">
        <f aca="false">R47+1</f>
        <v>2035</v>
      </c>
      <c r="T47" s="38" t="n">
        <f aca="false">S47+1</f>
        <v>2036</v>
      </c>
      <c r="U47" s="38" t="n">
        <f aca="false">T47+1</f>
        <v>2037</v>
      </c>
      <c r="V47" s="38" t="n">
        <f aca="false">U47+1</f>
        <v>2038</v>
      </c>
      <c r="W47" s="38" t="n">
        <f aca="false">V47+1</f>
        <v>2039</v>
      </c>
      <c r="X47" s="38" t="n">
        <f aca="false">W47+1</f>
        <v>2040</v>
      </c>
      <c r="Y47" s="38" t="n">
        <f aca="false">X47+1</f>
        <v>2041</v>
      </c>
      <c r="Z47" s="38" t="n">
        <f aca="false">Y47+1</f>
        <v>2042</v>
      </c>
      <c r="AA47" s="38" t="n">
        <f aca="false">Z47+1</f>
        <v>2043</v>
      </c>
      <c r="AB47" s="38" t="n">
        <f aca="false">AA47+1</f>
        <v>2044</v>
      </c>
      <c r="AC47" s="38" t="n">
        <f aca="false">AB47+1</f>
        <v>2045</v>
      </c>
      <c r="AD47" s="38" t="n">
        <f aca="false">AC47+1</f>
        <v>2046</v>
      </c>
      <c r="AE47" s="38" t="n">
        <f aca="false">AD47+1</f>
        <v>2047</v>
      </c>
      <c r="AF47" s="38" t="n">
        <f aca="false">AE47+1</f>
        <v>2048</v>
      </c>
      <c r="AG47" s="38" t="n">
        <f aca="false">AF47+1</f>
        <v>2049</v>
      </c>
      <c r="AH47" s="38" t="n">
        <f aca="false">AG47+1</f>
        <v>2050</v>
      </c>
      <c r="AI47" s="38" t="n">
        <f aca="false">AH47+1</f>
        <v>2051</v>
      </c>
      <c r="AJ47" s="38" t="n">
        <f aca="false">AI47+1</f>
        <v>2052</v>
      </c>
      <c r="AK47" s="38" t="n">
        <f aca="false">AJ47+1</f>
        <v>2053</v>
      </c>
      <c r="AL47" s="38" t="n">
        <f aca="false">AK47+1</f>
        <v>2054</v>
      </c>
    </row>
    <row r="48" customFormat="false" ht="15" hidden="false" customHeight="false" outlineLevel="0" collapsed="false">
      <c r="B48" s="38"/>
      <c r="C48" s="38" t="s">
        <v>200</v>
      </c>
      <c r="D48" s="127" t="s">
        <v>95</v>
      </c>
      <c r="E48" s="128" t="n">
        <f aca="false">H48</f>
        <v>45292</v>
      </c>
      <c r="F48" s="38"/>
      <c r="G48" s="38"/>
      <c r="H48" s="128" t="n">
        <f aca="false">DATE(H$47,1,1)</f>
        <v>45292</v>
      </c>
      <c r="I48" s="128" t="n">
        <f aca="false">DATE(I$47,1,1)</f>
        <v>45658</v>
      </c>
      <c r="J48" s="128" t="n">
        <f aca="false">DATE(J$47,1,1)</f>
        <v>46023</v>
      </c>
      <c r="K48" s="128" t="n">
        <f aca="false">DATE(K$47,1,1)</f>
        <v>46388</v>
      </c>
      <c r="L48" s="128" t="n">
        <f aca="false">DATE(L$47,1,1)</f>
        <v>46753</v>
      </c>
      <c r="M48" s="128" t="n">
        <f aca="false">DATE(M$47,1,1)</f>
        <v>47119</v>
      </c>
      <c r="N48" s="128" t="n">
        <f aca="false">DATE(N$47,1,1)</f>
        <v>47484</v>
      </c>
      <c r="O48" s="128" t="n">
        <f aca="false">DATE(O$47,1,1)</f>
        <v>47849</v>
      </c>
      <c r="P48" s="128" t="n">
        <f aca="false">DATE(P$47,1,1)</f>
        <v>48214</v>
      </c>
      <c r="Q48" s="128" t="n">
        <f aca="false">DATE(Q$47,1,1)</f>
        <v>48580</v>
      </c>
      <c r="R48" s="128" t="n">
        <f aca="false">DATE(R$47,1,1)</f>
        <v>48945</v>
      </c>
      <c r="S48" s="128" t="n">
        <f aca="false">DATE(S$47,1,1)</f>
        <v>49310</v>
      </c>
      <c r="T48" s="128" t="n">
        <f aca="false">DATE(T$47,1,1)</f>
        <v>49675</v>
      </c>
      <c r="U48" s="128" t="n">
        <f aca="false">DATE(U$47,1,1)</f>
        <v>50041</v>
      </c>
      <c r="V48" s="128" t="n">
        <f aca="false">DATE(V$47,1,1)</f>
        <v>50406</v>
      </c>
      <c r="W48" s="128" t="n">
        <f aca="false">DATE(W$47,1,1)</f>
        <v>50771</v>
      </c>
      <c r="X48" s="128" t="n">
        <f aca="false">DATE(X$47,1,1)</f>
        <v>51136</v>
      </c>
      <c r="Y48" s="128" t="n">
        <f aca="false">DATE(Y$47,1,1)</f>
        <v>51502</v>
      </c>
      <c r="Z48" s="128" t="n">
        <f aca="false">DATE(Z$47,1,1)</f>
        <v>51867</v>
      </c>
      <c r="AA48" s="128" t="n">
        <f aca="false">DATE(AA$47,1,1)</f>
        <v>52232</v>
      </c>
      <c r="AB48" s="128" t="n">
        <f aca="false">DATE(AB$47,1,1)</f>
        <v>52597</v>
      </c>
      <c r="AC48" s="128" t="n">
        <f aca="false">DATE(AC$47,1,1)</f>
        <v>52963</v>
      </c>
      <c r="AD48" s="128" t="n">
        <f aca="false">DATE(AD$47,1,1)</f>
        <v>53328</v>
      </c>
      <c r="AE48" s="128" t="n">
        <f aca="false">DATE(AE$47,1,1)</f>
        <v>53693</v>
      </c>
      <c r="AF48" s="128" t="n">
        <f aca="false">DATE(AF$47,1,1)</f>
        <v>54058</v>
      </c>
      <c r="AG48" s="128" t="n">
        <f aca="false">DATE(AG$47,1,1)</f>
        <v>54424</v>
      </c>
      <c r="AH48" s="128" t="n">
        <f aca="false">DATE(AH$47,1,1)</f>
        <v>54789</v>
      </c>
      <c r="AI48" s="128" t="n">
        <f aca="false">DATE(AI$47,1,1)</f>
        <v>55154</v>
      </c>
      <c r="AJ48" s="128" t="n">
        <f aca="false">DATE(AJ$47,1,1)</f>
        <v>55519</v>
      </c>
      <c r="AK48" s="128" t="n">
        <f aca="false">DATE(AK$47,1,1)</f>
        <v>55885</v>
      </c>
      <c r="AL48" s="128" t="n">
        <f aca="false">DATE(AL$47,1,1)</f>
        <v>56250</v>
      </c>
    </row>
    <row r="49" customFormat="false" ht="15" hidden="false" customHeight="false" outlineLevel="0" collapsed="false">
      <c r="C49" s="1" t="s">
        <v>201</v>
      </c>
      <c r="D49" s="25" t="s">
        <v>95</v>
      </c>
      <c r="E49" s="129" t="n">
        <f aca="false">AL49</f>
        <v>56614</v>
      </c>
      <c r="H49" s="128" t="n">
        <f aca="false">EOMONTH(H$48,12-1)</f>
        <v>45657</v>
      </c>
      <c r="I49" s="128" t="n">
        <f aca="false">EOMONTH(I$48,12-1)</f>
        <v>46022</v>
      </c>
      <c r="J49" s="128" t="n">
        <f aca="false">EOMONTH(J$48,12-1)</f>
        <v>46387</v>
      </c>
      <c r="K49" s="128" t="n">
        <f aca="false">EOMONTH(K$48,12-1)</f>
        <v>46752</v>
      </c>
      <c r="L49" s="128" t="n">
        <f aca="false">EOMONTH(L$48,12-1)</f>
        <v>47118</v>
      </c>
      <c r="M49" s="128" t="n">
        <f aca="false">EOMONTH(M$48,12-1)</f>
        <v>47483</v>
      </c>
      <c r="N49" s="128" t="n">
        <f aca="false">EOMONTH(N$48,12-1)</f>
        <v>47848</v>
      </c>
      <c r="O49" s="128" t="n">
        <f aca="false">EOMONTH(O$48,12-1)</f>
        <v>48213</v>
      </c>
      <c r="P49" s="128" t="n">
        <f aca="false">EOMONTH(P$48,12-1)</f>
        <v>48579</v>
      </c>
      <c r="Q49" s="128" t="n">
        <f aca="false">EOMONTH(Q$48,12-1)</f>
        <v>48944</v>
      </c>
      <c r="R49" s="128" t="n">
        <f aca="false">EOMONTH(R$48,12-1)</f>
        <v>49309</v>
      </c>
      <c r="S49" s="128" t="n">
        <f aca="false">EOMONTH(S$48,12-1)</f>
        <v>49674</v>
      </c>
      <c r="T49" s="128" t="n">
        <f aca="false">EOMONTH(T$48,12-1)</f>
        <v>50040</v>
      </c>
      <c r="U49" s="128" t="n">
        <f aca="false">EOMONTH(U$48,12-1)</f>
        <v>50405</v>
      </c>
      <c r="V49" s="128" t="n">
        <f aca="false">EOMONTH(V$48,12-1)</f>
        <v>50770</v>
      </c>
      <c r="W49" s="128" t="n">
        <f aca="false">EOMONTH(W$48,12-1)</f>
        <v>51135</v>
      </c>
      <c r="X49" s="128" t="n">
        <f aca="false">EOMONTH(X$48,12-1)</f>
        <v>51501</v>
      </c>
      <c r="Y49" s="128" t="n">
        <f aca="false">EOMONTH(Y$48,12-1)</f>
        <v>51866</v>
      </c>
      <c r="Z49" s="128" t="n">
        <f aca="false">EOMONTH(Z$48,12-1)</f>
        <v>52231</v>
      </c>
      <c r="AA49" s="128" t="n">
        <f aca="false">EOMONTH(AA$48,12-1)</f>
        <v>52596</v>
      </c>
      <c r="AB49" s="128" t="n">
        <f aca="false">EOMONTH(AB$48,12-1)</f>
        <v>52962</v>
      </c>
      <c r="AC49" s="128" t="n">
        <f aca="false">EOMONTH(AC$48,12-1)</f>
        <v>53327</v>
      </c>
      <c r="AD49" s="128" t="n">
        <f aca="false">EOMONTH(AD$48,12-1)</f>
        <v>53692</v>
      </c>
      <c r="AE49" s="128" t="n">
        <f aca="false">EOMONTH(AE$48,12-1)</f>
        <v>54057</v>
      </c>
      <c r="AF49" s="128" t="n">
        <f aca="false">EOMONTH(AF$48,12-1)</f>
        <v>54423</v>
      </c>
      <c r="AG49" s="128" t="n">
        <f aca="false">EOMONTH(AG$48,12-1)</f>
        <v>54788</v>
      </c>
      <c r="AH49" s="128" t="n">
        <f aca="false">EOMONTH(AH$48,12-1)</f>
        <v>55153</v>
      </c>
      <c r="AI49" s="128" t="n">
        <f aca="false">EOMONTH(AI$48,12-1)</f>
        <v>55518</v>
      </c>
      <c r="AJ49" s="128" t="n">
        <f aca="false">EOMONTH(AJ$48,12-1)</f>
        <v>55884</v>
      </c>
      <c r="AK49" s="128" t="n">
        <f aca="false">EOMONTH(AK$48,12-1)</f>
        <v>56249</v>
      </c>
      <c r="AL49" s="128" t="n">
        <f aca="false">EOMONTH(AL$48,12-1)</f>
        <v>56614</v>
      </c>
    </row>
    <row r="50" customFormat="false" ht="15" hidden="false" customHeight="false" outlineLevel="0" collapsed="false">
      <c r="C50" s="1" t="s">
        <v>202</v>
      </c>
      <c r="D50" s="25" t="s">
        <v>203</v>
      </c>
      <c r="H50" s="130" t="n">
        <f aca="false">H49-NPV_Date+1</f>
        <v>731</v>
      </c>
      <c r="I50" s="130" t="n">
        <f aca="false">I49-NPV_Date+1</f>
        <v>1096</v>
      </c>
      <c r="J50" s="130" t="n">
        <f aca="false">J49-NPV_Date+1</f>
        <v>1461</v>
      </c>
      <c r="K50" s="130" t="n">
        <f aca="false">K49-NPV_Date+1</f>
        <v>1826</v>
      </c>
      <c r="L50" s="130" t="n">
        <f aca="false">L49-NPV_Date+1</f>
        <v>2192</v>
      </c>
      <c r="M50" s="130" t="n">
        <f aca="false">M49-NPV_Date+1</f>
        <v>2557</v>
      </c>
      <c r="N50" s="130" t="n">
        <f aca="false">N49-NPV_Date+1</f>
        <v>2922</v>
      </c>
      <c r="O50" s="130" t="n">
        <f aca="false">O49-NPV_Date+1</f>
        <v>3287</v>
      </c>
      <c r="P50" s="130" t="n">
        <f aca="false">P49-NPV_Date+1</f>
        <v>3653</v>
      </c>
      <c r="Q50" s="130" t="n">
        <f aca="false">Q49-NPV_Date+1</f>
        <v>4018</v>
      </c>
      <c r="R50" s="130" t="n">
        <f aca="false">R49-NPV_Date+1</f>
        <v>4383</v>
      </c>
      <c r="S50" s="130" t="n">
        <f aca="false">S49-NPV_Date+1</f>
        <v>4748</v>
      </c>
      <c r="T50" s="130" t="n">
        <f aca="false">T49-NPV_Date+1</f>
        <v>5114</v>
      </c>
      <c r="U50" s="130" t="n">
        <f aca="false">U49-NPV_Date+1</f>
        <v>5479</v>
      </c>
      <c r="V50" s="130" t="n">
        <f aca="false">V49-NPV_Date+1</f>
        <v>5844</v>
      </c>
      <c r="W50" s="130" t="n">
        <f aca="false">W49-NPV_Date+1</f>
        <v>6209</v>
      </c>
      <c r="X50" s="130" t="n">
        <f aca="false">X49-NPV_Date+1</f>
        <v>6575</v>
      </c>
      <c r="Y50" s="130" t="n">
        <f aca="false">Y49-NPV_Date+1</f>
        <v>6940</v>
      </c>
      <c r="Z50" s="130" t="n">
        <f aca="false">Z49-NPV_Date+1</f>
        <v>7305</v>
      </c>
      <c r="AA50" s="130" t="n">
        <f aca="false">AA49-NPV_Date+1</f>
        <v>7670</v>
      </c>
      <c r="AB50" s="130" t="n">
        <f aca="false">AB49-NPV_Date+1</f>
        <v>8036</v>
      </c>
      <c r="AC50" s="130" t="n">
        <f aca="false">AC49-NPV_Date+1</f>
        <v>8401</v>
      </c>
      <c r="AD50" s="130" t="n">
        <f aca="false">AD49-NPV_Date+1</f>
        <v>8766</v>
      </c>
      <c r="AE50" s="130" t="n">
        <f aca="false">AE49-NPV_Date+1</f>
        <v>9131</v>
      </c>
      <c r="AF50" s="130" t="n">
        <f aca="false">AF49-NPV_Date+1</f>
        <v>9497</v>
      </c>
      <c r="AG50" s="130" t="n">
        <f aca="false">AG49-NPV_Date+1</f>
        <v>9862</v>
      </c>
      <c r="AH50" s="130" t="n">
        <f aca="false">AH49-NPV_Date+1</f>
        <v>10227</v>
      </c>
      <c r="AI50" s="130" t="n">
        <f aca="false">AI49-NPV_Date+1</f>
        <v>10592</v>
      </c>
      <c r="AJ50" s="130" t="n">
        <f aca="false">AJ49-NPV_Date+1</f>
        <v>10958</v>
      </c>
      <c r="AK50" s="130" t="n">
        <f aca="false">AK49-NPV_Date+1</f>
        <v>11323</v>
      </c>
      <c r="AL50" s="130" t="n">
        <f aca="false">AL49-NPV_Date+1</f>
        <v>11688</v>
      </c>
    </row>
    <row r="51" customFormat="false" ht="15" hidden="false" customHeight="false" outlineLevel="0" collapsed="false">
      <c r="C51" s="1" t="s">
        <v>204</v>
      </c>
      <c r="D51" s="25" t="s">
        <v>205</v>
      </c>
      <c r="H51" s="131" t="n">
        <f aca="false">IF(H$50&lt;0,0,1/(1+Discount_Rate)^(H$50/365))</f>
        <v>0.775992642128988</v>
      </c>
      <c r="I51" s="131" t="n">
        <f aca="false">IF(I$50&lt;0,0,1/(1+Discount_Rate)^(I$50/365))</f>
        <v>0.683693957822897</v>
      </c>
      <c r="J51" s="131" t="n">
        <f aca="false">IF(J$50&lt;0,0,1/(1+Discount_Rate)^(J$50/365))</f>
        <v>0.602373531121495</v>
      </c>
      <c r="K51" s="131" t="n">
        <f aca="false">IF(K$50&lt;0,0,1/(1+Discount_Rate)^(K$50/365))</f>
        <v>0.530725578080612</v>
      </c>
      <c r="L51" s="131" t="n">
        <f aca="false">IF(L$50&lt;0,0,1/(1+Discount_Rate)^(L$50/365))</f>
        <v>0.467437427963537</v>
      </c>
      <c r="M51" s="131" t="n">
        <f aca="false">IF(M$50&lt;0,0,1/(1+Discount_Rate)^(M$50/365))</f>
        <v>0.411839143580209</v>
      </c>
      <c r="N51" s="131" t="n">
        <f aca="false">IF(N$50&lt;0,0,1/(1+Discount_Rate)^(N$50/365))</f>
        <v>0.362853870995778</v>
      </c>
      <c r="O51" s="131" t="n">
        <f aca="false">IF(O$50&lt;0,0,1/(1+Discount_Rate)^(O$50/365))</f>
        <v>0.319695040524915</v>
      </c>
      <c r="P51" s="131" t="n">
        <f aca="false">IF(P$50&lt;0,0,1/(1+Discount_Rate)^(P$50/365))</f>
        <v>0.281571934060745</v>
      </c>
      <c r="Q51" s="131" t="n">
        <f aca="false">IF(Q$50&lt;0,0,1/(1+Discount_Rate)^(Q$50/365))</f>
        <v>0.248080999172463</v>
      </c>
      <c r="R51" s="131" t="n">
        <f aca="false">IF(R$50&lt;0,0,1/(1+Discount_Rate)^(R$50/365))</f>
        <v>0.21857356755283</v>
      </c>
      <c r="S51" s="131" t="n">
        <f aca="false">IF(S$50&lt;0,0,1/(1+Discount_Rate)^(S$50/365))</f>
        <v>0.192575830443022</v>
      </c>
      <c r="T51" s="131" t="n">
        <f aca="false">IF(T$50&lt;0,0,1/(1+Discount_Rate)^(T$50/365))</f>
        <v>0.16961148018488</v>
      </c>
      <c r="U51" s="131" t="n">
        <f aca="false">IF(U$50&lt;0,0,1/(1+Discount_Rate)^(U$50/365))</f>
        <v>0.149437427475665</v>
      </c>
      <c r="V51" s="131" t="n">
        <f aca="false">IF(V$50&lt;0,0,1/(1+Discount_Rate)^(V$50/365))</f>
        <v>0.131662931696621</v>
      </c>
      <c r="W51" s="131" t="n">
        <f aca="false">IF(W$50&lt;0,0,1/(1+Discount_Rate)^(W$50/365))</f>
        <v>0.116002582992618</v>
      </c>
      <c r="X51" s="131" t="n">
        <f aca="false">IF(X$50&lt;0,0,1/(1+Discount_Rate)^(X$50/365))</f>
        <v>0.102169466237709</v>
      </c>
      <c r="Y51" s="131" t="n">
        <f aca="false">IF(Y$50&lt;0,0,1/(1+Discount_Rate)^(Y$50/365))</f>
        <v>0.0900171508702286</v>
      </c>
      <c r="Z51" s="131" t="n">
        <f aca="false">IF(Z$50&lt;0,0,1/(1+Discount_Rate)^(Z$50/365))</f>
        <v>0.0793102650839018</v>
      </c>
      <c r="AA51" s="131" t="n">
        <f aca="false">IF(AA$50&lt;0,0,1/(1+Discount_Rate)^(AA$50/365))</f>
        <v>0.0698768855364774</v>
      </c>
      <c r="AB51" s="131" t="n">
        <f aca="false">IF(AB$50&lt;0,0,1/(1+Discount_Rate)^(AB$50/365))</f>
        <v>0.0615441821504074</v>
      </c>
      <c r="AC51" s="131" t="n">
        <f aca="false">IF(AC$50&lt;0,0,1/(1+Discount_Rate)^(AC$50/365))</f>
        <v>0.0542239490311959</v>
      </c>
      <c r="AD51" s="131" t="n">
        <f aca="false">IF(AD$50&lt;0,0,1/(1+Discount_Rate)^(AD$50/365))</f>
        <v>0.0477744044327717</v>
      </c>
      <c r="AE51" s="131" t="n">
        <f aca="false">IF(AE$50&lt;0,0,1/(1+Discount_Rate)^(AE$50/365))</f>
        <v>0.0420919862843804</v>
      </c>
      <c r="AF51" s="131" t="n">
        <f aca="false">IF(AF$50&lt;0,0,1/(1+Discount_Rate)^(AF$50/365))</f>
        <v>0.0370725863219253</v>
      </c>
      <c r="AG51" s="131" t="n">
        <f aca="false">IF(AG$50&lt;0,0,1/(1+Discount_Rate)^(AG$50/365))</f>
        <v>0.0326630716492734</v>
      </c>
      <c r="AH51" s="131" t="n">
        <f aca="false">IF(AH$50&lt;0,0,1/(1+Discount_Rate)^(AH$50/365))</f>
        <v>0.0287780366953951</v>
      </c>
      <c r="AI51" s="131" t="n">
        <f aca="false">IF(AI$50&lt;0,0,1/(1+Discount_Rate)^(AI$50/365))</f>
        <v>0.0253550984100397</v>
      </c>
      <c r="AJ51" s="131" t="n">
        <f aca="false">IF(AJ$50&lt;0,0,1/(1+Discount_Rate)^(AJ$50/365))</f>
        <v>0.0223315447305446</v>
      </c>
      <c r="AK51" s="131" t="n">
        <f aca="false">IF(AK$50&lt;0,0,1/(1+Discount_Rate)^(AK$50/365))</f>
        <v>0.0196753698066472</v>
      </c>
      <c r="AL51" s="131" t="n">
        <f aca="false">IF(AL$50&lt;0,0,1/(1+Discount_Rate)^(AL$50/365))</f>
        <v>0.0173351275829491</v>
      </c>
    </row>
    <row r="53" customFormat="false" ht="15" hidden="false" customHeight="false" outlineLevel="0" collapsed="false">
      <c r="C53" s="132" t="s">
        <v>206</v>
      </c>
      <c r="D53" s="116" t="s">
        <v>112</v>
      </c>
      <c r="E53" s="133"/>
      <c r="F53" s="113" t="n">
        <f aca="false">SUM(H53:AL53)</f>
        <v>672529652.632304</v>
      </c>
      <c r="G53" s="133"/>
      <c r="H53" s="113" t="n">
        <f aca="false">H38</f>
        <v>369268.889995119</v>
      </c>
      <c r="I53" s="113" t="n">
        <f aca="false">I38</f>
        <v>-2002982.44892955</v>
      </c>
      <c r="J53" s="113" t="n">
        <f aca="false">J38</f>
        <v>2648977.50500867</v>
      </c>
      <c r="K53" s="113" t="n">
        <f aca="false">K38</f>
        <v>4816162.88791992</v>
      </c>
      <c r="L53" s="113" t="n">
        <f aca="false">L38</f>
        <v>6262457.03226219</v>
      </c>
      <c r="M53" s="113" t="n">
        <f aca="false">M38</f>
        <v>10820896.6773628</v>
      </c>
      <c r="N53" s="113" t="n">
        <f aca="false">N38</f>
        <v>13111985.3119425</v>
      </c>
      <c r="O53" s="113" t="n">
        <f aca="false">O38</f>
        <v>13387120.0827607</v>
      </c>
      <c r="P53" s="113" t="n">
        <f aca="false">P38</f>
        <v>14766837.728841</v>
      </c>
      <c r="Q53" s="113" t="n">
        <f aca="false">Q38</f>
        <v>19641215.7569126</v>
      </c>
      <c r="R53" s="113" t="n">
        <f aca="false">R38</f>
        <v>21510592.6702346</v>
      </c>
      <c r="S53" s="113" t="n">
        <f aca="false">S38</f>
        <v>22186414.2103057</v>
      </c>
      <c r="T53" s="113" t="n">
        <f aca="false">T38</f>
        <v>22927785.1145927</v>
      </c>
      <c r="U53" s="113" t="n">
        <f aca="false">U38</f>
        <v>23441147.4876005</v>
      </c>
      <c r="V53" s="113" t="n">
        <f aca="false">V38</f>
        <v>24058864.8255651</v>
      </c>
      <c r="W53" s="113" t="n">
        <f aca="false">W38</f>
        <v>24619752.8200107</v>
      </c>
      <c r="X53" s="113" t="n">
        <f aca="false">X38</f>
        <v>25244415.8181912</v>
      </c>
      <c r="Y53" s="113" t="n">
        <f aca="false">Y38</f>
        <v>25832457.0346524</v>
      </c>
      <c r="Z53" s="113" t="n">
        <f aca="false">Z38</f>
        <v>26486919.7999603</v>
      </c>
      <c r="AA53" s="113" t="n">
        <f aca="false">AA38</f>
        <v>27079068.5439739</v>
      </c>
      <c r="AB53" s="113" t="n">
        <f aca="false">AB38</f>
        <v>27788956.2403819</v>
      </c>
      <c r="AC53" s="113" t="n">
        <f aca="false">AC38</f>
        <v>28435062.0276835</v>
      </c>
      <c r="AD53" s="113" t="n">
        <f aca="false">AD38</f>
        <v>29153204.4794407</v>
      </c>
      <c r="AE53" s="113" t="n">
        <f aca="false">AE38</f>
        <v>29830318.6142489</v>
      </c>
      <c r="AF53" s="113" t="n">
        <f aca="false">AF38</f>
        <v>30582445.6522756</v>
      </c>
      <c r="AG53" s="113" t="n">
        <f aca="false">AG38</f>
        <v>31264605.6859664</v>
      </c>
      <c r="AH53" s="113" t="n">
        <f aca="false">AH38</f>
        <v>32079564.3910306</v>
      </c>
      <c r="AI53" s="113" t="n">
        <f aca="false">AI38</f>
        <v>32822896.0760617</v>
      </c>
      <c r="AJ53" s="113" t="n">
        <f aca="false">AJ38</f>
        <v>33647550.2597964</v>
      </c>
      <c r="AK53" s="113" t="n">
        <f aca="false">AK38</f>
        <v>34426192.5832853</v>
      </c>
      <c r="AL53" s="113" t="n">
        <f aca="false">AL38</f>
        <v>35289498.8729699</v>
      </c>
    </row>
    <row r="54" customFormat="false" ht="15" hidden="false" customHeight="false" outlineLevel="0" collapsed="false">
      <c r="C54" s="134" t="s">
        <v>161</v>
      </c>
      <c r="F54" s="107" t="n">
        <f aca="false">SUM(H54:AL54)</f>
        <v>71659176.8371762</v>
      </c>
      <c r="H54" s="107" t="n">
        <f aca="false">H53*H51</f>
        <v>286549.941603351</v>
      </c>
      <c r="I54" s="107" t="n">
        <f aca="false">I53*I51</f>
        <v>-1369426.99795844</v>
      </c>
      <c r="J54" s="107" t="n">
        <f aca="false">J53*J51</f>
        <v>1595673.93355348</v>
      </c>
      <c r="K54" s="107" t="n">
        <f aca="false">K53*K51</f>
        <v>2556060.83282169</v>
      </c>
      <c r="L54" s="107" t="n">
        <f aca="false">L53*L51</f>
        <v>2927306.8078928</v>
      </c>
      <c r="M54" s="107" t="n">
        <f aca="false">M53*M51</f>
        <v>4456468.82037503</v>
      </c>
      <c r="N54" s="107" t="n">
        <f aca="false">N53*N51</f>
        <v>4757734.62687811</v>
      </c>
      <c r="O54" s="107" t="n">
        <f aca="false">O53*O51</f>
        <v>4279795.89737009</v>
      </c>
      <c r="P54" s="107" t="n">
        <f aca="false">P53*P51</f>
        <v>4157927.05927095</v>
      </c>
      <c r="Q54" s="107" t="n">
        <f aca="false">Q53*Q51</f>
        <v>4872612.4299368</v>
      </c>
      <c r="R54" s="107" t="n">
        <f aca="false">R53*R51</f>
        <v>4701646.98010893</v>
      </c>
      <c r="S54" s="107" t="n">
        <f aca="false">S53*S51</f>
        <v>4272567.14110249</v>
      </c>
      <c r="T54" s="107" t="n">
        <f aca="false">T53*T51</f>
        <v>3888815.57064692</v>
      </c>
      <c r="U54" s="107" t="n">
        <f aca="false">U53*U51</f>
        <v>3502984.77762466</v>
      </c>
      <c r="V54" s="107" t="n">
        <f aca="false">V53*V51</f>
        <v>3167660.67622662</v>
      </c>
      <c r="W54" s="107" t="n">
        <f aca="false">W53*W51</f>
        <v>2855954.91976103</v>
      </c>
      <c r="X54" s="107" t="n">
        <f aca="false">X53*X51</f>
        <v>2579208.48962738</v>
      </c>
      <c r="Y54" s="107" t="n">
        <f aca="false">Y53*Y51</f>
        <v>2325364.182237</v>
      </c>
      <c r="Z54" s="107" t="n">
        <f aca="false">Z53*Z51</f>
        <v>2100684.6305909</v>
      </c>
      <c r="AA54" s="107" t="n">
        <f aca="false">AA53*AA51</f>
        <v>1892200.97308169</v>
      </c>
      <c r="AB54" s="107" t="n">
        <f aca="false">AB53*AB51</f>
        <v>1710248.58462776</v>
      </c>
      <c r="AC54" s="107" t="n">
        <f aca="false">AC53*AC51</f>
        <v>1541861.35408801</v>
      </c>
      <c r="AD54" s="107" t="n">
        <f aca="false">AD53*AD51</f>
        <v>1392776.98131209</v>
      </c>
      <c r="AE54" s="107" t="n">
        <f aca="false">AE53*AE51</f>
        <v>1255617.36196966</v>
      </c>
      <c r="AF54" s="107" t="n">
        <f aca="false">AF53*AF51</f>
        <v>1133770.35637958</v>
      </c>
      <c r="AG54" s="107" t="n">
        <f aca="false">AG53*AG51</f>
        <v>1021198.055607</v>
      </c>
      <c r="AH54" s="107" t="n">
        <f aca="false">AH53*AH51</f>
        <v>923186.881217368</v>
      </c>
      <c r="AI54" s="107" t="n">
        <f aca="false">AI53*AI51</f>
        <v>832227.760111052</v>
      </c>
      <c r="AJ54" s="107" t="n">
        <f aca="false">AJ53*AJ51</f>
        <v>751401.773699891</v>
      </c>
      <c r="AK54" s="107" t="n">
        <f aca="false">AK53*AK51</f>
        <v>677348.070110994</v>
      </c>
      <c r="AL54" s="107" t="n">
        <f aca="false">AL53*AL51</f>
        <v>611747.965301271</v>
      </c>
    </row>
    <row r="55" customFormat="false" ht="15" hidden="false" customHeight="false" outlineLevel="0" collapsed="false">
      <c r="C55" s="135"/>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0"/>
      <c r="AJ55" s="100"/>
      <c r="AK55" s="100"/>
      <c r="AL55" s="100"/>
    </row>
    <row r="56" customFormat="false" ht="15" hidden="true" customHeight="false" outlineLevel="1" collapsed="false">
      <c r="C56" s="1" t="s">
        <v>207</v>
      </c>
      <c r="H56" s="100" t="n">
        <f aca="false">H54</f>
        <v>286549.941603351</v>
      </c>
      <c r="I56" s="100" t="n">
        <f aca="false">H56+I54</f>
        <v>-1082877.05635509</v>
      </c>
      <c r="J56" s="100" t="n">
        <f aca="false">I56+J54</f>
        <v>512796.87719839</v>
      </c>
      <c r="K56" s="100" t="n">
        <f aca="false">J56+K54</f>
        <v>3068857.71002008</v>
      </c>
      <c r="L56" s="100" t="n">
        <f aca="false">K56+L54</f>
        <v>5996164.51791288</v>
      </c>
      <c r="M56" s="100" t="n">
        <f aca="false">L56+M54</f>
        <v>10452633.3382879</v>
      </c>
      <c r="N56" s="100" t="n">
        <f aca="false">M56+N54</f>
        <v>15210367.965166</v>
      </c>
      <c r="O56" s="100" t="n">
        <f aca="false">N56+O54</f>
        <v>19490163.8625361</v>
      </c>
      <c r="P56" s="100" t="n">
        <f aca="false">O56+P54</f>
        <v>23648090.9218071</v>
      </c>
      <c r="Q56" s="100" t="n">
        <f aca="false">P56+Q54</f>
        <v>28520703.3517439</v>
      </c>
      <c r="R56" s="100" t="n">
        <f aca="false">Q56+R54</f>
        <v>33222350.3318528</v>
      </c>
      <c r="S56" s="100" t="n">
        <f aca="false">R56+S54</f>
        <v>37494917.4729553</v>
      </c>
      <c r="T56" s="100" t="n">
        <f aca="false">S56+T54</f>
        <v>41383733.0436022</v>
      </c>
      <c r="U56" s="100" t="n">
        <f aca="false">T56+U54</f>
        <v>44886717.8212269</v>
      </c>
      <c r="V56" s="100" t="n">
        <f aca="false">U56+V54</f>
        <v>48054378.4974535</v>
      </c>
      <c r="W56" s="100" t="n">
        <f aca="false">V56+W54</f>
        <v>50910333.4172145</v>
      </c>
      <c r="X56" s="100" t="n">
        <f aca="false">W56+X54</f>
        <v>53489541.9068419</v>
      </c>
      <c r="Y56" s="100" t="n">
        <f aca="false">X56+Y54</f>
        <v>55814906.0890789</v>
      </c>
      <c r="Z56" s="100" t="n">
        <f aca="false">Y56+Z54</f>
        <v>57915590.7196698</v>
      </c>
      <c r="AA56" s="100" t="n">
        <f aca="false">Z56+AA54</f>
        <v>59807791.6927515</v>
      </c>
      <c r="AB56" s="100" t="n">
        <f aca="false">AA56+AB54</f>
        <v>61518040.2773792</v>
      </c>
      <c r="AC56" s="100" t="n">
        <f aca="false">AB56+AC54</f>
        <v>63059901.6314672</v>
      </c>
      <c r="AD56" s="100" t="n">
        <f aca="false">AC56+AD54</f>
        <v>64452678.6127793</v>
      </c>
      <c r="AE56" s="100" t="n">
        <f aca="false">AD56+AE54</f>
        <v>65708295.974749</v>
      </c>
      <c r="AF56" s="100" t="n">
        <f aca="false">AE56+AF54</f>
        <v>66842066.3311286</v>
      </c>
      <c r="AG56" s="100" t="n">
        <f aca="false">AF56+AG54</f>
        <v>67863264.3867356</v>
      </c>
      <c r="AH56" s="100" t="n">
        <f aca="false">AG56+AH54</f>
        <v>68786451.267953</v>
      </c>
      <c r="AI56" s="100" t="n">
        <f aca="false">AH56+AI54</f>
        <v>69618679.028064</v>
      </c>
      <c r="AJ56" s="100" t="n">
        <f aca="false">AI56+AJ54</f>
        <v>70370080.8017639</v>
      </c>
      <c r="AK56" s="100" t="n">
        <f aca="false">AJ56+AK54</f>
        <v>71047428.8718749</v>
      </c>
      <c r="AL56" s="100" t="n">
        <f aca="false">AK56+AL54</f>
        <v>71659176.8371762</v>
      </c>
    </row>
    <row r="57" customFormat="false" ht="15" hidden="true" customHeight="false" outlineLevel="1" collapsed="false">
      <c r="C57" s="1" t="s">
        <v>208</v>
      </c>
      <c r="G57" s="136"/>
      <c r="H57" s="137" t="n">
        <f aca="false">IF(H56&lt;0,0,-G56/H54)</f>
        <v>-0</v>
      </c>
      <c r="I57" s="137" t="n">
        <f aca="false">IF(I56&lt;0,0,-H56/I54)</f>
        <v>0</v>
      </c>
      <c r="J57" s="137" t="n">
        <f aca="false">IF(J56&lt;0,0,-I56/J54)</f>
        <v>0.678633042493576</v>
      </c>
      <c r="K57" s="137" t="n">
        <f aca="false">IF(K56&lt;0,0,-J56/K54)</f>
        <v>-0.200619981580134</v>
      </c>
      <c r="L57" s="137" t="n">
        <f aca="false">IF(L56&lt;0,0,-K56/L54)</f>
        <v>-1.04835533526777</v>
      </c>
      <c r="M57" s="137" t="n">
        <f aca="false">IF(M56&lt;0,0,-L56/M54)</f>
        <v>-1.34549679569132</v>
      </c>
      <c r="N57" s="137" t="n">
        <f aca="false">IF(N56&lt;0,0,-M56/N54)</f>
        <v>-2.19697695605748</v>
      </c>
      <c r="O57" s="137" t="n">
        <f aca="false">IF(O56&lt;0,0,ABS(N56)/O54)</f>
        <v>3.55399377211252</v>
      </c>
      <c r="P57" s="137" t="n">
        <f aca="false">IF(P56&lt;0,0,ABS(O56)/P54)</f>
        <v>4.68747132518326</v>
      </c>
      <c r="Q57" s="137" t="n">
        <f aca="false">IF(Q56&lt;0,0,ABS(P56)/Q54)</f>
        <v>4.85326737183441</v>
      </c>
      <c r="R57" s="137" t="n">
        <f aca="false">IF(R56&lt;0,0,ABS(Q56)/R54)</f>
        <v>6.06610906186816</v>
      </c>
      <c r="S57" s="137" t="n">
        <f aca="false">IF(S56&lt;0,0,ABS(R56)/S54)</f>
        <v>7.77573511069041</v>
      </c>
      <c r="T57" s="137" t="n">
        <f aca="false">IF(T56&lt;0,0,ABS(S56)/T54)</f>
        <v>9.64173198543274</v>
      </c>
      <c r="U57" s="137" t="n">
        <f aca="false">IF(U56&lt;0,0,ABS(T56)/U54)</f>
        <v>11.8138489518827</v>
      </c>
      <c r="V57" s="137" t="n">
        <f aca="false">IF(V56&lt;0,0,ABS(U56)/V54)</f>
        <v>14.1703049692484</v>
      </c>
      <c r="W57" s="137" t="n">
        <f aca="false">IF(W56&lt;0,0,ABS(V56)/W54)</f>
        <v>16.8260283679388</v>
      </c>
      <c r="X57" s="137" t="n">
        <f aca="false">IF(X56&lt;0,0,ABS(W56)/X54)</f>
        <v>19.7387429600813</v>
      </c>
      <c r="Y57" s="137" t="n">
        <f aca="false">IF(Y56&lt;0,0,ABS(X56)/Y54)</f>
        <v>23.002651505273</v>
      </c>
      <c r="Z57" s="137" t="n">
        <f aca="false">IF(Z56&lt;0,0,ABS(Y56)/Z54)</f>
        <v>26.5698645461974</v>
      </c>
      <c r="AA57" s="137" t="n">
        <f aca="false">IF(AA56&lt;0,0,ABS(Z56)/AA54)</f>
        <v>30.6075261262269</v>
      </c>
      <c r="AB57" s="137" t="n">
        <f aca="false">IF(AB56&lt;0,0,ABS(AA56)/AB54)</f>
        <v>34.970233117175</v>
      </c>
      <c r="AC57" s="137" t="n">
        <f aca="false">IF(AC56&lt;0,0,ABS(AB56)/AC54)</f>
        <v>39.8985551549585</v>
      </c>
      <c r="AD57" s="137" t="n">
        <f aca="false">IF(AD56&lt;0,0,ABS(AC56)/AD54)</f>
        <v>45.2763812710779</v>
      </c>
      <c r="AE57" s="137" t="n">
        <f aca="false">IF(AE56&lt;0,0,ABS(AD56)/AE54)</f>
        <v>51.3314649549554</v>
      </c>
      <c r="AF57" s="137" t="n">
        <f aca="false">IF(AF56&lt;0,0,ABS(AE56)/AF54)</f>
        <v>57.9555600523661</v>
      </c>
      <c r="AG57" s="137" t="n">
        <f aca="false">IF(AG56&lt;0,0,ABS(AF56)/AG54)</f>
        <v>65.4545569922747</v>
      </c>
      <c r="AH57" s="137" t="n">
        <f aca="false">IF(AH56&lt;0,0,ABS(AG56)/AH54)</f>
        <v>73.5097798370435</v>
      </c>
      <c r="AI57" s="137" t="n">
        <f aca="false">IF(AI56&lt;0,0,ABS(AH56)/AI54)</f>
        <v>82.6533967801965</v>
      </c>
      <c r="AJ57" s="137" t="n">
        <f aca="false">IF(AJ56&lt;0,0,ABS(AI56)/AJ54)</f>
        <v>92.6517363477367</v>
      </c>
      <c r="AK57" s="137" t="n">
        <f aca="false">IF(AK56&lt;0,0,ABS(AJ56)/AK54)</f>
        <v>103.890575476553</v>
      </c>
      <c r="AL57" s="137" t="n">
        <f aca="false">IF(AL56&lt;0,0,ABS(AK56)/AL54)</f>
        <v>116.138398330243</v>
      </c>
    </row>
    <row r="58" customFormat="false" ht="15" hidden="false" customHeight="false" outlineLevel="0" collapsed="false">
      <c r="G58" s="136"/>
      <c r="H58" s="96"/>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row>
    <row r="59" customFormat="false" ht="15" hidden="false" customHeight="false" outlineLevel="0" collapsed="false">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row>
    <row r="60" customFormat="false" ht="15" hidden="false" customHeight="false" outlineLevel="0" collapsed="false">
      <c r="C60" s="70" t="s">
        <v>162</v>
      </c>
      <c r="D60" s="138" t="s">
        <v>112</v>
      </c>
      <c r="E60" s="139" t="n">
        <f aca="false">SUM(H54:AL54)</f>
        <v>71659176.8371762</v>
      </c>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row>
    <row r="61" customFormat="false" ht="15" hidden="false" customHeight="false" outlineLevel="0" collapsed="false">
      <c r="C61" s="73" t="s">
        <v>164</v>
      </c>
      <c r="D61" s="140" t="s">
        <v>102</v>
      </c>
      <c r="E61" s="141"/>
      <c r="F61" s="96"/>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row>
    <row r="62" customFormat="false" ht="15" hidden="false" customHeight="false" outlineLevel="0" collapsed="false">
      <c r="C62" s="73" t="s">
        <v>165</v>
      </c>
      <c r="D62" s="140" t="s">
        <v>209</v>
      </c>
      <c r="E62" s="142" t="n">
        <f aca="false" t="array" ref="E62:E62">IFERROR(COUNTIF(I56:AL56,"&lt;0")+INDEX(I57:AL57,(COUNTIF(I56:AL56,"&lt;0")+1)),"&gt;31")+1</f>
        <v>2.67863304249358</v>
      </c>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row>
    <row r="63" customFormat="false" ht="15" hidden="false" customHeight="false" outlineLevel="0" collapsed="false">
      <c r="C63" s="143" t="s">
        <v>210</v>
      </c>
      <c r="D63" s="144" t="s">
        <v>112</v>
      </c>
      <c r="E63" s="145" t="n">
        <f aca="false">-ROUNDUP(MIN(H40:AL40),-5)</f>
        <v>1700000</v>
      </c>
      <c r="I63" s="96"/>
    </row>
    <row r="66" customFormat="false" ht="15" hidden="false" customHeight="false" outlineLevel="0" collapsed="false">
      <c r="E66" s="130"/>
    </row>
    <row r="67" customFormat="false" ht="15" hidden="false" customHeight="false" outlineLevel="0" collapsed="false">
      <c r="E67" s="130"/>
      <c r="F67" s="100"/>
    </row>
    <row r="68" customFormat="false" ht="15" hidden="false" customHeight="false" outlineLevel="0" collapsed="false">
      <c r="E68" s="130"/>
      <c r="F68" s="100"/>
    </row>
    <row r="69" customFormat="false" ht="15" hidden="false" customHeight="false" outlineLevel="0" collapsed="false">
      <c r="E69" s="130"/>
      <c r="F69" s="100"/>
    </row>
    <row r="70" customFormat="false" ht="15" hidden="false" customHeight="false" outlineLevel="0" collapsed="false">
      <c r="E70" s="130"/>
      <c r="F70" s="100"/>
    </row>
    <row r="71" customFormat="false" ht="15" hidden="false" customHeight="false" outlineLevel="0" collapsed="false">
      <c r="E71" s="130"/>
      <c r="F71" s="100"/>
    </row>
    <row r="72" customFormat="false" ht="15" hidden="false" customHeight="false" outlineLevel="0" collapsed="false">
      <c r="E72" s="130"/>
      <c r="F72" s="100"/>
    </row>
    <row r="73" customFormat="false" ht="15" hidden="false" customHeight="false" outlineLevel="0" collapsed="false">
      <c r="E73" s="146"/>
    </row>
    <row r="74" customFormat="false" ht="15" hidden="false" customHeight="false" outlineLevel="0" collapsed="false">
      <c r="F74" s="100"/>
    </row>
    <row r="75" customFormat="false" ht="15" hidden="false" customHeight="false" outlineLevel="0" collapsed="false">
      <c r="E75" s="147"/>
      <c r="F75" s="100"/>
    </row>
    <row r="76" customFormat="false" ht="15" hidden="false" customHeight="false" outlineLevel="0" collapsed="false">
      <c r="E76" s="96"/>
      <c r="F76" s="148"/>
    </row>
    <row r="77" customFormat="false" ht="15" hidden="false" customHeight="false" outlineLevel="0" collapsed="false">
      <c r="B77" s="38"/>
      <c r="C77" s="38"/>
      <c r="D77" s="127"/>
      <c r="E77" s="38"/>
      <c r="F77" s="38"/>
      <c r="G77" s="38"/>
    </row>
    <row r="78" customFormat="false" ht="15" hidden="false" customHeight="false" outlineLevel="0" collapsed="false">
      <c r="B78" s="149"/>
      <c r="C78" s="38"/>
      <c r="D78" s="127"/>
      <c r="E78" s="38"/>
      <c r="F78" s="38"/>
      <c r="G78" s="38"/>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c r="AJ78" s="149"/>
      <c r="AK78" s="149"/>
    </row>
    <row r="79" customFormat="false" ht="15" hidden="false" customHeight="false" outlineLevel="0" collapsed="false">
      <c r="B79" s="149"/>
      <c r="C79" s="38"/>
      <c r="D79" s="127"/>
      <c r="G79" s="38"/>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c r="AJ79" s="149"/>
      <c r="AK79" s="149"/>
    </row>
    <row r="80" customFormat="false" ht="15" hidden="false" customHeight="false" outlineLevel="0" collapsed="false">
      <c r="B80" s="149"/>
      <c r="C80" s="38"/>
      <c r="D80" s="127"/>
      <c r="E80" s="128"/>
      <c r="F80" s="128"/>
      <c r="G80" s="38"/>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c r="AI80" s="149"/>
      <c r="AJ80" s="149"/>
      <c r="AK80" s="149"/>
    </row>
    <row r="81" customFormat="false" ht="15" hidden="false" customHeight="false" outlineLevel="0" collapsed="false">
      <c r="B81" s="149"/>
      <c r="C81" s="38"/>
      <c r="D81" s="127"/>
      <c r="E81" s="150"/>
      <c r="F81" s="150"/>
      <c r="G81" s="38"/>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c r="AK81" s="149"/>
    </row>
    <row r="300" customFormat="false" ht="15" hidden="false" customHeight="false" outlineLevel="0" collapsed="false">
      <c r="Q300" s="1" t="n">
        <f aca="false">$G300*Q$5</f>
        <v>0</v>
      </c>
    </row>
  </sheetData>
  <printOptions headings="false" gridLines="false" gridLinesSet="true" horizontalCentered="false" verticalCentered="false"/>
  <pageMargins left="0.7" right="0.7" top="0.75" bottom="0.75" header="0.511811023622047" footer="0.511811023622047"/>
  <pageSetup paperSize="1" scale="1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V37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3" ySplit="5" topLeftCell="D159" activePane="bottomRight" state="frozen"/>
      <selection pane="topLeft" activeCell="A1" activeCellId="0" sqref="A1"/>
      <selection pane="topRight" activeCell="D1" activeCellId="0" sqref="D1"/>
      <selection pane="bottomLeft" activeCell="A159" activeCellId="0" sqref="A159"/>
      <selection pane="bottomRight" activeCell="D184" activeCellId="0" sqref="D184"/>
    </sheetView>
  </sheetViews>
  <sheetFormatPr defaultColWidth="8.83203125" defaultRowHeight="15" zeroHeight="false" outlineLevelRow="1" outlineLevelCol="0"/>
  <cols>
    <col collapsed="false" customWidth="true" hidden="false" outlineLevel="0" max="1" min="1" style="0" width="3"/>
    <col collapsed="false" customWidth="true" hidden="false" outlineLevel="0" max="2" min="2" style="0" width="3.83"/>
    <col collapsed="false" customWidth="true" hidden="false" outlineLevel="0" max="3" min="3" style="0" width="37.83"/>
    <col collapsed="false" customWidth="true" hidden="false" outlineLevel="0" max="5" min="4" style="30" width="18.5"/>
    <col collapsed="false" customWidth="true" hidden="false" outlineLevel="0" max="6" min="6" style="0" width="17.16"/>
    <col collapsed="false" customWidth="true" hidden="false" outlineLevel="0" max="7" min="7" style="0" width="16.33"/>
    <col collapsed="false" customWidth="true" hidden="false" outlineLevel="0" max="8" min="8" style="0" width="16.5"/>
    <col collapsed="false" customWidth="true" hidden="false" outlineLevel="0" max="9" min="9" style="0" width="20"/>
    <col collapsed="false" customWidth="true" hidden="false" outlineLevel="0" max="10" min="10" style="151" width="20.51"/>
    <col collapsed="false" customWidth="true" hidden="false" outlineLevel="0" max="14" min="11" style="0" width="15"/>
    <col collapsed="false" customWidth="true" hidden="false" outlineLevel="0" max="15" min="15" style="0" width="14.51"/>
    <col collapsed="false" customWidth="true" hidden="false" outlineLevel="0" max="16" min="16" style="0" width="16.83"/>
    <col collapsed="false" customWidth="true" hidden="false" outlineLevel="0" max="17" min="17" style="0" width="12.33"/>
  </cols>
  <sheetData>
    <row r="2" customFormat="false" ht="17.35" hidden="false" customHeight="false" outlineLevel="0" collapsed="false">
      <c r="B2" s="5" t="str">
        <f aca="false">'1. Project Summary'!B2</f>
        <v>Projections - Serious Shea</v>
      </c>
      <c r="F2" s="22"/>
    </row>
    <row r="3" customFormat="false" ht="15" hidden="false" customHeight="false" outlineLevel="0" collapsed="false">
      <c r="B3" s="1" t="str">
        <f aca="false">'1. Project Summary'!B3</f>
        <v>(in EUR, unless otherwise stated)</v>
      </c>
    </row>
    <row r="4" customFormat="false" ht="15" hidden="false" customHeight="false" outlineLevel="0" collapsed="false">
      <c r="B4" s="1"/>
    </row>
    <row r="5" customFormat="false" ht="15" hidden="false" customHeight="false" outlineLevel="0" collapsed="false">
      <c r="B5" s="152" t="s">
        <v>211</v>
      </c>
      <c r="C5" s="152"/>
      <c r="D5" s="152" t="s">
        <v>87</v>
      </c>
      <c r="E5" s="152"/>
      <c r="F5" s="152"/>
      <c r="G5" s="6"/>
      <c r="H5" s="6"/>
      <c r="I5" s="6"/>
      <c r="J5" s="6"/>
      <c r="K5" s="6"/>
      <c r="L5" s="6"/>
      <c r="M5" s="6"/>
      <c r="N5" s="6"/>
      <c r="O5" s="6"/>
      <c r="P5" s="6"/>
    </row>
    <row r="6" customFormat="false" ht="15" hidden="false" customHeight="false" outlineLevel="1" collapsed="false">
      <c r="B6" s="1"/>
      <c r="K6" s="151"/>
      <c r="L6" s="151"/>
      <c r="M6" s="151"/>
      <c r="N6" s="151"/>
      <c r="O6" s="151"/>
    </row>
    <row r="7" customFormat="false" ht="15" hidden="false" customHeight="false" outlineLevel="1" collapsed="false">
      <c r="B7" s="1" t="s">
        <v>212</v>
      </c>
      <c r="E7" s="30" t="s">
        <v>213</v>
      </c>
      <c r="F7" s="30" t="s">
        <v>214</v>
      </c>
      <c r="G7" s="30" t="s">
        <v>215</v>
      </c>
      <c r="I7" s="4"/>
      <c r="K7" s="151"/>
      <c r="L7" s="151"/>
      <c r="M7" s="151"/>
      <c r="N7" s="151"/>
      <c r="O7" s="151"/>
    </row>
    <row r="8" customFormat="false" ht="15" hidden="false" customHeight="false" outlineLevel="1" collapsed="false">
      <c r="B8" s="1" t="n">
        <v>1</v>
      </c>
      <c r="C8" s="33" t="s">
        <v>216</v>
      </c>
      <c r="D8" s="30" t="s">
        <v>217</v>
      </c>
      <c r="E8" s="153" t="n">
        <v>30000</v>
      </c>
      <c r="F8" s="154" t="n">
        <v>0.025</v>
      </c>
      <c r="G8" s="155" t="n">
        <v>1</v>
      </c>
      <c r="I8" s="33" t="s">
        <v>218</v>
      </c>
      <c r="K8" s="151"/>
      <c r="L8" s="151"/>
      <c r="M8" s="151"/>
      <c r="N8" s="151"/>
      <c r="O8" s="156"/>
    </row>
    <row r="9" customFormat="false" ht="15" hidden="false" customHeight="false" outlineLevel="1" collapsed="false">
      <c r="B9" s="1" t="n">
        <v>2</v>
      </c>
      <c r="C9" s="33" t="s">
        <v>219</v>
      </c>
      <c r="D9" s="30" t="s">
        <v>217</v>
      </c>
      <c r="E9" s="153" t="n">
        <v>5000</v>
      </c>
      <c r="F9" s="154" t="n">
        <v>0.025</v>
      </c>
      <c r="G9" s="155" t="n">
        <v>1</v>
      </c>
      <c r="I9" s="33" t="s">
        <v>218</v>
      </c>
      <c r="K9" s="151"/>
      <c r="L9" s="151"/>
      <c r="M9" s="151"/>
      <c r="N9" s="151"/>
      <c r="O9" s="156"/>
    </row>
    <row r="10" customFormat="false" ht="15" hidden="false" customHeight="false" outlineLevel="1" collapsed="false">
      <c r="B10" s="1" t="n">
        <v>3</v>
      </c>
      <c r="C10" s="33" t="s">
        <v>220</v>
      </c>
      <c r="D10" s="30" t="s">
        <v>217</v>
      </c>
      <c r="E10" s="153" t="n">
        <v>3500</v>
      </c>
      <c r="F10" s="154" t="n">
        <v>0.025</v>
      </c>
      <c r="G10" s="155" t="n">
        <v>0.3</v>
      </c>
      <c r="I10" s="33" t="s">
        <v>218</v>
      </c>
      <c r="K10" s="151"/>
      <c r="L10" s="151"/>
      <c r="M10" s="151"/>
      <c r="N10" s="151"/>
      <c r="O10" s="156"/>
    </row>
    <row r="11" customFormat="false" ht="15" hidden="false" customHeight="false" outlineLevel="1" collapsed="false">
      <c r="B11" s="1" t="n">
        <v>4</v>
      </c>
      <c r="C11" s="33" t="s">
        <v>221</v>
      </c>
      <c r="D11" s="30" t="s">
        <v>217</v>
      </c>
      <c r="E11" s="153" t="n">
        <v>2000</v>
      </c>
      <c r="F11" s="154" t="n">
        <v>0.025</v>
      </c>
      <c r="G11" s="155" t="n">
        <v>0.3</v>
      </c>
      <c r="I11" s="33" t="s">
        <v>218</v>
      </c>
      <c r="K11" s="151"/>
      <c r="L11" s="151"/>
      <c r="M11" s="151"/>
      <c r="N11" s="151"/>
      <c r="O11" s="156"/>
    </row>
    <row r="12" customFormat="false" ht="15" hidden="false" customHeight="false" outlineLevel="1" collapsed="false">
      <c r="B12" s="1" t="n">
        <v>5</v>
      </c>
      <c r="C12" s="33" t="s">
        <v>222</v>
      </c>
      <c r="D12" s="30" t="s">
        <v>217</v>
      </c>
      <c r="E12" s="153" t="n">
        <v>100</v>
      </c>
      <c r="F12" s="154" t="n">
        <v>0.025</v>
      </c>
      <c r="G12" s="155" t="n">
        <v>1</v>
      </c>
      <c r="I12" s="33" t="s">
        <v>223</v>
      </c>
      <c r="K12" s="151"/>
      <c r="L12" s="151"/>
      <c r="M12" s="151"/>
      <c r="N12" s="151"/>
      <c r="O12" s="151"/>
    </row>
    <row r="13" customFormat="false" ht="15" hidden="false" customHeight="false" outlineLevel="1" collapsed="false">
      <c r="B13" s="1" t="n">
        <v>6</v>
      </c>
      <c r="C13" s="33" t="s">
        <v>224</v>
      </c>
      <c r="D13" s="30" t="s">
        <v>217</v>
      </c>
      <c r="E13" s="153"/>
      <c r="F13" s="154"/>
      <c r="G13" s="157"/>
      <c r="K13" s="151"/>
      <c r="L13" s="151"/>
      <c r="M13" s="151"/>
      <c r="N13" s="151"/>
      <c r="O13" s="151"/>
    </row>
    <row r="14" customFormat="false" ht="15" hidden="false" customHeight="false" outlineLevel="1" collapsed="false">
      <c r="B14" s="1"/>
      <c r="F14" s="94"/>
      <c r="K14" s="151"/>
      <c r="L14" s="151"/>
      <c r="M14" s="151"/>
      <c r="N14" s="151"/>
      <c r="O14" s="151"/>
    </row>
    <row r="15" customFormat="false" ht="15" hidden="false" customHeight="false" outlineLevel="1" collapsed="false">
      <c r="B15" s="0" t="s">
        <v>225</v>
      </c>
      <c r="F15" s="94"/>
      <c r="K15" s="151"/>
      <c r="L15" s="151"/>
      <c r="M15" s="151"/>
      <c r="N15" s="151"/>
      <c r="O15" s="151"/>
    </row>
    <row r="16" customFormat="false" ht="15" hidden="false" customHeight="false" outlineLevel="1" collapsed="false">
      <c r="B16" s="1" t="n">
        <v>3</v>
      </c>
      <c r="C16" s="33" t="s">
        <v>220</v>
      </c>
      <c r="D16" s="30" t="s">
        <v>217</v>
      </c>
      <c r="E16" s="153" t="n">
        <v>100</v>
      </c>
      <c r="F16" s="154" t="n">
        <v>0.025</v>
      </c>
      <c r="K16" s="151"/>
      <c r="L16" s="151"/>
      <c r="M16" s="151"/>
      <c r="N16" s="151"/>
      <c r="O16" s="151"/>
    </row>
    <row r="17" customFormat="false" ht="15" hidden="false" customHeight="false" outlineLevel="1" collapsed="false">
      <c r="B17" s="1" t="n">
        <v>4</v>
      </c>
      <c r="C17" s="33" t="s">
        <v>221</v>
      </c>
      <c r="D17" s="30" t="s">
        <v>217</v>
      </c>
      <c r="E17" s="153" t="n">
        <v>200</v>
      </c>
      <c r="F17" s="154" t="n">
        <v>0.025</v>
      </c>
      <c r="K17" s="151"/>
      <c r="L17" s="151"/>
      <c r="M17" s="151"/>
      <c r="N17" s="151"/>
      <c r="O17" s="151"/>
    </row>
    <row r="18" customFormat="false" ht="15" hidden="false" customHeight="false" outlineLevel="0" collapsed="false">
      <c r="B18" s="1"/>
      <c r="K18" s="151"/>
      <c r="L18" s="151"/>
      <c r="M18" s="151"/>
      <c r="N18" s="151"/>
      <c r="O18" s="151"/>
    </row>
    <row r="19" customFormat="false" ht="15" hidden="false" customHeight="false" outlineLevel="0" collapsed="false">
      <c r="B19" s="152" t="s">
        <v>226</v>
      </c>
      <c r="C19" s="152"/>
      <c r="D19" s="152" t="s">
        <v>87</v>
      </c>
      <c r="E19" s="152"/>
      <c r="F19" s="152"/>
      <c r="G19" s="6"/>
      <c r="H19" s="6"/>
      <c r="I19" s="6"/>
      <c r="J19" s="6"/>
      <c r="K19" s="6"/>
      <c r="L19" s="6"/>
      <c r="M19" s="6"/>
      <c r="N19" s="6"/>
      <c r="O19" s="6"/>
      <c r="P19" s="6"/>
    </row>
    <row r="20" customFormat="false" ht="15" hidden="false" customHeight="false" outlineLevel="0" collapsed="false">
      <c r="B20" s="158" t="s">
        <v>227</v>
      </c>
      <c r="C20" s="159"/>
      <c r="D20" s="160"/>
      <c r="E20" s="160"/>
      <c r="F20" s="159"/>
      <c r="G20" s="159"/>
      <c r="H20" s="159"/>
      <c r="I20" s="159"/>
      <c r="J20" s="161"/>
      <c r="K20" s="161"/>
      <c r="L20" s="161"/>
      <c r="M20" s="161"/>
      <c r="N20" s="161"/>
      <c r="O20" s="161"/>
      <c r="P20" s="161"/>
    </row>
    <row r="21" customFormat="false" ht="15" hidden="false" customHeight="false" outlineLevel="1" collapsed="false">
      <c r="B21" s="162" t="s">
        <v>228</v>
      </c>
    </row>
    <row r="22" customFormat="false" ht="15" hidden="false" customHeight="false" outlineLevel="1" collapsed="false">
      <c r="C22" s="163" t="s">
        <v>229</v>
      </c>
      <c r="D22" s="164" t="s">
        <v>209</v>
      </c>
      <c r="E22" s="164"/>
      <c r="F22" s="165" t="n">
        <v>3</v>
      </c>
      <c r="G22" s="11" t="s">
        <v>230</v>
      </c>
    </row>
    <row r="23" customFormat="false" ht="15" hidden="false" customHeight="false" outlineLevel="1" collapsed="false">
      <c r="C23" s="163" t="s">
        <v>231</v>
      </c>
      <c r="D23" s="164" t="s">
        <v>209</v>
      </c>
      <c r="E23" s="164"/>
      <c r="F23" s="165" t="n">
        <v>1</v>
      </c>
      <c r="G23" s="11" t="s">
        <v>232</v>
      </c>
    </row>
    <row r="24" customFormat="false" ht="15" hidden="false" customHeight="false" outlineLevel="1" collapsed="false">
      <c r="C24" s="34" t="s">
        <v>233</v>
      </c>
      <c r="D24" s="164" t="s">
        <v>209</v>
      </c>
      <c r="E24" s="164"/>
      <c r="F24" s="165" t="n">
        <v>2</v>
      </c>
      <c r="G24" s="11" t="s">
        <v>234</v>
      </c>
    </row>
    <row r="25" customFormat="false" ht="15" hidden="false" customHeight="false" outlineLevel="1" collapsed="false">
      <c r="C25" s="34" t="s">
        <v>235</v>
      </c>
      <c r="D25" s="164" t="s">
        <v>209</v>
      </c>
      <c r="E25" s="164"/>
      <c r="F25" s="165" t="n">
        <v>2</v>
      </c>
      <c r="G25" s="11" t="s">
        <v>236</v>
      </c>
    </row>
    <row r="26" customFormat="false" ht="15" hidden="false" customHeight="false" outlineLevel="1" collapsed="false">
      <c r="C26" s="34" t="s">
        <v>237</v>
      </c>
      <c r="D26" s="164" t="s">
        <v>209</v>
      </c>
      <c r="E26" s="164"/>
      <c r="F26" s="165" t="n">
        <v>2</v>
      </c>
      <c r="G26" s="11"/>
    </row>
    <row r="27" customFormat="false" ht="15" hidden="false" customHeight="false" outlineLevel="1" collapsed="false">
      <c r="C27" s="34" t="s">
        <v>238</v>
      </c>
      <c r="D27" s="164" t="s">
        <v>209</v>
      </c>
      <c r="E27" s="164"/>
      <c r="F27" s="165" t="n">
        <v>6</v>
      </c>
      <c r="G27" s="44" t="s">
        <v>239</v>
      </c>
    </row>
    <row r="28" customFormat="false" ht="15" hidden="false" customHeight="false" outlineLevel="1" collapsed="false"/>
    <row r="29" customFormat="false" ht="15" hidden="false" customHeight="false" outlineLevel="1" collapsed="false">
      <c r="B29" s="0" t="s">
        <v>240</v>
      </c>
    </row>
    <row r="30" customFormat="false" ht="15" hidden="false" customHeight="false" outlineLevel="1" collapsed="false">
      <c r="C30" s="34" t="s">
        <v>241</v>
      </c>
      <c r="D30" s="30" t="s">
        <v>163</v>
      </c>
      <c r="F30" s="166" t="n">
        <v>73250</v>
      </c>
      <c r="G30" s="162" t="s">
        <v>242</v>
      </c>
      <c r="H30" s="167" t="s">
        <v>243</v>
      </c>
      <c r="I30" s="167" t="s">
        <v>244</v>
      </c>
    </row>
    <row r="31" customFormat="false" ht="15" hidden="false" customHeight="false" outlineLevel="1" collapsed="false">
      <c r="C31" s="11" t="s">
        <v>245</v>
      </c>
      <c r="D31" s="30" t="s">
        <v>163</v>
      </c>
      <c r="F31" s="166" t="n">
        <f aca="false">AVERAGE(H31:I31)</f>
        <v>5000</v>
      </c>
      <c r="H31" s="168" t="n">
        <v>0</v>
      </c>
      <c r="I31" s="168" t="n">
        <v>10000</v>
      </c>
      <c r="J31" s="151" t="s">
        <v>246</v>
      </c>
    </row>
    <row r="32" customFormat="false" ht="15" hidden="false" customHeight="false" outlineLevel="1" collapsed="false">
      <c r="C32" s="169" t="s">
        <v>247</v>
      </c>
      <c r="D32" s="30" t="s">
        <v>163</v>
      </c>
      <c r="F32" s="166" t="n">
        <f aca="false">AVERAGE(H32:I32)</f>
        <v>200000</v>
      </c>
      <c r="H32" s="168" t="n">
        <f aca="false">250000-H34</f>
        <v>170000</v>
      </c>
      <c r="I32" s="168" t="n">
        <f aca="false">350000-I34</f>
        <v>230000</v>
      </c>
      <c r="J32" s="151" t="s">
        <v>246</v>
      </c>
    </row>
    <row r="33" customFormat="false" ht="15" hidden="false" customHeight="false" outlineLevel="1" collapsed="false">
      <c r="C33" s="11" t="s">
        <v>248</v>
      </c>
      <c r="D33" s="30" t="s">
        <v>163</v>
      </c>
      <c r="F33" s="170" t="n">
        <f aca="false">AVERAGE(H33:I33)</f>
        <v>62500</v>
      </c>
      <c r="H33" s="168" t="n">
        <v>50000</v>
      </c>
      <c r="I33" s="168" t="n">
        <v>75000</v>
      </c>
      <c r="J33" s="151" t="s">
        <v>246</v>
      </c>
    </row>
    <row r="34" customFormat="false" ht="15" hidden="false" customHeight="false" outlineLevel="1" collapsed="false">
      <c r="C34" s="169" t="s">
        <v>249</v>
      </c>
      <c r="D34" s="30" t="s">
        <v>163</v>
      </c>
      <c r="F34" s="171" t="n">
        <f aca="false">AVERAGE(H34:I34)</f>
        <v>100000</v>
      </c>
      <c r="H34" s="168" t="n">
        <v>80000</v>
      </c>
      <c r="I34" s="168" t="n">
        <v>120000</v>
      </c>
      <c r="J34" s="151" t="s">
        <v>250</v>
      </c>
    </row>
    <row r="35" customFormat="false" ht="15" hidden="false" customHeight="false" outlineLevel="1" collapsed="false">
      <c r="C35" s="14" t="s">
        <v>251</v>
      </c>
      <c r="D35" s="30" t="s">
        <v>163</v>
      </c>
      <c r="F35" s="172" t="n">
        <v>22500</v>
      </c>
      <c r="G35" s="33" t="s">
        <v>252</v>
      </c>
    </row>
    <row r="36" customFormat="false" ht="15" hidden="false" customHeight="false" outlineLevel="1" collapsed="false">
      <c r="C36" s="14" t="s">
        <v>253</v>
      </c>
      <c r="D36" s="30" t="s">
        <v>163</v>
      </c>
      <c r="F36" s="172" t="n">
        <v>100000</v>
      </c>
      <c r="G36" s="33" t="s">
        <v>254</v>
      </c>
    </row>
    <row r="37" customFormat="false" ht="15" hidden="false" customHeight="false" outlineLevel="1" collapsed="false">
      <c r="C37" s="11"/>
      <c r="F37" s="173"/>
      <c r="G37" s="1"/>
    </row>
    <row r="38" customFormat="false" ht="15" hidden="false" customHeight="false" outlineLevel="1" collapsed="false">
      <c r="B38" s="0" t="s">
        <v>255</v>
      </c>
    </row>
    <row r="39" customFormat="false" ht="15" hidden="false" customHeight="false" outlineLevel="1" collapsed="false">
      <c r="C39" s="38" t="s">
        <v>256</v>
      </c>
      <c r="D39" s="30" t="s">
        <v>163</v>
      </c>
      <c r="E39" s="174"/>
      <c r="F39" s="168" t="n">
        <v>500</v>
      </c>
      <c r="G39" s="33" t="s">
        <v>257</v>
      </c>
      <c r="I39" s="175" t="s">
        <v>258</v>
      </c>
    </row>
    <row r="40" customFormat="false" ht="15" hidden="false" customHeight="false" outlineLevel="1" collapsed="false">
      <c r="C40" s="38" t="s">
        <v>259</v>
      </c>
      <c r="D40" s="30" t="s">
        <v>260</v>
      </c>
      <c r="E40" s="174"/>
      <c r="F40" s="168" t="n">
        <v>500</v>
      </c>
      <c r="G40" s="33" t="s">
        <v>257</v>
      </c>
    </row>
    <row r="41" customFormat="false" ht="15" hidden="false" customHeight="false" outlineLevel="1" collapsed="false">
      <c r="C41" s="38" t="s">
        <v>261</v>
      </c>
      <c r="D41" s="30" t="s">
        <v>262</v>
      </c>
      <c r="E41" s="174"/>
      <c r="F41" s="168" t="n">
        <v>1000</v>
      </c>
      <c r="G41" s="33" t="s">
        <v>257</v>
      </c>
    </row>
    <row r="42" customFormat="false" ht="15" hidden="false" customHeight="false" outlineLevel="1" collapsed="false">
      <c r="C42" s="38" t="s">
        <v>263</v>
      </c>
      <c r="D42" s="30" t="s">
        <v>262</v>
      </c>
      <c r="E42" s="174"/>
      <c r="F42" s="168" t="n">
        <v>2500</v>
      </c>
      <c r="G42" s="33" t="s">
        <v>257</v>
      </c>
    </row>
    <row r="43" customFormat="false" ht="15" hidden="false" customHeight="false" outlineLevel="1" collapsed="false">
      <c r="C43" s="38" t="s">
        <v>264</v>
      </c>
      <c r="D43" s="30" t="s">
        <v>265</v>
      </c>
      <c r="E43" s="174"/>
      <c r="F43" s="176" t="n">
        <v>0.2</v>
      </c>
      <c r="G43" s="33" t="s">
        <v>257</v>
      </c>
    </row>
    <row r="44" customFormat="false" ht="15" hidden="false" customHeight="false" outlineLevel="1" collapsed="false">
      <c r="C44" s="38" t="s">
        <v>266</v>
      </c>
      <c r="D44" s="30" t="s">
        <v>267</v>
      </c>
      <c r="E44" s="174"/>
      <c r="F44" s="176" t="n">
        <v>0.07</v>
      </c>
      <c r="G44" s="33" t="s">
        <v>268</v>
      </c>
      <c r="I44" s="175" t="s">
        <v>269</v>
      </c>
    </row>
    <row r="45" customFormat="false" ht="15" hidden="false" customHeight="false" outlineLevel="1" collapsed="false">
      <c r="C45" s="38" t="s">
        <v>270</v>
      </c>
      <c r="D45" s="30" t="s">
        <v>163</v>
      </c>
      <c r="E45" s="174"/>
      <c r="F45" s="168" t="n">
        <v>500</v>
      </c>
      <c r="G45" s="33" t="s">
        <v>268</v>
      </c>
    </row>
    <row r="46" customFormat="false" ht="15" hidden="false" customHeight="false" outlineLevel="1" collapsed="false">
      <c r="C46" s="11" t="s">
        <v>271</v>
      </c>
      <c r="D46" s="30" t="s">
        <v>163</v>
      </c>
      <c r="F46" s="168" t="n">
        <v>15000</v>
      </c>
      <c r="G46" s="1" t="s">
        <v>272</v>
      </c>
    </row>
    <row r="47" customFormat="false" ht="15" hidden="false" customHeight="false" outlineLevel="1" collapsed="false">
      <c r="C47" s="14" t="s">
        <v>273</v>
      </c>
      <c r="D47" s="30" t="s">
        <v>163</v>
      </c>
      <c r="F47" s="168" t="n">
        <v>5000</v>
      </c>
      <c r="G47" s="33" t="s">
        <v>268</v>
      </c>
      <c r="I47" s="1" t="s">
        <v>274</v>
      </c>
    </row>
    <row r="48" customFormat="false" ht="15" hidden="false" customHeight="false" outlineLevel="1" collapsed="false">
      <c r="C48" s="11" t="s">
        <v>275</v>
      </c>
      <c r="D48" s="30" t="s">
        <v>163</v>
      </c>
      <c r="F48" s="168" t="n">
        <v>18000</v>
      </c>
      <c r="G48" s="1" t="s">
        <v>254</v>
      </c>
    </row>
    <row r="49" customFormat="false" ht="15" hidden="false" customHeight="false" outlineLevel="1" collapsed="false">
      <c r="C49" s="11" t="s">
        <v>276</v>
      </c>
      <c r="D49" s="30" t="s">
        <v>163</v>
      </c>
      <c r="F49" s="168" t="n">
        <v>50000</v>
      </c>
      <c r="G49" s="1" t="s">
        <v>254</v>
      </c>
    </row>
    <row r="50" customFormat="false" ht="15" hidden="false" customHeight="false" outlineLevel="1" collapsed="false"/>
    <row r="51" customFormat="false" ht="15" hidden="false" customHeight="false" outlineLevel="0" collapsed="false">
      <c r="B51" s="158" t="s">
        <v>24</v>
      </c>
      <c r="C51" s="177"/>
      <c r="D51" s="178"/>
      <c r="E51" s="178"/>
      <c r="F51" s="178"/>
      <c r="G51" s="178"/>
      <c r="H51" s="178"/>
      <c r="I51" s="178"/>
      <c r="J51" s="178"/>
      <c r="K51" s="178"/>
      <c r="L51" s="178"/>
      <c r="M51" s="178"/>
      <c r="N51" s="178"/>
      <c r="O51" s="178"/>
      <c r="P51" s="178"/>
    </row>
    <row r="52" customFormat="false" ht="15" hidden="false" customHeight="false" outlineLevel="1" collapsed="false">
      <c r="E52" s="30" t="n">
        <v>2023</v>
      </c>
      <c r="F52" s="30" t="n">
        <f aca="false">E52+1</f>
        <v>2024</v>
      </c>
      <c r="G52" s="30" t="n">
        <f aca="false">F52+1</f>
        <v>2025</v>
      </c>
      <c r="H52" s="30" t="n">
        <f aca="false">G52+1</f>
        <v>2026</v>
      </c>
      <c r="I52" s="30" t="n">
        <f aca="false">H52+1</f>
        <v>2027</v>
      </c>
      <c r="J52" s="30" t="n">
        <f aca="false">I52+1</f>
        <v>2028</v>
      </c>
      <c r="K52" s="30" t="n">
        <f aca="false">J52+1</f>
        <v>2029</v>
      </c>
      <c r="L52" s="30" t="n">
        <f aca="false">K52+1</f>
        <v>2030</v>
      </c>
      <c r="M52" s="30" t="n">
        <f aca="false">L52+1</f>
        <v>2031</v>
      </c>
      <c r="N52" s="30" t="n">
        <f aca="false">M52+1</f>
        <v>2032</v>
      </c>
      <c r="O52" s="30" t="n">
        <f aca="false">N52+1</f>
        <v>2033</v>
      </c>
    </row>
    <row r="53" customFormat="false" ht="15" hidden="false" customHeight="false" outlineLevel="1" collapsed="false">
      <c r="C53" s="0" t="s">
        <v>277</v>
      </c>
      <c r="D53" s="30" t="s">
        <v>278</v>
      </c>
      <c r="E53" s="153" t="n">
        <v>1000000</v>
      </c>
      <c r="F53" s="153" t="n">
        <v>1600000</v>
      </c>
      <c r="G53" s="153" t="n">
        <v>1600000</v>
      </c>
      <c r="H53" s="153" t="n">
        <v>1600000</v>
      </c>
      <c r="I53" s="153" t="n">
        <v>1600000</v>
      </c>
      <c r="J53" s="153" t="n">
        <v>1600000</v>
      </c>
      <c r="K53" s="153" t="n">
        <v>1600000</v>
      </c>
      <c r="L53" s="153" t="n">
        <v>1600000</v>
      </c>
      <c r="M53" s="179" t="n">
        <f aca="false">0</f>
        <v>0</v>
      </c>
      <c r="N53" s="179" t="n">
        <f aca="false">M53</f>
        <v>0</v>
      </c>
      <c r="O53" s="179" t="n">
        <f aca="false">N53</f>
        <v>0</v>
      </c>
    </row>
    <row r="54" customFormat="false" ht="15" hidden="false" customHeight="false" outlineLevel="1" collapsed="false">
      <c r="C54" s="0" t="s">
        <v>279</v>
      </c>
      <c r="D54" s="30" t="s">
        <v>278</v>
      </c>
      <c r="E54" s="180" t="n">
        <f aca="false">SUM($E53:E$53)</f>
        <v>1000000</v>
      </c>
      <c r="F54" s="180" t="n">
        <f aca="false">SUM($E53:F$53)</f>
        <v>2600000</v>
      </c>
      <c r="G54" s="180" t="n">
        <f aca="false">SUM($E53:G$53)</f>
        <v>4200000</v>
      </c>
      <c r="H54" s="180" t="n">
        <f aca="false">SUM($E53:H$53)</f>
        <v>5800000</v>
      </c>
      <c r="I54" s="180" t="n">
        <f aca="false">SUM($E53:I$53)</f>
        <v>7400000</v>
      </c>
      <c r="J54" s="180" t="n">
        <f aca="false">SUM($E53:J$53)</f>
        <v>9000000</v>
      </c>
      <c r="K54" s="180" t="n">
        <f aca="false">SUM($E53:K$53)</f>
        <v>10600000</v>
      </c>
      <c r="L54" s="180" t="n">
        <f aca="false">SUM($E53:L$53)</f>
        <v>12200000</v>
      </c>
      <c r="M54" s="180" t="n">
        <f aca="false">SUM($E53:M$53)</f>
        <v>12200000</v>
      </c>
      <c r="N54" s="180" t="n">
        <f aca="false">SUM($E53:N$53)</f>
        <v>12200000</v>
      </c>
      <c r="O54" s="180" t="n">
        <f aca="false">SUM($E53:O$53)</f>
        <v>12200000</v>
      </c>
    </row>
    <row r="55" customFormat="false" ht="15" hidden="false" customHeight="false" outlineLevel="1" collapsed="false"/>
    <row r="56" customFormat="false" ht="15" hidden="false" customHeight="false" outlineLevel="1" collapsed="false">
      <c r="C56" s="0" t="s">
        <v>280</v>
      </c>
      <c r="E56" s="181" t="n">
        <v>0.15</v>
      </c>
    </row>
    <row r="57" customFormat="false" ht="15" hidden="false" customHeight="false" outlineLevel="1" collapsed="false"/>
    <row r="58" customFormat="false" ht="15" hidden="false" customHeight="false" outlineLevel="0" collapsed="false">
      <c r="B58" s="182" t="s">
        <v>281</v>
      </c>
      <c r="C58" s="182"/>
      <c r="D58" s="183"/>
      <c r="E58" s="184"/>
      <c r="F58" s="184"/>
      <c r="G58" s="184"/>
      <c r="H58" s="184"/>
      <c r="I58" s="184"/>
      <c r="J58" s="184"/>
      <c r="K58" s="184"/>
      <c r="L58" s="184"/>
      <c r="M58" s="184"/>
      <c r="N58" s="184"/>
      <c r="O58" s="184"/>
      <c r="P58" s="184"/>
    </row>
    <row r="59" customFormat="false" ht="15" hidden="false" customHeight="false" outlineLevel="1" collapsed="false">
      <c r="C59" s="0" t="s">
        <v>282</v>
      </c>
      <c r="D59" s="30" t="s">
        <v>283</v>
      </c>
      <c r="E59" s="153" t="n">
        <v>15</v>
      </c>
    </row>
    <row r="60" customFormat="false" ht="15" hidden="false" customHeight="false" outlineLevel="1" collapsed="false">
      <c r="C60" s="0" t="s">
        <v>284</v>
      </c>
      <c r="D60" s="30" t="s">
        <v>285</v>
      </c>
      <c r="E60" s="153" t="n">
        <v>1000000</v>
      </c>
    </row>
    <row r="61" customFormat="false" ht="15" hidden="false" customHeight="false" outlineLevel="1" collapsed="false"/>
    <row r="62" customFormat="false" ht="15" hidden="false" customHeight="false" outlineLevel="1" collapsed="false"/>
    <row r="63" customFormat="false" ht="15" hidden="false" customHeight="false" outlineLevel="1" collapsed="false">
      <c r="C63" s="24" t="s">
        <v>286</v>
      </c>
      <c r="E63" s="185" t="s">
        <v>287</v>
      </c>
      <c r="F63" s="185" t="s">
        <v>288</v>
      </c>
      <c r="G63" s="185" t="s">
        <v>289</v>
      </c>
    </row>
    <row r="64" customFormat="false" ht="15" hidden="false" customHeight="false" outlineLevel="1" collapsed="false">
      <c r="C64" s="1" t="s">
        <v>290</v>
      </c>
      <c r="D64" s="1" t="s">
        <v>291</v>
      </c>
      <c r="E64" s="179" t="n">
        <v>5000</v>
      </c>
      <c r="F64" s="179" t="n">
        <v>15</v>
      </c>
      <c r="G64" s="186" t="n">
        <f aca="false">E64*F64</f>
        <v>75000</v>
      </c>
      <c r="H64" s="33" t="s">
        <v>292</v>
      </c>
    </row>
    <row r="65" customFormat="false" ht="15" hidden="false" customHeight="false" outlineLevel="1" collapsed="false">
      <c r="C65" s="1" t="s">
        <v>293</v>
      </c>
      <c r="D65" s="1" t="s">
        <v>294</v>
      </c>
      <c r="E65" s="179" t="n">
        <v>10</v>
      </c>
      <c r="F65" s="179" t="n">
        <v>3700</v>
      </c>
      <c r="G65" s="186" t="n">
        <f aca="false">E65*F65</f>
        <v>37000</v>
      </c>
      <c r="H65" s="33" t="s">
        <v>295</v>
      </c>
    </row>
    <row r="66" customFormat="false" ht="15" hidden="false" customHeight="false" outlineLevel="1" collapsed="false">
      <c r="C66" s="1" t="s">
        <v>296</v>
      </c>
      <c r="D66" s="187" t="s">
        <v>297</v>
      </c>
      <c r="E66" s="179" t="n">
        <v>1000</v>
      </c>
      <c r="F66" s="179" t="n">
        <v>50</v>
      </c>
      <c r="G66" s="186" t="n">
        <f aca="false">E66*F66</f>
        <v>50000</v>
      </c>
      <c r="H66" s="33" t="s">
        <v>295</v>
      </c>
    </row>
    <row r="67" customFormat="false" ht="15" hidden="false" customHeight="false" outlineLevel="1" collapsed="false">
      <c r="C67" s="1" t="s">
        <v>298</v>
      </c>
      <c r="D67" s="187" t="s">
        <v>297</v>
      </c>
      <c r="E67" s="179" t="n">
        <v>25000</v>
      </c>
      <c r="F67" s="179" t="n">
        <v>2</v>
      </c>
      <c r="G67" s="186" t="n">
        <f aca="false">E67*F67</f>
        <v>50000</v>
      </c>
      <c r="H67" s="33" t="s">
        <v>295</v>
      </c>
    </row>
    <row r="68" customFormat="false" ht="15" hidden="false" customHeight="false" outlineLevel="1" collapsed="false">
      <c r="C68" s="1" t="s">
        <v>299</v>
      </c>
      <c r="D68" s="187" t="s">
        <v>300</v>
      </c>
      <c r="E68" s="179" t="n">
        <v>10937.5</v>
      </c>
      <c r="F68" s="179" t="n">
        <v>2</v>
      </c>
      <c r="G68" s="186" t="n">
        <f aca="false">E68*F68</f>
        <v>21875</v>
      </c>
      <c r="H68" s="33" t="s">
        <v>301</v>
      </c>
    </row>
    <row r="69" customFormat="false" ht="15" hidden="false" customHeight="false" outlineLevel="1" collapsed="false">
      <c r="C69" s="1" t="s">
        <v>302</v>
      </c>
      <c r="D69" s="187" t="s">
        <v>300</v>
      </c>
      <c r="E69" s="179" t="n">
        <v>15000</v>
      </c>
      <c r="F69" s="179" t="n">
        <v>2</v>
      </c>
      <c r="G69" s="186" t="n">
        <f aca="false">E69*F69</f>
        <v>30000</v>
      </c>
      <c r="H69" s="33" t="s">
        <v>301</v>
      </c>
    </row>
    <row r="70" customFormat="false" ht="15" hidden="false" customHeight="false" outlineLevel="1" collapsed="false">
      <c r="C70" s="1" t="s">
        <v>303</v>
      </c>
      <c r="D70" s="187" t="s">
        <v>300</v>
      </c>
      <c r="E70" s="179" t="n">
        <v>2343.75</v>
      </c>
      <c r="F70" s="179" t="n">
        <v>5</v>
      </c>
      <c r="G70" s="186" t="n">
        <f aca="false">E70*F70</f>
        <v>11718.75</v>
      </c>
      <c r="H70" s="33" t="s">
        <v>301</v>
      </c>
    </row>
    <row r="71" customFormat="false" ht="15" hidden="false" customHeight="false" outlineLevel="1" collapsed="false">
      <c r="C71" s="1" t="s">
        <v>304</v>
      </c>
      <c r="D71" s="187" t="s">
        <v>305</v>
      </c>
      <c r="E71" s="179" t="n">
        <v>50000</v>
      </c>
      <c r="F71" s="179" t="n">
        <v>1</v>
      </c>
      <c r="G71" s="186" t="n">
        <f aca="false">E71*F71</f>
        <v>50000</v>
      </c>
      <c r="H71" s="33" t="s">
        <v>301</v>
      </c>
    </row>
    <row r="72" customFormat="false" ht="15" hidden="false" customHeight="false" outlineLevel="1" collapsed="false">
      <c r="C72" s="1" t="s">
        <v>306</v>
      </c>
      <c r="D72" s="187" t="s">
        <v>300</v>
      </c>
      <c r="E72" s="179" t="n">
        <v>800</v>
      </c>
      <c r="F72" s="179" t="n">
        <v>30</v>
      </c>
      <c r="G72" s="186" t="n">
        <f aca="false">E72*F72</f>
        <v>24000</v>
      </c>
      <c r="H72" s="33" t="s">
        <v>301</v>
      </c>
    </row>
    <row r="73" customFormat="false" ht="15" hidden="false" customHeight="false" outlineLevel="1" collapsed="false">
      <c r="C73" s="1" t="s">
        <v>307</v>
      </c>
      <c r="D73" s="187" t="s">
        <v>308</v>
      </c>
      <c r="E73" s="179" t="n">
        <v>5</v>
      </c>
      <c r="F73" s="179" t="n">
        <f aca="false">1000000/50</f>
        <v>20000</v>
      </c>
      <c r="G73" s="186" t="n">
        <f aca="false">E73*F73</f>
        <v>100000</v>
      </c>
      <c r="H73" s="33" t="s">
        <v>307</v>
      </c>
    </row>
    <row r="74" customFormat="false" ht="15" hidden="false" customHeight="false" outlineLevel="1" collapsed="false">
      <c r="C74" s="1" t="s">
        <v>309</v>
      </c>
      <c r="D74" s="187" t="s">
        <v>300</v>
      </c>
      <c r="E74" s="179" t="n">
        <v>31250</v>
      </c>
      <c r="F74" s="179" t="n">
        <v>1</v>
      </c>
      <c r="G74" s="186" t="n">
        <f aca="false">E74*F74</f>
        <v>31250</v>
      </c>
      <c r="H74" s="33" t="s">
        <v>310</v>
      </c>
    </row>
    <row r="75" customFormat="false" ht="15" hidden="false" customHeight="false" outlineLevel="1" collapsed="false">
      <c r="C75" s="1" t="s">
        <v>311</v>
      </c>
      <c r="D75" s="187" t="s">
        <v>300</v>
      </c>
      <c r="E75" s="179" t="n">
        <v>20000</v>
      </c>
      <c r="F75" s="179" t="n">
        <v>2</v>
      </c>
      <c r="G75" s="186" t="n">
        <f aca="false">E75*F75</f>
        <v>40000</v>
      </c>
      <c r="H75" s="33" t="s">
        <v>310</v>
      </c>
    </row>
    <row r="76" customFormat="false" ht="15" hidden="false" customHeight="false" outlineLevel="1" collapsed="false">
      <c r="C76" s="1" t="s">
        <v>312</v>
      </c>
      <c r="D76" s="187" t="s">
        <v>300</v>
      </c>
      <c r="E76" s="179" t="n">
        <v>7000</v>
      </c>
      <c r="F76" s="179" t="n">
        <v>2</v>
      </c>
      <c r="G76" s="186" t="n">
        <f aca="false">E76*F76</f>
        <v>14000</v>
      </c>
      <c r="H76" s="33" t="s">
        <v>310</v>
      </c>
    </row>
    <row r="77" customFormat="false" ht="15" hidden="false" customHeight="false" outlineLevel="1" collapsed="false">
      <c r="C77" s="8" t="s">
        <v>313</v>
      </c>
      <c r="G77" s="60" t="n">
        <f aca="false">SUM(G64:G76)</f>
        <v>534843.75</v>
      </c>
    </row>
    <row r="78" customFormat="false" ht="15" hidden="false" customHeight="false" outlineLevel="1" collapsed="false"/>
    <row r="79" customFormat="false" ht="15" hidden="false" customHeight="false" outlineLevel="1" collapsed="false">
      <c r="E79" s="30" t="n">
        <v>2023</v>
      </c>
      <c r="F79" s="30" t="n">
        <f aca="false">E79+1</f>
        <v>2024</v>
      </c>
      <c r="G79" s="30" t="n">
        <f aca="false">F79+1</f>
        <v>2025</v>
      </c>
      <c r="H79" s="30" t="n">
        <f aca="false">G79+1</f>
        <v>2026</v>
      </c>
      <c r="I79" s="30" t="n">
        <f aca="false">H79+1</f>
        <v>2027</v>
      </c>
      <c r="J79" s="30" t="n">
        <f aca="false">I79+1</f>
        <v>2028</v>
      </c>
      <c r="K79" s="30" t="n">
        <f aca="false">J79+1</f>
        <v>2029</v>
      </c>
      <c r="L79" s="30" t="n">
        <f aca="false">K79+1</f>
        <v>2030</v>
      </c>
      <c r="M79" s="30" t="n">
        <f aca="false">L79+1</f>
        <v>2031</v>
      </c>
      <c r="N79" s="30" t="n">
        <f aca="false">M79+1</f>
        <v>2032</v>
      </c>
      <c r="O79" s="30" t="n">
        <f aca="false">N79+1</f>
        <v>2033</v>
      </c>
    </row>
    <row r="80" customFormat="false" ht="15" hidden="false" customHeight="false" outlineLevel="1" collapsed="false">
      <c r="C80" s="0" t="s">
        <v>314</v>
      </c>
      <c r="E80" s="188" t="n">
        <v>1</v>
      </c>
      <c r="F80" s="188" t="n">
        <v>1</v>
      </c>
      <c r="G80" s="189" t="n">
        <v>0</v>
      </c>
      <c r="H80" s="189" t="n">
        <v>0</v>
      </c>
      <c r="I80" s="189" t="n">
        <v>0</v>
      </c>
      <c r="J80" s="189" t="n">
        <f aca="false">I80</f>
        <v>0</v>
      </c>
      <c r="K80" s="189" t="n">
        <f aca="false">J80</f>
        <v>0</v>
      </c>
      <c r="L80" s="189" t="n">
        <f aca="false">K80</f>
        <v>0</v>
      </c>
      <c r="M80" s="189" t="n">
        <f aca="false">L80</f>
        <v>0</v>
      </c>
      <c r="N80" s="189" t="n">
        <f aca="false">M80</f>
        <v>0</v>
      </c>
      <c r="O80" s="189" t="n">
        <f aca="false">N80</f>
        <v>0</v>
      </c>
    </row>
    <row r="81" customFormat="false" ht="15" hidden="false" customHeight="false" outlineLevel="1" collapsed="false">
      <c r="C81" s="13" t="s">
        <v>315</v>
      </c>
      <c r="E81" s="190" t="n">
        <f aca="false">SUM($E$80:E80)</f>
        <v>1</v>
      </c>
      <c r="F81" s="190" t="n">
        <f aca="false">SUM($E$80:F80)</f>
        <v>2</v>
      </c>
      <c r="G81" s="190" t="n">
        <f aca="false">SUM($E$80:G80)</f>
        <v>2</v>
      </c>
      <c r="H81" s="190" t="n">
        <f aca="false">SUM($E$80:H80)</f>
        <v>2</v>
      </c>
      <c r="I81" s="190" t="n">
        <f aca="false">SUM($E$80:I80)</f>
        <v>2</v>
      </c>
      <c r="J81" s="190" t="n">
        <f aca="false">SUM($E$80:J80)</f>
        <v>2</v>
      </c>
      <c r="K81" s="190" t="n">
        <f aca="false">SUM($E$80:K80)</f>
        <v>2</v>
      </c>
      <c r="L81" s="190" t="n">
        <f aca="false">SUM($E$80:L80)</f>
        <v>2</v>
      </c>
      <c r="M81" s="190" t="n">
        <f aca="false">SUM($E$80:M80)</f>
        <v>2</v>
      </c>
      <c r="N81" s="190" t="n">
        <f aca="false">SUM($E$80:N80)</f>
        <v>2</v>
      </c>
      <c r="O81" s="190" t="n">
        <f aca="false">SUM($E$80:O80)</f>
        <v>2</v>
      </c>
    </row>
    <row r="82" customFormat="false" ht="15" hidden="false" customHeight="false" outlineLevel="1" collapsed="false"/>
    <row r="83" customFormat="false" ht="15" hidden="false" customHeight="false" outlineLevel="1" collapsed="false">
      <c r="C83" s="24" t="s">
        <v>316</v>
      </c>
    </row>
    <row r="84" customFormat="false" ht="15" hidden="false" customHeight="false" outlineLevel="1" collapsed="false">
      <c r="E84" s="185" t="s">
        <v>317</v>
      </c>
    </row>
    <row r="85" customFormat="false" ht="15" hidden="false" customHeight="false" outlineLevel="1" collapsed="false">
      <c r="C85" s="0" t="s">
        <v>318</v>
      </c>
      <c r="D85" s="30" t="s">
        <v>319</v>
      </c>
      <c r="E85" s="188" t="n">
        <v>0.5</v>
      </c>
    </row>
    <row r="86" customFormat="false" ht="15" hidden="false" customHeight="false" outlineLevel="1" collapsed="false">
      <c r="C86" s="0" t="s">
        <v>320</v>
      </c>
      <c r="D86" s="30" t="s">
        <v>319</v>
      </c>
      <c r="E86" s="188" t="n">
        <v>0.3</v>
      </c>
    </row>
    <row r="87" customFormat="false" ht="15" hidden="false" customHeight="false" outlineLevel="1" collapsed="false"/>
    <row r="88" customFormat="false" ht="15" hidden="false" customHeight="false" outlineLevel="0" collapsed="false">
      <c r="B88" s="182" t="s">
        <v>321</v>
      </c>
      <c r="C88" s="182"/>
      <c r="D88" s="183"/>
      <c r="E88" s="184"/>
      <c r="F88" s="184"/>
      <c r="G88" s="184"/>
      <c r="H88" s="184"/>
      <c r="I88" s="184"/>
      <c r="J88" s="184"/>
      <c r="K88" s="184"/>
      <c r="L88" s="184"/>
      <c r="M88" s="184"/>
      <c r="N88" s="184"/>
      <c r="O88" s="184"/>
      <c r="P88" s="184"/>
    </row>
    <row r="89" customFormat="false" ht="15" hidden="false" customHeight="false" outlineLevel="1" collapsed="false"/>
    <row r="90" customFormat="false" ht="15" hidden="false" customHeight="false" outlineLevel="1" collapsed="false">
      <c r="C90" s="24" t="s">
        <v>322</v>
      </c>
      <c r="E90" s="185" t="s">
        <v>317</v>
      </c>
    </row>
    <row r="91" customFormat="false" ht="15" hidden="false" customHeight="false" outlineLevel="1" collapsed="false">
      <c r="C91" s="0" t="s">
        <v>323</v>
      </c>
      <c r="D91" s="30" t="s">
        <v>319</v>
      </c>
      <c r="E91" s="188" t="n">
        <v>0.4</v>
      </c>
    </row>
    <row r="92" customFormat="false" ht="15" hidden="false" customHeight="false" outlineLevel="1" collapsed="false">
      <c r="C92" s="0" t="s">
        <v>324</v>
      </c>
      <c r="D92" s="30" t="s">
        <v>319</v>
      </c>
      <c r="E92" s="188" t="n">
        <v>0.1</v>
      </c>
    </row>
    <row r="93" customFormat="false" ht="15" hidden="false" customHeight="false" outlineLevel="1" collapsed="false"/>
    <row r="94" customFormat="false" ht="15" hidden="false" customHeight="false" outlineLevel="0" collapsed="false">
      <c r="B94" s="182" t="s">
        <v>325</v>
      </c>
      <c r="C94" s="182"/>
      <c r="D94" s="183"/>
      <c r="E94" s="184"/>
      <c r="F94" s="184"/>
      <c r="G94" s="184"/>
      <c r="H94" s="184"/>
      <c r="I94" s="184"/>
      <c r="J94" s="184"/>
      <c r="K94" s="184"/>
      <c r="L94" s="184"/>
      <c r="M94" s="184"/>
      <c r="N94" s="184"/>
      <c r="O94" s="184"/>
      <c r="P94" s="184"/>
    </row>
    <row r="95" customFormat="false" ht="15" hidden="false" customHeight="false" outlineLevel="1" collapsed="false"/>
    <row r="96" customFormat="false" ht="15" hidden="false" customHeight="false" outlineLevel="1" collapsed="false"/>
    <row r="97" customFormat="false" ht="15" hidden="false" customHeight="false" outlineLevel="1" collapsed="false">
      <c r="B97" s="0" t="s">
        <v>326</v>
      </c>
      <c r="D97" s="30" t="s">
        <v>327</v>
      </c>
      <c r="E97" s="30" t="s">
        <v>328</v>
      </c>
      <c r="G97" s="33" t="n">
        <f aca="false">'2. NPV'!H$5</f>
        <v>2024</v>
      </c>
      <c r="H97" s="33" t="n">
        <f aca="false">'2. NPV'!I$5</f>
        <v>2025</v>
      </c>
      <c r="I97" s="33" t="n">
        <f aca="false">'2. NPV'!J$5</f>
        <v>2026</v>
      </c>
      <c r="J97" s="151" t="n">
        <f aca="false">'2. NPV'!K$5</f>
        <v>2027</v>
      </c>
      <c r="K97" s="33" t="n">
        <f aca="false">'2. NPV'!L$5</f>
        <v>2028</v>
      </c>
      <c r="L97" s="33" t="n">
        <f aca="false">'2. NPV'!M$5</f>
        <v>2029</v>
      </c>
      <c r="M97" s="33" t="n">
        <f aca="false">'2. NPV'!N$5</f>
        <v>2030</v>
      </c>
      <c r="N97" s="33" t="n">
        <f aca="false">'2. NPV'!O$5</f>
        <v>2031</v>
      </c>
      <c r="O97" s="33" t="s">
        <v>329</v>
      </c>
    </row>
    <row r="98" customFormat="false" ht="15" hidden="false" customHeight="false" outlineLevel="1" collapsed="false">
      <c r="C98" s="1" t="s">
        <v>330</v>
      </c>
      <c r="D98" s="168" t="n">
        <v>50000</v>
      </c>
      <c r="E98" s="191" t="n">
        <v>0.02</v>
      </c>
      <c r="F98" s="33" t="s">
        <v>331</v>
      </c>
      <c r="G98" s="192" t="n">
        <v>1</v>
      </c>
      <c r="H98" s="192" t="n">
        <v>1</v>
      </c>
      <c r="I98" s="192" t="n">
        <v>1</v>
      </c>
      <c r="J98" s="192" t="n">
        <v>1</v>
      </c>
      <c r="K98" s="192" t="n">
        <v>1</v>
      </c>
      <c r="L98" s="192" t="n">
        <v>1</v>
      </c>
      <c r="M98" s="192" t="n">
        <v>1</v>
      </c>
      <c r="N98" s="192" t="n">
        <v>1</v>
      </c>
      <c r="O98" s="192" t="n">
        <v>1</v>
      </c>
    </row>
    <row r="99" customFormat="false" ht="15" hidden="false" customHeight="false" outlineLevel="1" collapsed="false">
      <c r="C99" s="1" t="s">
        <v>332</v>
      </c>
      <c r="D99" s="168" t="n">
        <v>25000</v>
      </c>
      <c r="E99" s="191" t="n">
        <v>0.02</v>
      </c>
      <c r="F99" s="33" t="s">
        <v>331</v>
      </c>
      <c r="G99" s="192" t="n">
        <f aca="false">0</f>
        <v>0</v>
      </c>
      <c r="H99" s="192" t="n">
        <v>1</v>
      </c>
      <c r="I99" s="192" t="n">
        <v>1</v>
      </c>
      <c r="J99" s="192" t="n">
        <v>1</v>
      </c>
      <c r="K99" s="192" t="n">
        <v>1</v>
      </c>
      <c r="L99" s="192" t="n">
        <v>1</v>
      </c>
      <c r="M99" s="192" t="n">
        <v>1</v>
      </c>
      <c r="N99" s="192" t="n">
        <v>1</v>
      </c>
      <c r="O99" s="192" t="n">
        <v>1</v>
      </c>
    </row>
    <row r="100" customFormat="false" ht="15" hidden="false" customHeight="false" outlineLevel="1" collapsed="false">
      <c r="C100" s="1" t="s">
        <v>333</v>
      </c>
      <c r="D100" s="168" t="n">
        <v>25000</v>
      </c>
      <c r="E100" s="191" t="n">
        <v>0.02</v>
      </c>
      <c r="F100" s="33" t="s">
        <v>331</v>
      </c>
      <c r="G100" s="192" t="n">
        <v>1</v>
      </c>
      <c r="H100" s="192" t="n">
        <v>1</v>
      </c>
      <c r="I100" s="192" t="n">
        <v>1</v>
      </c>
      <c r="J100" s="192" t="n">
        <v>1</v>
      </c>
      <c r="K100" s="192" t="n">
        <v>1</v>
      </c>
      <c r="L100" s="192" t="n">
        <v>1</v>
      </c>
      <c r="M100" s="192" t="n">
        <v>1</v>
      </c>
      <c r="N100" s="192" t="n">
        <v>1</v>
      </c>
      <c r="O100" s="192" t="n">
        <v>1</v>
      </c>
    </row>
    <row r="101" customFormat="false" ht="15" hidden="false" customHeight="false" outlineLevel="1" collapsed="false">
      <c r="C101" s="1" t="s">
        <v>334</v>
      </c>
      <c r="D101" s="168" t="n">
        <v>25000</v>
      </c>
      <c r="E101" s="191" t="n">
        <v>0.02</v>
      </c>
      <c r="F101" s="33" t="s">
        <v>331</v>
      </c>
      <c r="G101" s="192" t="n">
        <f aca="false">0</f>
        <v>0</v>
      </c>
      <c r="H101" s="192" t="n">
        <v>1</v>
      </c>
      <c r="I101" s="192" t="n">
        <v>1</v>
      </c>
      <c r="J101" s="192" t="n">
        <v>1</v>
      </c>
      <c r="K101" s="192" t="n">
        <v>1</v>
      </c>
      <c r="L101" s="192" t="n">
        <v>1</v>
      </c>
      <c r="M101" s="192" t="n">
        <v>1</v>
      </c>
      <c r="N101" s="192" t="n">
        <v>1</v>
      </c>
      <c r="O101" s="192" t="n">
        <v>1</v>
      </c>
    </row>
    <row r="102" customFormat="false" ht="15" hidden="false" customHeight="false" outlineLevel="1" collapsed="false">
      <c r="C102" s="1" t="s">
        <v>335</v>
      </c>
      <c r="D102" s="168" t="n">
        <v>25000</v>
      </c>
      <c r="E102" s="191" t="n">
        <v>0.02</v>
      </c>
      <c r="F102" s="33" t="s">
        <v>331</v>
      </c>
      <c r="G102" s="192" t="n">
        <v>1</v>
      </c>
      <c r="H102" s="192" t="n">
        <v>1</v>
      </c>
      <c r="I102" s="192" t="n">
        <v>1</v>
      </c>
      <c r="J102" s="192" t="n">
        <v>1</v>
      </c>
      <c r="K102" s="192" t="n">
        <v>1</v>
      </c>
      <c r="L102" s="192" t="n">
        <v>1</v>
      </c>
      <c r="M102" s="192" t="n">
        <v>1</v>
      </c>
      <c r="N102" s="192" t="n">
        <v>1</v>
      </c>
      <c r="O102" s="192" t="n">
        <v>1</v>
      </c>
    </row>
    <row r="103" customFormat="false" ht="15" hidden="false" customHeight="false" outlineLevel="1" collapsed="false">
      <c r="C103" s="1" t="s">
        <v>336</v>
      </c>
      <c r="D103" s="168" t="n">
        <v>10000</v>
      </c>
      <c r="E103" s="191" t="n">
        <v>0.02</v>
      </c>
      <c r="F103" s="33" t="s">
        <v>331</v>
      </c>
      <c r="G103" s="192" t="n">
        <v>10</v>
      </c>
      <c r="H103" s="192" t="n">
        <v>4</v>
      </c>
      <c r="I103" s="192" t="n">
        <v>4</v>
      </c>
      <c r="J103" s="192" t="n">
        <v>4</v>
      </c>
      <c r="K103" s="192" t="n">
        <v>6</v>
      </c>
      <c r="L103" s="192" t="n">
        <v>6</v>
      </c>
      <c r="M103" s="192" t="n">
        <v>8</v>
      </c>
      <c r="N103" s="192" t="n">
        <v>8</v>
      </c>
      <c r="O103" s="192" t="n">
        <v>8</v>
      </c>
    </row>
    <row r="104" customFormat="false" ht="15" hidden="false" customHeight="false" outlineLevel="1" collapsed="false">
      <c r="C104" s="1" t="s">
        <v>337</v>
      </c>
      <c r="D104" s="168" t="n">
        <v>8000</v>
      </c>
      <c r="E104" s="191" t="n">
        <v>0.02</v>
      </c>
      <c r="F104" s="33" t="s">
        <v>331</v>
      </c>
      <c r="G104" s="192" t="n">
        <f aca="false">4</f>
        <v>4</v>
      </c>
      <c r="H104" s="192" t="n">
        <v>4</v>
      </c>
      <c r="I104" s="192" t="n">
        <v>4</v>
      </c>
      <c r="J104" s="192" t="n">
        <v>4</v>
      </c>
      <c r="K104" s="192" t="n">
        <v>6</v>
      </c>
      <c r="L104" s="192" t="n">
        <v>6</v>
      </c>
      <c r="M104" s="192" t="n">
        <v>8</v>
      </c>
      <c r="N104" s="192" t="n">
        <v>8</v>
      </c>
      <c r="O104" s="192" t="n">
        <v>8</v>
      </c>
    </row>
    <row r="105" customFormat="false" ht="15" hidden="false" customHeight="false" outlineLevel="1" collapsed="false">
      <c r="C105" s="1" t="s">
        <v>338</v>
      </c>
      <c r="D105" s="168" t="n">
        <v>8000</v>
      </c>
      <c r="E105" s="191" t="n">
        <v>0.02</v>
      </c>
      <c r="F105" s="33" t="s">
        <v>331</v>
      </c>
      <c r="G105" s="192" t="n">
        <v>2</v>
      </c>
      <c r="H105" s="192" t="n">
        <v>2</v>
      </c>
      <c r="I105" s="192" t="n">
        <v>2</v>
      </c>
      <c r="J105" s="192" t="n">
        <v>2</v>
      </c>
      <c r="K105" s="192" t="n">
        <v>3</v>
      </c>
      <c r="L105" s="192" t="n">
        <v>3</v>
      </c>
      <c r="M105" s="192" t="n">
        <v>4</v>
      </c>
      <c r="N105" s="192" t="n">
        <v>4</v>
      </c>
      <c r="O105" s="192" t="n">
        <v>4</v>
      </c>
    </row>
    <row r="106" customFormat="false" ht="15" hidden="false" customHeight="false" outlineLevel="1" collapsed="false">
      <c r="C106" s="1" t="s">
        <v>339</v>
      </c>
      <c r="D106" s="168" t="n">
        <v>3000</v>
      </c>
      <c r="E106" s="191" t="n">
        <v>0.02</v>
      </c>
      <c r="F106" s="33" t="s">
        <v>331</v>
      </c>
      <c r="G106" s="192" t="n">
        <f aca="false">8</f>
        <v>8</v>
      </c>
      <c r="H106" s="192" t="n">
        <v>8</v>
      </c>
      <c r="I106" s="192" t="n">
        <v>8</v>
      </c>
      <c r="J106" s="192" t="n">
        <v>8</v>
      </c>
      <c r="K106" s="192" t="n">
        <v>12</v>
      </c>
      <c r="L106" s="192" t="n">
        <v>12</v>
      </c>
      <c r="M106" s="192" t="n">
        <v>16</v>
      </c>
      <c r="N106" s="192" t="n">
        <v>16</v>
      </c>
      <c r="O106" s="192" t="n">
        <v>16</v>
      </c>
    </row>
    <row r="107" customFormat="false" ht="15" hidden="false" customHeight="false" outlineLevel="1" collapsed="false">
      <c r="C107" s="1" t="s">
        <v>340</v>
      </c>
      <c r="D107" s="168" t="n">
        <v>4000</v>
      </c>
      <c r="E107" s="191" t="n">
        <v>0.02</v>
      </c>
      <c r="F107" s="33" t="s">
        <v>331</v>
      </c>
      <c r="G107" s="192" t="n">
        <v>1</v>
      </c>
      <c r="H107" s="192" t="n">
        <v>1</v>
      </c>
      <c r="I107" s="192" t="n">
        <v>1</v>
      </c>
      <c r="J107" s="192" t="n">
        <v>1</v>
      </c>
      <c r="K107" s="192" t="n">
        <v>1</v>
      </c>
      <c r="L107" s="192" t="n">
        <v>1</v>
      </c>
      <c r="M107" s="192" t="n">
        <v>1</v>
      </c>
      <c r="N107" s="192" t="n">
        <v>1</v>
      </c>
      <c r="O107" s="192" t="n">
        <v>1</v>
      </c>
    </row>
    <row r="108" customFormat="false" ht="15" hidden="false" customHeight="false" outlineLevel="1" collapsed="false">
      <c r="C108" s="1" t="s">
        <v>341</v>
      </c>
      <c r="D108" s="168" t="n">
        <v>3000</v>
      </c>
      <c r="E108" s="191" t="n">
        <v>0.02</v>
      </c>
      <c r="F108" s="33" t="s">
        <v>331</v>
      </c>
      <c r="G108" s="192" t="n">
        <v>7</v>
      </c>
      <c r="H108" s="192" t="n">
        <v>3</v>
      </c>
      <c r="I108" s="192" t="n">
        <v>3</v>
      </c>
      <c r="J108" s="192" t="n">
        <v>3</v>
      </c>
      <c r="K108" s="192" t="n">
        <v>4</v>
      </c>
      <c r="L108" s="192" t="n">
        <v>4</v>
      </c>
      <c r="M108" s="192" t="n">
        <v>5</v>
      </c>
      <c r="N108" s="192" t="n">
        <v>5</v>
      </c>
      <c r="O108" s="192" t="n">
        <v>5</v>
      </c>
    </row>
    <row r="109" customFormat="false" ht="15" hidden="false" customHeight="false" outlineLevel="1" collapsed="false">
      <c r="C109" s="1" t="s">
        <v>342</v>
      </c>
      <c r="D109" s="168" t="n">
        <v>1200</v>
      </c>
      <c r="E109" s="191" t="n">
        <v>0.02</v>
      </c>
      <c r="F109" s="33" t="s">
        <v>331</v>
      </c>
      <c r="G109" s="192" t="n">
        <v>10</v>
      </c>
      <c r="H109" s="192" t="n">
        <v>10</v>
      </c>
      <c r="I109" s="192" t="n">
        <v>10</v>
      </c>
      <c r="J109" s="192" t="n">
        <v>10</v>
      </c>
      <c r="K109" s="192" t="n">
        <v>15</v>
      </c>
      <c r="L109" s="192" t="n">
        <v>15</v>
      </c>
      <c r="M109" s="192" t="n">
        <v>20</v>
      </c>
      <c r="N109" s="192" t="n">
        <v>20</v>
      </c>
      <c r="O109" s="192" t="n">
        <v>20</v>
      </c>
    </row>
    <row r="110" customFormat="false" ht="15" hidden="false" customHeight="false" outlineLevel="1" collapsed="false">
      <c r="C110" s="1" t="s">
        <v>343</v>
      </c>
      <c r="D110" s="168" t="n">
        <v>2500</v>
      </c>
      <c r="E110" s="191" t="n">
        <v>0.02</v>
      </c>
      <c r="F110" s="33" t="s">
        <v>331</v>
      </c>
      <c r="G110" s="192" t="n">
        <v>4</v>
      </c>
      <c r="H110" s="192" t="n">
        <v>4</v>
      </c>
      <c r="I110" s="192" t="n">
        <v>4</v>
      </c>
      <c r="J110" s="192" t="n">
        <v>4</v>
      </c>
      <c r="K110" s="192" t="n">
        <v>6</v>
      </c>
      <c r="L110" s="192" t="n">
        <v>6</v>
      </c>
      <c r="M110" s="192" t="n">
        <v>8</v>
      </c>
      <c r="N110" s="192" t="n">
        <v>8</v>
      </c>
      <c r="O110" s="192" t="n">
        <v>8</v>
      </c>
    </row>
    <row r="111" customFormat="false" ht="15" hidden="false" customHeight="false" outlineLevel="1" collapsed="false">
      <c r="C111" s="1" t="s">
        <v>344</v>
      </c>
      <c r="D111" s="168" t="n">
        <v>2500</v>
      </c>
      <c r="E111" s="191" t="n">
        <v>0.02</v>
      </c>
      <c r="F111" s="33" t="s">
        <v>331</v>
      </c>
      <c r="G111" s="192" t="n">
        <v>2</v>
      </c>
      <c r="H111" s="192" t="n">
        <v>2</v>
      </c>
      <c r="I111" s="192" t="n">
        <v>2</v>
      </c>
      <c r="J111" s="192" t="n">
        <v>2</v>
      </c>
      <c r="K111" s="192" t="n">
        <v>3</v>
      </c>
      <c r="L111" s="192" t="n">
        <v>3</v>
      </c>
      <c r="M111" s="192" t="n">
        <v>4</v>
      </c>
      <c r="N111" s="192" t="n">
        <v>4</v>
      </c>
      <c r="O111" s="192" t="n">
        <v>4</v>
      </c>
    </row>
    <row r="112" customFormat="false" ht="15" hidden="false" customHeight="false" outlineLevel="1" collapsed="false">
      <c r="C112" s="1" t="s">
        <v>345</v>
      </c>
      <c r="D112" s="168" t="n">
        <v>2500</v>
      </c>
      <c r="E112" s="191" t="n">
        <v>0.02</v>
      </c>
      <c r="F112" s="33" t="s">
        <v>331</v>
      </c>
      <c r="G112" s="192" t="n">
        <v>2</v>
      </c>
      <c r="H112" s="192" t="n">
        <v>2</v>
      </c>
      <c r="I112" s="192" t="n">
        <v>2</v>
      </c>
      <c r="J112" s="192" t="n">
        <v>2</v>
      </c>
      <c r="K112" s="192" t="n">
        <v>3</v>
      </c>
      <c r="L112" s="192" t="n">
        <v>3</v>
      </c>
      <c r="M112" s="192" t="n">
        <v>4</v>
      </c>
      <c r="N112" s="192" t="n">
        <v>4</v>
      </c>
      <c r="O112" s="192" t="n">
        <v>4</v>
      </c>
    </row>
    <row r="113" customFormat="false" ht="15" hidden="false" customHeight="false" outlineLevel="1" collapsed="false">
      <c r="C113" s="1" t="s">
        <v>346</v>
      </c>
      <c r="D113" s="168" t="n">
        <v>1500</v>
      </c>
      <c r="E113" s="191" t="n">
        <v>0.02</v>
      </c>
      <c r="F113" s="33" t="s">
        <v>331</v>
      </c>
      <c r="G113" s="192" t="n">
        <v>8</v>
      </c>
      <c r="H113" s="192" t="n">
        <v>4</v>
      </c>
      <c r="I113" s="192" t="n">
        <v>4</v>
      </c>
      <c r="J113" s="192" t="n">
        <v>4</v>
      </c>
      <c r="K113" s="192" t="n">
        <v>6</v>
      </c>
      <c r="L113" s="192" t="n">
        <v>6</v>
      </c>
      <c r="M113" s="192" t="n">
        <v>8</v>
      </c>
      <c r="N113" s="192" t="n">
        <v>8</v>
      </c>
      <c r="O113" s="192" t="n">
        <v>8</v>
      </c>
    </row>
    <row r="114" customFormat="false" ht="15" hidden="false" customHeight="false" outlineLevel="1" collapsed="false">
      <c r="C114" s="1" t="s">
        <v>347</v>
      </c>
      <c r="D114" s="168" t="n">
        <v>1500</v>
      </c>
      <c r="E114" s="191" t="n">
        <v>0.02</v>
      </c>
      <c r="F114" s="33" t="s">
        <v>331</v>
      </c>
      <c r="G114" s="192" t="n">
        <v>8</v>
      </c>
      <c r="H114" s="192" t="n">
        <v>5</v>
      </c>
      <c r="I114" s="192" t="n">
        <v>5</v>
      </c>
      <c r="J114" s="192" t="n">
        <v>5</v>
      </c>
      <c r="K114" s="192" t="n">
        <v>7</v>
      </c>
      <c r="L114" s="192" t="n">
        <v>7</v>
      </c>
      <c r="M114" s="192" t="n">
        <v>7</v>
      </c>
      <c r="N114" s="192" t="n">
        <v>7</v>
      </c>
      <c r="O114" s="192" t="n">
        <v>7</v>
      </c>
    </row>
    <row r="115" customFormat="false" ht="15" hidden="false" customHeight="false" outlineLevel="1" collapsed="false">
      <c r="F115" s="13" t="s">
        <v>348</v>
      </c>
      <c r="G115" s="193" t="n">
        <f aca="false">SUM(G98:G114)</f>
        <v>69</v>
      </c>
      <c r="H115" s="193" t="n">
        <f aca="false">SUM(H98:H114)</f>
        <v>54</v>
      </c>
      <c r="I115" s="193" t="n">
        <f aca="false">SUM(I98:I114)</f>
        <v>54</v>
      </c>
      <c r="J115" s="193" t="n">
        <f aca="false">SUM(J98:J114)</f>
        <v>54</v>
      </c>
      <c r="K115" s="193" t="n">
        <f aca="false">SUM(K98:K114)</f>
        <v>77</v>
      </c>
      <c r="L115" s="193" t="n">
        <f aca="false">SUM(L98:L114)</f>
        <v>77</v>
      </c>
      <c r="M115" s="193" t="n">
        <f aca="false">SUM(M98:M114)</f>
        <v>98</v>
      </c>
      <c r="N115" s="193" t="n">
        <f aca="false">SUM(N98:N114)</f>
        <v>98</v>
      </c>
      <c r="O115" s="193" t="n">
        <f aca="false">SUM(O98:O114)</f>
        <v>98</v>
      </c>
    </row>
    <row r="116" customFormat="false" ht="15" hidden="false" customHeight="false" outlineLevel="1" collapsed="false"/>
    <row r="117" customFormat="false" ht="15" hidden="false" customHeight="false" outlineLevel="1" collapsed="false">
      <c r="B117" s="0" t="s">
        <v>349</v>
      </c>
      <c r="E117" s="185" t="s">
        <v>287</v>
      </c>
      <c r="G117" s="151"/>
      <c r="H117" s="151"/>
      <c r="I117" s="151"/>
    </row>
    <row r="118" customFormat="false" ht="15" hidden="false" customHeight="false" outlineLevel="1" collapsed="false">
      <c r="C118" s="0" t="s">
        <v>350</v>
      </c>
      <c r="D118" s="30" t="s">
        <v>351</v>
      </c>
      <c r="E118" s="194" t="n">
        <v>0.5</v>
      </c>
      <c r="F118" s="30"/>
      <c r="G118" s="151"/>
      <c r="H118" s="151"/>
      <c r="I118" s="151"/>
    </row>
    <row r="119" customFormat="false" ht="15" hidden="false" customHeight="false" outlineLevel="1" collapsed="false">
      <c r="C119" s="0" t="s">
        <v>352</v>
      </c>
      <c r="D119" s="30" t="s">
        <v>351</v>
      </c>
      <c r="E119" s="195" t="n">
        <f aca="false">E118</f>
        <v>0.5</v>
      </c>
      <c r="G119" s="151"/>
      <c r="H119" s="151"/>
      <c r="I119" s="151"/>
    </row>
    <row r="120" customFormat="false" ht="15" hidden="false" customHeight="false" outlineLevel="1" collapsed="false">
      <c r="E120" s="196"/>
      <c r="F120" s="196"/>
      <c r="G120" s="151"/>
      <c r="H120" s="151"/>
      <c r="I120" s="151"/>
    </row>
    <row r="121" customFormat="false" ht="15" hidden="false" customHeight="false" outlineLevel="1" collapsed="false">
      <c r="B121" s="0" t="s">
        <v>353</v>
      </c>
      <c r="E121" s="196"/>
      <c r="F121" s="196"/>
      <c r="G121" s="33" t="n">
        <f aca="false">'2. NPV'!H$5</f>
        <v>2024</v>
      </c>
      <c r="H121" s="33" t="n">
        <f aca="false">'2. NPV'!I$5</f>
        <v>2025</v>
      </c>
      <c r="I121" s="33" t="n">
        <f aca="false">'2. NPV'!J$5</f>
        <v>2026</v>
      </c>
      <c r="J121" s="151" t="n">
        <f aca="false">'2. NPV'!K$5</f>
        <v>2027</v>
      </c>
      <c r="K121" s="33" t="n">
        <f aca="false">'2. NPV'!L$5</f>
        <v>2028</v>
      </c>
      <c r="L121" s="33" t="s">
        <v>354</v>
      </c>
    </row>
    <row r="122" customFormat="false" ht="15" hidden="false" customHeight="false" outlineLevel="1" collapsed="false">
      <c r="C122" s="0" t="s">
        <v>355</v>
      </c>
      <c r="D122" s="30" t="s">
        <v>356</v>
      </c>
      <c r="E122" s="196"/>
      <c r="F122" s="196"/>
      <c r="G122" s="179" t="n">
        <v>1000</v>
      </c>
      <c r="H122" s="179" t="n">
        <f aca="false">G122</f>
        <v>1000</v>
      </c>
      <c r="I122" s="179" t="n">
        <v>1500</v>
      </c>
      <c r="J122" s="179" t="n">
        <f aca="false">I122</f>
        <v>1500</v>
      </c>
      <c r="K122" s="179" t="n">
        <f aca="false">J122</f>
        <v>1500</v>
      </c>
      <c r="L122" s="179" t="n">
        <v>2000</v>
      </c>
    </row>
    <row r="123" customFormat="false" ht="15" hidden="false" customHeight="false" outlineLevel="1" collapsed="false">
      <c r="C123" s="0" t="s">
        <v>357</v>
      </c>
      <c r="D123" s="30" t="s">
        <v>358</v>
      </c>
      <c r="E123" s="194" t="n">
        <v>10</v>
      </c>
      <c r="F123" s="196"/>
      <c r="G123" s="151"/>
      <c r="H123" s="151"/>
      <c r="I123" s="151"/>
    </row>
    <row r="124" customFormat="false" ht="15" hidden="false" customHeight="false" outlineLevel="1" collapsed="false">
      <c r="C124" s="0" t="s">
        <v>359</v>
      </c>
      <c r="D124" s="30" t="s">
        <v>360</v>
      </c>
      <c r="E124" s="197" t="n">
        <v>0.05</v>
      </c>
      <c r="F124" s="196"/>
      <c r="G124" s="151"/>
      <c r="H124" s="151"/>
      <c r="I124" s="151"/>
    </row>
    <row r="125" customFormat="false" ht="15" hidden="false" customHeight="false" outlineLevel="1" collapsed="false">
      <c r="E125" s="196"/>
      <c r="F125" s="196"/>
      <c r="G125" s="151"/>
      <c r="H125" s="151"/>
      <c r="I125" s="151"/>
    </row>
    <row r="126" customFormat="false" ht="15" hidden="false" customHeight="false" outlineLevel="1" collapsed="false">
      <c r="B126" s="0" t="s">
        <v>361</v>
      </c>
      <c r="D126" s="30" t="s">
        <v>362</v>
      </c>
      <c r="E126" s="194" t="n">
        <v>5000</v>
      </c>
      <c r="F126" s="198"/>
      <c r="G126" s="151"/>
      <c r="H126" s="151"/>
      <c r="I126" s="151"/>
    </row>
    <row r="127" customFormat="false" ht="15" hidden="false" customHeight="false" outlineLevel="1" collapsed="false">
      <c r="D127" s="30" t="s">
        <v>363</v>
      </c>
      <c r="E127" s="194" t="n">
        <v>2000</v>
      </c>
      <c r="F127" s="196"/>
      <c r="G127" s="151"/>
      <c r="H127" s="151"/>
      <c r="I127" s="151"/>
    </row>
    <row r="128" customFormat="false" ht="15" hidden="false" customHeight="false" outlineLevel="1" collapsed="false">
      <c r="E128" s="196"/>
      <c r="F128" s="196"/>
      <c r="G128" s="33" t="n">
        <f aca="false">'2. NPV'!H$5</f>
        <v>2024</v>
      </c>
      <c r="H128" s="33" t="n">
        <f aca="false">'2. NPV'!I$5</f>
        <v>2025</v>
      </c>
      <c r="I128" s="33" t="n">
        <f aca="false">'2. NPV'!J$5</f>
        <v>2026</v>
      </c>
      <c r="J128" s="151" t="n">
        <f aca="false">'2. NPV'!K$5</f>
        <v>2027</v>
      </c>
      <c r="K128" s="33" t="n">
        <f aca="false">'2. NPV'!L$5</f>
        <v>2028</v>
      </c>
    </row>
    <row r="129" customFormat="false" ht="15" hidden="false" customHeight="false" outlineLevel="1" collapsed="false">
      <c r="B129" s="0" t="s">
        <v>364</v>
      </c>
      <c r="E129" s="196"/>
      <c r="F129" s="196"/>
      <c r="G129" s="179" t="n">
        <v>20000</v>
      </c>
      <c r="H129" s="179" t="n">
        <v>20000</v>
      </c>
      <c r="I129" s="179" t="n">
        <v>25000</v>
      </c>
      <c r="J129" s="179" t="n">
        <f aca="false">I129</f>
        <v>25000</v>
      </c>
      <c r="K129" s="179" t="n">
        <f aca="false">30000</f>
        <v>30000</v>
      </c>
    </row>
    <row r="130" customFormat="false" ht="15" hidden="false" customHeight="false" outlineLevel="1" collapsed="false">
      <c r="E130" s="196"/>
      <c r="F130" s="196"/>
      <c r="G130" s="151"/>
      <c r="H130" s="151"/>
      <c r="I130" s="151"/>
    </row>
    <row r="131" customFormat="false" ht="15" hidden="false" customHeight="false" outlineLevel="1" collapsed="false">
      <c r="B131" s="0" t="s">
        <v>365</v>
      </c>
      <c r="E131" s="196"/>
      <c r="F131" s="196"/>
      <c r="G131" s="33" t="n">
        <f aca="false">G97</f>
        <v>2024</v>
      </c>
      <c r="H131" s="33" t="n">
        <f aca="false">H97</f>
        <v>2025</v>
      </c>
      <c r="I131" s="33" t="n">
        <f aca="false">I97</f>
        <v>2026</v>
      </c>
      <c r="J131" s="151" t="n">
        <f aca="false">J97</f>
        <v>2027</v>
      </c>
      <c r="K131" s="33" t="n">
        <f aca="false">K97</f>
        <v>2028</v>
      </c>
      <c r="L131" s="33" t="n">
        <f aca="false">L97</f>
        <v>2029</v>
      </c>
      <c r="M131" s="33" t="s">
        <v>366</v>
      </c>
      <c r="N131" s="199"/>
    </row>
    <row r="132" customFormat="false" ht="15" hidden="false" customHeight="false" outlineLevel="1" collapsed="false">
      <c r="C132" s="0" t="s">
        <v>367</v>
      </c>
      <c r="E132" s="196"/>
      <c r="F132" s="196"/>
      <c r="G132" s="200" t="n">
        <f aca="false">SUM(G98:G108)</f>
        <v>35</v>
      </c>
      <c r="H132" s="200" t="n">
        <f aca="false">SUM(H98:H108)-SUM(G98:G108)</f>
        <v>-8</v>
      </c>
      <c r="I132" s="200" t="n">
        <f aca="false">SUM(I98:I108)-SUM(H98:H108)</f>
        <v>0</v>
      </c>
      <c r="J132" s="200" t="n">
        <f aca="false">SUM(J98:J108)-SUM(I98:I108)</f>
        <v>0</v>
      </c>
      <c r="K132" s="200" t="n">
        <f aca="false">SUM(K98:K108)-SUM(J98:J108)</f>
        <v>10</v>
      </c>
      <c r="L132" s="200" t="n">
        <f aca="false">SUM(L98:L108)-SUM(K98:K108)</f>
        <v>0</v>
      </c>
      <c r="M132" s="200" t="n">
        <f aca="false">SUM(M98:M108)-SUM(L98:L108)</f>
        <v>10</v>
      </c>
      <c r="N132" s="151"/>
      <c r="O132" s="151"/>
    </row>
    <row r="133" customFormat="false" ht="15" hidden="false" customHeight="false" outlineLevel="1" collapsed="false">
      <c r="C133" s="0" t="s">
        <v>368</v>
      </c>
      <c r="E133" s="194" t="n">
        <v>1500</v>
      </c>
      <c r="F133" s="196"/>
      <c r="G133" s="186" t="n">
        <f aca="false">$E133*G$132</f>
        <v>52500</v>
      </c>
      <c r="H133" s="186" t="n">
        <f aca="false">$E133*H$132</f>
        <v>-12000</v>
      </c>
      <c r="I133" s="186" t="n">
        <f aca="false">$E133*I$132</f>
        <v>0</v>
      </c>
      <c r="J133" s="186" t="n">
        <f aca="false">$E133*J$132</f>
        <v>0</v>
      </c>
      <c r="K133" s="186" t="n">
        <f aca="false">$E133*K$132</f>
        <v>15000</v>
      </c>
      <c r="L133" s="186" t="n">
        <f aca="false">$E133*L$132</f>
        <v>0</v>
      </c>
      <c r="M133" s="186" t="n">
        <f aca="false">$E133*M$132</f>
        <v>15000</v>
      </c>
      <c r="N133" s="151"/>
    </row>
    <row r="134" customFormat="false" ht="15" hidden="false" customHeight="false" outlineLevel="1" collapsed="false">
      <c r="C134" s="0" t="s">
        <v>369</v>
      </c>
      <c r="E134" s="194" t="n">
        <v>1000</v>
      </c>
      <c r="F134" s="196"/>
      <c r="G134" s="186" t="n">
        <f aca="false">$E134*G$132</f>
        <v>35000</v>
      </c>
      <c r="H134" s="186" t="n">
        <f aca="false">$E134*H$132</f>
        <v>-8000</v>
      </c>
      <c r="I134" s="186" t="n">
        <f aca="false">$E134*I$132</f>
        <v>0</v>
      </c>
      <c r="J134" s="186" t="n">
        <f aca="false">$E134*J$132</f>
        <v>0</v>
      </c>
      <c r="K134" s="186" t="n">
        <f aca="false">$E134*K$132</f>
        <v>10000</v>
      </c>
      <c r="L134" s="186" t="n">
        <f aca="false">$E134*L$132</f>
        <v>0</v>
      </c>
      <c r="M134" s="186" t="n">
        <f aca="false">$E134*M$132</f>
        <v>10000</v>
      </c>
      <c r="N134" s="151"/>
    </row>
    <row r="135" customFormat="false" ht="15" hidden="false" customHeight="false" outlineLevel="1" collapsed="false">
      <c r="C135" s="0" t="s">
        <v>370</v>
      </c>
      <c r="E135" s="194" t="n">
        <v>1200</v>
      </c>
      <c r="F135" s="196"/>
      <c r="G135" s="186" t="n">
        <f aca="false">$E135*G$132</f>
        <v>42000</v>
      </c>
      <c r="H135" s="186" t="n">
        <f aca="false">$E135*H$132</f>
        <v>-9600</v>
      </c>
      <c r="I135" s="186" t="n">
        <f aca="false">$E135*I$132</f>
        <v>0</v>
      </c>
      <c r="J135" s="186" t="n">
        <f aca="false">$E135*J$132</f>
        <v>0</v>
      </c>
      <c r="K135" s="186" t="n">
        <f aca="false">$E135*K$132</f>
        <v>12000</v>
      </c>
      <c r="L135" s="186" t="n">
        <f aca="false">$E135*L$132</f>
        <v>0</v>
      </c>
      <c r="M135" s="186" t="n">
        <f aca="false">$E135*M$132</f>
        <v>12000</v>
      </c>
      <c r="N135" s="151"/>
    </row>
    <row r="136" customFormat="false" ht="15" hidden="false" customHeight="false" outlineLevel="1" collapsed="false">
      <c r="C136" s="0" t="s">
        <v>371</v>
      </c>
      <c r="F136" s="196"/>
      <c r="G136" s="179" t="n">
        <v>125000</v>
      </c>
      <c r="H136" s="201" t="n">
        <v>10000</v>
      </c>
      <c r="I136" s="186" t="n">
        <f aca="false">H136</f>
        <v>10000</v>
      </c>
      <c r="J136" s="186" t="n">
        <f aca="false">I136</f>
        <v>10000</v>
      </c>
      <c r="K136" s="186" t="n">
        <f aca="false">J136</f>
        <v>10000</v>
      </c>
      <c r="L136" s="186" t="n">
        <f aca="false">K136</f>
        <v>10000</v>
      </c>
      <c r="M136" s="186" t="n">
        <f aca="false">L136</f>
        <v>10000</v>
      </c>
    </row>
    <row r="137" customFormat="false" ht="15" hidden="false" customHeight="false" outlineLevel="1" collapsed="false">
      <c r="C137" s="0" t="s">
        <v>372</v>
      </c>
      <c r="E137" s="197" t="n">
        <v>0.2</v>
      </c>
      <c r="F137" s="196"/>
      <c r="G137" s="200" t="n">
        <f aca="false">SUM(G133:G135)*$E$137</f>
        <v>25900</v>
      </c>
      <c r="H137" s="200" t="n">
        <f aca="false">SUM(H133:H135)*$E$137</f>
        <v>-5920</v>
      </c>
      <c r="I137" s="200" t="n">
        <f aca="false">SUM(I133:I135)*$E$137</f>
        <v>0</v>
      </c>
      <c r="J137" s="200" t="n">
        <f aca="false">SUM(J133:J135)*$E$137</f>
        <v>0</v>
      </c>
      <c r="K137" s="200" t="n">
        <f aca="false">SUM(K133:K135)*$E$137</f>
        <v>7400</v>
      </c>
      <c r="L137" s="200" t="n">
        <f aca="false">SUM(L133:L135)*$E$137</f>
        <v>0</v>
      </c>
      <c r="M137" s="200" t="n">
        <f aca="false">SUM(M133:M135)*$E$137</f>
        <v>7400</v>
      </c>
    </row>
    <row r="138" customFormat="false" ht="15" hidden="false" customHeight="false" outlineLevel="1" collapsed="false">
      <c r="C138" s="0" t="s">
        <v>373</v>
      </c>
      <c r="E138" s="197" t="n">
        <v>0.05</v>
      </c>
      <c r="F138" s="196"/>
      <c r="G138" s="93"/>
      <c r="H138" s="93"/>
      <c r="I138" s="93"/>
      <c r="J138" s="93"/>
      <c r="K138" s="93"/>
      <c r="L138" s="93"/>
      <c r="M138" s="93"/>
    </row>
    <row r="139" customFormat="false" ht="15" hidden="false" customHeight="false" outlineLevel="1" collapsed="false">
      <c r="E139" s="196"/>
      <c r="F139" s="196"/>
      <c r="G139" s="151"/>
      <c r="H139" s="151"/>
      <c r="I139" s="151"/>
    </row>
    <row r="140" customFormat="false" ht="15" hidden="false" customHeight="false" outlineLevel="1" collapsed="false">
      <c r="B140" s="0" t="s">
        <v>374</v>
      </c>
      <c r="E140" s="196"/>
      <c r="F140" s="196"/>
      <c r="G140" s="151"/>
      <c r="H140" s="151"/>
      <c r="I140" s="151"/>
    </row>
    <row r="141" customFormat="false" ht="15" hidden="false" customHeight="false" outlineLevel="1" collapsed="false">
      <c r="C141" s="0" t="s">
        <v>375</v>
      </c>
      <c r="E141" s="194" t="n">
        <v>50000</v>
      </c>
      <c r="F141" s="196"/>
      <c r="G141" s="151"/>
      <c r="H141" s="151"/>
      <c r="I141" s="151"/>
    </row>
    <row r="142" customFormat="false" ht="15" hidden="false" customHeight="false" outlineLevel="1" collapsed="false">
      <c r="C142" s="0" t="s">
        <v>375</v>
      </c>
      <c r="E142" s="194" t="n">
        <v>25000</v>
      </c>
      <c r="F142" s="196"/>
      <c r="G142" s="151"/>
      <c r="H142" s="151"/>
      <c r="I142" s="151"/>
    </row>
    <row r="143" customFormat="false" ht="15" hidden="false" customHeight="false" outlineLevel="1" collapsed="false">
      <c r="E143" s="196"/>
      <c r="F143" s="196"/>
      <c r="G143" s="151"/>
      <c r="H143" s="151"/>
      <c r="I143" s="151"/>
    </row>
    <row r="144" customFormat="false" ht="15" hidden="false" customHeight="false" outlineLevel="0" collapsed="false">
      <c r="E144" s="196"/>
      <c r="F144" s="196"/>
      <c r="G144" s="151"/>
      <c r="H144" s="151"/>
      <c r="I144" s="151"/>
    </row>
    <row r="145" customFormat="false" ht="15" hidden="false" customHeight="false" outlineLevel="0" collapsed="false">
      <c r="B145" s="158" t="s">
        <v>25</v>
      </c>
      <c r="C145" s="177"/>
      <c r="D145" s="178"/>
      <c r="E145" s="178"/>
      <c r="F145" s="178"/>
      <c r="G145" s="178"/>
      <c r="H145" s="178"/>
      <c r="I145" s="178"/>
      <c r="J145" s="178"/>
      <c r="K145" s="178"/>
      <c r="L145" s="178"/>
      <c r="M145" s="178"/>
      <c r="N145" s="178"/>
      <c r="O145" s="178"/>
      <c r="P145" s="178"/>
    </row>
    <row r="146" customFormat="false" ht="15" hidden="false" customHeight="false" outlineLevel="0" collapsed="false">
      <c r="B146" s="182" t="s">
        <v>376</v>
      </c>
      <c r="C146" s="182"/>
      <c r="D146" s="183"/>
      <c r="E146" s="184"/>
      <c r="F146" s="184"/>
      <c r="G146" s="184"/>
      <c r="H146" s="184"/>
      <c r="I146" s="184"/>
      <c r="J146" s="184"/>
      <c r="K146" s="184"/>
      <c r="L146" s="184"/>
      <c r="M146" s="184"/>
      <c r="N146" s="184"/>
      <c r="O146" s="184"/>
      <c r="P146" s="184"/>
    </row>
    <row r="147" customFormat="false" ht="15" hidden="false" customHeight="false" outlineLevel="1" collapsed="false"/>
    <row r="148" customFormat="false" ht="15" hidden="false" customHeight="false" outlineLevel="1" collapsed="false">
      <c r="B148" s="13" t="s">
        <v>377</v>
      </c>
      <c r="F148" s="0" t="n">
        <v>2024</v>
      </c>
      <c r="G148" s="33" t="n">
        <f aca="false">F148+1</f>
        <v>2025</v>
      </c>
      <c r="H148" s="33" t="n">
        <f aca="false">G148+1</f>
        <v>2026</v>
      </c>
      <c r="I148" s="33" t="n">
        <f aca="false">H148+1</f>
        <v>2027</v>
      </c>
      <c r="J148" s="151" t="n">
        <f aca="false">I148+1</f>
        <v>2028</v>
      </c>
      <c r="K148" s="33" t="n">
        <f aca="false">J148+1</f>
        <v>2029</v>
      </c>
      <c r="L148" s="33" t="n">
        <f aca="false">K148+1</f>
        <v>2030</v>
      </c>
      <c r="M148" s="33" t="n">
        <f aca="false">L148+1</f>
        <v>2031</v>
      </c>
      <c r="N148" s="0" t="n">
        <v>2031</v>
      </c>
      <c r="O148" s="0" t="n">
        <v>2032</v>
      </c>
    </row>
    <row r="149" customFormat="false" ht="15" hidden="false" customHeight="false" outlineLevel="1" collapsed="false">
      <c r="C149" s="0" t="s">
        <v>378</v>
      </c>
      <c r="F149" s="179"/>
      <c r="G149" s="179" t="n">
        <v>2</v>
      </c>
      <c r="H149" s="179" t="n">
        <v>2</v>
      </c>
      <c r="I149" s="179" t="n">
        <v>2</v>
      </c>
      <c r="J149" s="153" t="n">
        <v>2</v>
      </c>
      <c r="K149" s="153" t="n">
        <v>2</v>
      </c>
      <c r="L149" s="153" t="n">
        <v>2</v>
      </c>
      <c r="M149" s="153" t="n">
        <v>2</v>
      </c>
      <c r="N149" s="153" t="n">
        <v>2</v>
      </c>
      <c r="O149" s="153" t="n">
        <v>2</v>
      </c>
    </row>
    <row r="150" customFormat="false" ht="15" hidden="false" customHeight="false" outlineLevel="1" collapsed="false">
      <c r="C150" s="0" t="s">
        <v>379</v>
      </c>
      <c r="F150" s="179"/>
      <c r="G150" s="179"/>
      <c r="H150" s="179"/>
      <c r="I150" s="179"/>
      <c r="J150" s="153"/>
      <c r="K150" s="179"/>
      <c r="L150" s="179"/>
      <c r="M150" s="179"/>
      <c r="N150" s="179"/>
      <c r="O150" s="179"/>
    </row>
    <row r="151" customFormat="false" ht="15" hidden="false" customHeight="false" outlineLevel="1" collapsed="false">
      <c r="C151" s="0" t="s">
        <v>380</v>
      </c>
      <c r="F151" s="179"/>
      <c r="G151" s="179"/>
      <c r="H151" s="179"/>
      <c r="I151" s="179"/>
      <c r="J151" s="153"/>
      <c r="K151" s="179"/>
      <c r="L151" s="179"/>
      <c r="M151" s="179"/>
      <c r="N151" s="179"/>
      <c r="O151" s="179"/>
    </row>
    <row r="152" customFormat="false" ht="15" hidden="false" customHeight="false" outlineLevel="1" collapsed="false">
      <c r="F152" s="55"/>
      <c r="G152" s="55"/>
      <c r="H152" s="55"/>
      <c r="I152" s="55"/>
      <c r="J152" s="47"/>
      <c r="K152" s="55"/>
      <c r="L152" s="55"/>
      <c r="M152" s="55"/>
      <c r="N152" s="55"/>
      <c r="O152" s="55"/>
    </row>
    <row r="153" customFormat="false" ht="15" hidden="false" customHeight="false" outlineLevel="1" collapsed="false">
      <c r="B153" s="13" t="s">
        <v>381</v>
      </c>
      <c r="F153" s="55"/>
      <c r="G153" s="55"/>
      <c r="H153" s="55"/>
      <c r="I153" s="55"/>
      <c r="J153" s="47"/>
      <c r="K153" s="55"/>
      <c r="L153" s="55"/>
      <c r="M153" s="55"/>
      <c r="N153" s="55"/>
      <c r="O153" s="55"/>
    </row>
    <row r="154" customFormat="false" ht="15" hidden="false" customHeight="false" outlineLevel="1" collapsed="false">
      <c r="C154" s="0" t="str">
        <f aca="false">C149</f>
        <v>Multi-Function Center</v>
      </c>
      <c r="F154" s="186" t="n">
        <f aca="false">SUM($F149:F149)</f>
        <v>0</v>
      </c>
      <c r="G154" s="186" t="n">
        <f aca="false">SUM($F149:G149)</f>
        <v>2</v>
      </c>
      <c r="H154" s="186" t="n">
        <f aca="false">SUM($F149:H149)</f>
        <v>4</v>
      </c>
      <c r="I154" s="186" t="n">
        <f aca="false">SUM($F149:I149)</f>
        <v>6</v>
      </c>
      <c r="J154" s="186" t="n">
        <f aca="false">SUM($F149:J149)</f>
        <v>8</v>
      </c>
      <c r="K154" s="186" t="n">
        <f aca="false">SUM($F149:K149)</f>
        <v>10</v>
      </c>
      <c r="L154" s="186" t="n">
        <f aca="false">SUM($F149:L149)</f>
        <v>12</v>
      </c>
      <c r="M154" s="186" t="n">
        <f aca="false">SUM($F149:M149)</f>
        <v>14</v>
      </c>
      <c r="N154" s="186" t="n">
        <f aca="false">SUM($F149:N149)</f>
        <v>16</v>
      </c>
      <c r="O154" s="186" t="n">
        <f aca="false">SUM($F149:O149)</f>
        <v>18</v>
      </c>
    </row>
    <row r="155" customFormat="false" ht="15" hidden="false" customHeight="false" outlineLevel="1" collapsed="false">
      <c r="C155" s="0" t="str">
        <f aca="false">C150</f>
        <v>Shea Collection Center</v>
      </c>
      <c r="F155" s="186" t="n">
        <f aca="false">SUM($F150:F150)</f>
        <v>0</v>
      </c>
      <c r="G155" s="186" t="n">
        <f aca="false">SUM($F150:G150)</f>
        <v>0</v>
      </c>
      <c r="H155" s="186" t="n">
        <f aca="false">SUM($F150:H150)</f>
        <v>0</v>
      </c>
      <c r="I155" s="186" t="n">
        <f aca="false">SUM($F150:I150)</f>
        <v>0</v>
      </c>
      <c r="J155" s="186" t="n">
        <f aca="false">SUM($F150:J150)</f>
        <v>0</v>
      </c>
      <c r="K155" s="186" t="n">
        <f aca="false">SUM($F150:K150)</f>
        <v>0</v>
      </c>
      <c r="L155" s="186" t="n">
        <f aca="false">SUM($F150:L150)</f>
        <v>0</v>
      </c>
      <c r="M155" s="186" t="n">
        <f aca="false">SUM($F150:M150)</f>
        <v>0</v>
      </c>
      <c r="N155" s="186" t="n">
        <f aca="false">SUM($F150:N150)</f>
        <v>0</v>
      </c>
      <c r="O155" s="186" t="n">
        <f aca="false">SUM($F150:O150)</f>
        <v>0</v>
      </c>
    </row>
    <row r="156" customFormat="false" ht="15" hidden="false" customHeight="false" outlineLevel="1" collapsed="false">
      <c r="C156" s="0" t="str">
        <f aca="false">C151</f>
        <v>Shea Processing Center</v>
      </c>
      <c r="F156" s="186" t="n">
        <f aca="false">SUM($F151:F151)</f>
        <v>0</v>
      </c>
      <c r="G156" s="186" t="n">
        <f aca="false">SUM($F151:G151)</f>
        <v>0</v>
      </c>
      <c r="H156" s="186" t="n">
        <f aca="false">SUM($F151:H151)</f>
        <v>0</v>
      </c>
      <c r="I156" s="186" t="n">
        <f aca="false">SUM($F151:I151)</f>
        <v>0</v>
      </c>
      <c r="J156" s="186" t="n">
        <f aca="false">SUM($F151:J151)</f>
        <v>0</v>
      </c>
      <c r="K156" s="186" t="n">
        <f aca="false">SUM($F151:K151)</f>
        <v>0</v>
      </c>
      <c r="L156" s="186" t="n">
        <f aca="false">SUM($F151:L151)</f>
        <v>0</v>
      </c>
      <c r="M156" s="186" t="n">
        <f aca="false">SUM($F151:M151)</f>
        <v>0</v>
      </c>
      <c r="N156" s="186" t="n">
        <f aca="false">SUM($F151:N151)</f>
        <v>0</v>
      </c>
      <c r="O156" s="186" t="n">
        <f aca="false">SUM($F151:O151)</f>
        <v>0</v>
      </c>
    </row>
    <row r="157" customFormat="false" ht="15" hidden="false" customHeight="false" outlineLevel="1" collapsed="false"/>
    <row r="158" customFormat="false" ht="15" hidden="false" customHeight="false" outlineLevel="1" collapsed="false">
      <c r="B158" s="13" t="s">
        <v>382</v>
      </c>
    </row>
    <row r="159" customFormat="false" ht="15" hidden="false" customHeight="false" outlineLevel="1" collapsed="false">
      <c r="C159" s="1" t="s">
        <v>383</v>
      </c>
      <c r="D159" s="30" t="s">
        <v>384</v>
      </c>
      <c r="F159" s="55" t="n">
        <f aca="false">$E$215/2*F154</f>
        <v>0</v>
      </c>
      <c r="G159" s="55" t="n">
        <f aca="false">$E$215/2*G154</f>
        <v>120000</v>
      </c>
      <c r="H159" s="55" t="n">
        <f aca="false">$E$215/2*H154</f>
        <v>240000</v>
      </c>
      <c r="I159" s="55" t="n">
        <f aca="false">$E$215/2*I154</f>
        <v>360000</v>
      </c>
      <c r="J159" s="55" t="n">
        <f aca="false">$E$215/2*J154</f>
        <v>480000</v>
      </c>
      <c r="K159" s="55" t="n">
        <f aca="false">$E$215/2*K154</f>
        <v>600000</v>
      </c>
      <c r="L159" s="202" t="n">
        <f aca="false">K159</f>
        <v>600000</v>
      </c>
      <c r="M159" s="55" t="n">
        <f aca="false">L159</f>
        <v>600000</v>
      </c>
      <c r="N159" s="55" t="n">
        <f aca="false">M159</f>
        <v>600000</v>
      </c>
      <c r="O159" s="55" t="n">
        <f aca="false">N159</f>
        <v>600000</v>
      </c>
    </row>
    <row r="160" customFormat="false" ht="15" hidden="false" customHeight="false" outlineLevel="1" collapsed="false">
      <c r="C160" s="1" t="s">
        <v>385</v>
      </c>
      <c r="D160" s="30" t="s">
        <v>384</v>
      </c>
      <c r="F160" s="55" t="n">
        <f aca="false">$E$213/4*F154</f>
        <v>0</v>
      </c>
      <c r="G160" s="55" t="n">
        <f aca="false">$E$213/4*G154</f>
        <v>45000</v>
      </c>
      <c r="H160" s="55" t="n">
        <f aca="false">$E$213/4*H154</f>
        <v>90000</v>
      </c>
      <c r="I160" s="202" t="n">
        <f aca="false">H160</f>
        <v>90000</v>
      </c>
      <c r="J160" s="55" t="n">
        <f aca="false">I160</f>
        <v>90000</v>
      </c>
      <c r="K160" s="55" t="n">
        <f aca="false">J160</f>
        <v>90000</v>
      </c>
      <c r="L160" s="55" t="n">
        <f aca="false">K160</f>
        <v>90000</v>
      </c>
      <c r="M160" s="55" t="n">
        <f aca="false">L160</f>
        <v>90000</v>
      </c>
      <c r="N160" s="55" t="n">
        <f aca="false">M160</f>
        <v>90000</v>
      </c>
      <c r="O160" s="55" t="n">
        <f aca="false">N160</f>
        <v>90000</v>
      </c>
    </row>
    <row r="161" customFormat="false" ht="15" hidden="false" customHeight="false" outlineLevel="1" collapsed="false">
      <c r="C161" s="1" t="s">
        <v>386</v>
      </c>
      <c r="D161" s="30" t="s">
        <v>384</v>
      </c>
      <c r="F161" s="55" t="n">
        <f aca="false">$E$214/2*F154</f>
        <v>0</v>
      </c>
      <c r="G161" s="55" t="n">
        <f aca="false">$E$214/2*G154</f>
        <v>180000</v>
      </c>
      <c r="H161" s="55" t="n">
        <f aca="false">$E$214/2*H154</f>
        <v>360000</v>
      </c>
      <c r="I161" s="55" t="n">
        <f aca="false">$E$214/2*I154</f>
        <v>540000</v>
      </c>
      <c r="J161" s="55" t="n">
        <f aca="false">$E$214/2*J154</f>
        <v>720000</v>
      </c>
      <c r="K161" s="55" t="n">
        <f aca="false">$E$214/2*K154</f>
        <v>900000</v>
      </c>
      <c r="L161" s="55" t="n">
        <f aca="false">$E$214/2*L154</f>
        <v>1080000</v>
      </c>
      <c r="M161" s="55" t="n">
        <f aca="false">$E$214/2*M154</f>
        <v>1260000</v>
      </c>
      <c r="N161" s="55" t="n">
        <f aca="false">$E$214/2*N154</f>
        <v>1440000</v>
      </c>
      <c r="O161" s="55" t="n">
        <f aca="false">$E$214/2*O154</f>
        <v>1620000</v>
      </c>
    </row>
    <row r="162" customFormat="false" ht="15" hidden="false" customHeight="false" outlineLevel="1" collapsed="false">
      <c r="C162" s="1" t="s">
        <v>387</v>
      </c>
      <c r="D162" s="30" t="s">
        <v>384</v>
      </c>
      <c r="F162" s="55" t="n">
        <f aca="false">$E$314/3*F156</f>
        <v>0</v>
      </c>
      <c r="G162" s="55" t="n">
        <f aca="false">$E$314/3*G156</f>
        <v>0</v>
      </c>
      <c r="H162" s="55" t="n">
        <f aca="false">$E$314/3*H156</f>
        <v>0</v>
      </c>
      <c r="I162" s="55" t="n">
        <f aca="false">$E$314/3*I156</f>
        <v>0</v>
      </c>
      <c r="J162" s="55" t="n">
        <f aca="false">$E$314/3*J156</f>
        <v>0</v>
      </c>
      <c r="K162" s="55" t="n">
        <f aca="false">$E$314/3*K156</f>
        <v>0</v>
      </c>
      <c r="L162" s="55" t="n">
        <f aca="false">$E$314/3*L156</f>
        <v>0</v>
      </c>
      <c r="M162" s="55" t="n">
        <f aca="false">$E$314/3*M156</f>
        <v>0</v>
      </c>
      <c r="N162" s="55" t="n">
        <f aca="false">$E$314/3*N156</f>
        <v>0</v>
      </c>
      <c r="O162" s="55" t="n">
        <f aca="false">$E$314/3*O156</f>
        <v>0</v>
      </c>
    </row>
    <row r="163" customFormat="false" ht="15" hidden="false" customHeight="false" outlineLevel="1" collapsed="false">
      <c r="C163" s="1" t="s">
        <v>388</v>
      </c>
      <c r="D163" s="30" t="s">
        <v>384</v>
      </c>
      <c r="F163" s="55" t="n">
        <f aca="false">$E$263*F155</f>
        <v>0</v>
      </c>
      <c r="G163" s="55" t="n">
        <f aca="false">$E$263*G155</f>
        <v>0</v>
      </c>
      <c r="H163" s="55" t="n">
        <f aca="false">$E$263*H155</f>
        <v>0</v>
      </c>
      <c r="I163" s="55" t="n">
        <f aca="false">$E$263*I155</f>
        <v>0</v>
      </c>
      <c r="J163" s="55" t="n">
        <f aca="false">$E$263*J155</f>
        <v>0</v>
      </c>
      <c r="K163" s="55" t="n">
        <f aca="false">$E$263*K155</f>
        <v>0</v>
      </c>
      <c r="L163" s="55" t="n">
        <f aca="false">$E$263*L155</f>
        <v>0</v>
      </c>
      <c r="M163" s="55" t="n">
        <f aca="false">$E$263*M155</f>
        <v>0</v>
      </c>
      <c r="N163" s="55" t="n">
        <f aca="false">$E$263*N155</f>
        <v>0</v>
      </c>
      <c r="O163" s="55" t="n">
        <f aca="false">$E$263*O155</f>
        <v>0</v>
      </c>
    </row>
    <row r="164" customFormat="false" ht="15" hidden="false" customHeight="false" outlineLevel="1" collapsed="false">
      <c r="F164" s="55"/>
      <c r="G164" s="55"/>
      <c r="H164" s="55"/>
      <c r="I164" s="55"/>
      <c r="J164" s="47"/>
      <c r="K164" s="55"/>
      <c r="L164" s="55"/>
      <c r="M164" s="55"/>
      <c r="N164" s="55"/>
      <c r="O164" s="55"/>
    </row>
    <row r="165" customFormat="false" ht="15" hidden="false" customHeight="false" outlineLevel="1" collapsed="false">
      <c r="B165" s="13" t="s">
        <v>389</v>
      </c>
      <c r="F165" s="55"/>
      <c r="G165" s="55"/>
      <c r="H165" s="55"/>
      <c r="I165" s="55"/>
      <c r="J165" s="47"/>
      <c r="K165" s="55"/>
      <c r="L165" s="55"/>
      <c r="M165" s="55"/>
      <c r="N165" s="55"/>
      <c r="O165" s="55"/>
    </row>
    <row r="166" customFormat="false" ht="15" hidden="false" customHeight="false" outlineLevel="1" collapsed="false">
      <c r="C166" s="0" t="str">
        <f aca="false">C159</f>
        <v>Moringa oil </v>
      </c>
      <c r="D166" s="30" t="s">
        <v>384</v>
      </c>
      <c r="F166" s="55" t="n">
        <f aca="false">'4.2 Revenue Build - Other'!H66/3</f>
        <v>0</v>
      </c>
      <c r="G166" s="55" t="n">
        <f aca="false">'4.2 Revenue Build - Other'!I66/3</f>
        <v>0</v>
      </c>
      <c r="H166" s="55" t="n">
        <f aca="false">'4.2 Revenue Build - Other'!J66/3</f>
        <v>161500</v>
      </c>
      <c r="I166" s="55" t="n">
        <f aca="false">'4.2 Revenue Build - Other'!K66/3</f>
        <v>290700</v>
      </c>
      <c r="J166" s="55" t="n">
        <f aca="false">'4.2 Revenue Build - Other'!L66/3</f>
        <v>323000</v>
      </c>
      <c r="K166" s="55" t="n">
        <f aca="false">'4.2 Revenue Build - Other'!M66/3</f>
        <v>484500</v>
      </c>
      <c r="L166" s="55" t="n">
        <f aca="false">'4.2 Revenue Build - Other'!N66/3</f>
        <v>484500</v>
      </c>
      <c r="M166" s="55" t="n">
        <f aca="false">'4.2 Revenue Build - Other'!O66/3</f>
        <v>484500</v>
      </c>
      <c r="N166" s="55" t="n">
        <f aca="false">'4.2 Revenue Build - Other'!P66/3</f>
        <v>484500</v>
      </c>
      <c r="O166" s="55" t="n">
        <f aca="false">'4.2 Revenue Build - Other'!Q66/3</f>
        <v>484500</v>
      </c>
    </row>
    <row r="167" customFormat="false" ht="15" hidden="false" customHeight="false" outlineLevel="1" collapsed="false">
      <c r="C167" s="0" t="str">
        <f aca="false">C160</f>
        <v>Moringa Powder </v>
      </c>
      <c r="D167" s="30" t="s">
        <v>384</v>
      </c>
      <c r="E167" s="203" t="n">
        <v>0.2</v>
      </c>
      <c r="F167" s="55" t="n">
        <f aca="false">'4.2 Revenue Build - Other'!H62*$E$167</f>
        <v>0</v>
      </c>
      <c r="G167" s="55" t="n">
        <f aca="false">'4.2 Revenue Build - Other'!I62*$E$167</f>
        <v>58140</v>
      </c>
      <c r="H167" s="55" t="n">
        <f aca="false">'4.2 Revenue Build - Other'!J62*$E$167</f>
        <v>58140</v>
      </c>
      <c r="I167" s="55" t="n">
        <f aca="false">'4.2 Revenue Build - Other'!K62*$E$167</f>
        <v>96900</v>
      </c>
      <c r="J167" s="55" t="n">
        <f aca="false">'4.2 Revenue Build - Other'!L62*$E$167</f>
        <v>96900</v>
      </c>
      <c r="K167" s="55" t="n">
        <f aca="false">'4.2 Revenue Build - Other'!M62*$E$167</f>
        <v>96900</v>
      </c>
      <c r="L167" s="55" t="n">
        <f aca="false">'4.2 Revenue Build - Other'!N62*$E$167</f>
        <v>96900</v>
      </c>
      <c r="M167" s="55" t="n">
        <f aca="false">'4.2 Revenue Build - Other'!O62*$E$167</f>
        <v>96900</v>
      </c>
      <c r="N167" s="55" t="n">
        <f aca="false">'4.2 Revenue Build - Other'!P62*$E$167</f>
        <v>96900</v>
      </c>
      <c r="O167" s="55" t="n">
        <f aca="false">'4.2 Revenue Build - Other'!Q62*$E$167</f>
        <v>96900</v>
      </c>
    </row>
    <row r="168" customFormat="false" ht="15" hidden="false" customHeight="false" outlineLevel="1" collapsed="false">
      <c r="C168" s="0" t="str">
        <f aca="false">C161</f>
        <v>Dried Mangoes</v>
      </c>
      <c r="D168" s="30" t="s">
        <v>384</v>
      </c>
      <c r="F168" s="55" t="n">
        <f aca="false">$E$219*F154</f>
        <v>0</v>
      </c>
      <c r="G168" s="55" t="n">
        <f aca="false">$E$219*G154</f>
        <v>173000</v>
      </c>
      <c r="H168" s="55" t="n">
        <f aca="false">$E$219*H154</f>
        <v>346000</v>
      </c>
      <c r="I168" s="55" t="n">
        <f aca="false">$E$219*I154</f>
        <v>519000</v>
      </c>
      <c r="J168" s="55" t="n">
        <f aca="false">$E$219*J154</f>
        <v>692000</v>
      </c>
      <c r="K168" s="55" t="n">
        <f aca="false">$E$219*K154</f>
        <v>865000</v>
      </c>
      <c r="L168" s="55" t="n">
        <f aca="false">$E$219*L154</f>
        <v>1038000</v>
      </c>
      <c r="M168" s="55" t="n">
        <f aca="false">$E$219*M154</f>
        <v>1211000</v>
      </c>
      <c r="N168" s="55" t="n">
        <f aca="false">$E$219*N154</f>
        <v>1384000</v>
      </c>
      <c r="O168" s="55" t="n">
        <f aca="false">$E$219*O154</f>
        <v>1557000</v>
      </c>
    </row>
    <row r="169" customFormat="false" ht="15" hidden="false" customHeight="false" outlineLevel="1" collapsed="false">
      <c r="C169" s="0" t="str">
        <f aca="false">C162</f>
        <v>Shea butter</v>
      </c>
      <c r="D169" s="30" t="s">
        <v>384</v>
      </c>
      <c r="E169" s="153" t="n">
        <v>1000000</v>
      </c>
      <c r="F169" s="55" t="n">
        <f aca="false">F156*$E$169</f>
        <v>0</v>
      </c>
      <c r="G169" s="55" t="n">
        <f aca="false">G156*$E$169</f>
        <v>0</v>
      </c>
      <c r="H169" s="55" t="n">
        <f aca="false">H156*$E$169</f>
        <v>0</v>
      </c>
      <c r="I169" s="55" t="n">
        <f aca="false">I156*$E$169</f>
        <v>0</v>
      </c>
      <c r="J169" s="55" t="n">
        <f aca="false">J156*$E$169</f>
        <v>0</v>
      </c>
      <c r="K169" s="55" t="n">
        <f aca="false">K156*$E$169</f>
        <v>0</v>
      </c>
      <c r="L169" s="55" t="n">
        <f aca="false">L156*$E$169</f>
        <v>0</v>
      </c>
      <c r="M169" s="55" t="n">
        <f aca="false">M156*$E$169</f>
        <v>0</v>
      </c>
      <c r="N169" s="55" t="n">
        <f aca="false">N156*$E$169</f>
        <v>0</v>
      </c>
      <c r="O169" s="55" t="n">
        <f aca="false">O156*$E$169</f>
        <v>0</v>
      </c>
    </row>
    <row r="170" customFormat="false" ht="15" hidden="false" customHeight="false" outlineLevel="1" collapsed="false">
      <c r="C170" s="0" t="s">
        <v>390</v>
      </c>
      <c r="D170" s="30" t="s">
        <v>384</v>
      </c>
      <c r="E170" s="153" t="n">
        <f aca="false">2*300000</f>
        <v>600000</v>
      </c>
      <c r="F170" s="55" t="n">
        <f aca="false">SUM(F154:F156)*$E$170</f>
        <v>0</v>
      </c>
      <c r="G170" s="55" t="n">
        <f aca="false">SUM(G154:G156)*$E$170</f>
        <v>1200000</v>
      </c>
      <c r="H170" s="55" t="n">
        <f aca="false">SUM(H154:H156)*$E$170</f>
        <v>2400000</v>
      </c>
      <c r="I170" s="55" t="n">
        <f aca="false">SUM(I154:I156)*$E$170</f>
        <v>3600000</v>
      </c>
      <c r="J170" s="55" t="n">
        <f aca="false">SUM(J154:J156)*$E$170</f>
        <v>4800000</v>
      </c>
      <c r="K170" s="55" t="n">
        <f aca="false">SUM(K154:K156)*$E$170</f>
        <v>6000000</v>
      </c>
      <c r="L170" s="55" t="n">
        <f aca="false">SUM(L154:L156)*$E$170</f>
        <v>7200000</v>
      </c>
      <c r="M170" s="55" t="n">
        <f aca="false">SUM(M154:M156)*$E$170</f>
        <v>8400000</v>
      </c>
      <c r="N170" s="55" t="n">
        <f aca="false">SUM(N154:N156)*$E$170</f>
        <v>9600000</v>
      </c>
      <c r="O170" s="55" t="n">
        <f aca="false">SUM(O154:O156)*$E$170</f>
        <v>10800000</v>
      </c>
    </row>
    <row r="171" customFormat="false" ht="15" hidden="false" customHeight="false" outlineLevel="1" collapsed="false"/>
    <row r="172" customFormat="false" ht="15" hidden="false" customHeight="false" outlineLevel="1" collapsed="false">
      <c r="B172" s="13" t="s">
        <v>391</v>
      </c>
      <c r="D172" s="30" t="s">
        <v>360</v>
      </c>
      <c r="E172" s="203" t="n">
        <v>0.05</v>
      </c>
      <c r="G172" s="95"/>
      <c r="H172" s="95"/>
      <c r="I172" s="95"/>
      <c r="J172" s="95"/>
      <c r="K172" s="95"/>
      <c r="L172" s="95"/>
      <c r="M172" s="95"/>
      <c r="N172" s="95"/>
      <c r="O172" s="95"/>
    </row>
    <row r="173" customFormat="false" ht="15" hidden="false" customHeight="false" outlineLevel="1" collapsed="false"/>
    <row r="174" customFormat="false" ht="15" hidden="false" customHeight="false" outlineLevel="1" collapsed="false">
      <c r="B174" s="204" t="s">
        <v>378</v>
      </c>
      <c r="C174" s="205"/>
      <c r="D174" s="167"/>
      <c r="E174" s="167"/>
      <c r="F174" s="199"/>
      <c r="G174" s="199"/>
      <c r="H174" s="199"/>
      <c r="I174" s="199"/>
      <c r="J174" s="206"/>
      <c r="K174" s="199"/>
      <c r="L174" s="199"/>
      <c r="M174" s="199"/>
      <c r="N174" s="199"/>
      <c r="O174" s="199"/>
    </row>
    <row r="175" customFormat="false" ht="15" hidden="false" customHeight="false" outlineLevel="1" collapsed="false"/>
    <row r="176" customFormat="false" ht="15" hidden="false" customHeight="false" outlineLevel="1" collapsed="false">
      <c r="B176" s="207" t="s">
        <v>392</v>
      </c>
      <c r="C176" s="56"/>
      <c r="D176" s="208" t="s">
        <v>393</v>
      </c>
      <c r="E176" s="209" t="s">
        <v>394</v>
      </c>
      <c r="F176" s="209" t="s">
        <v>395</v>
      </c>
      <c r="G176" s="209" t="s">
        <v>396</v>
      </c>
      <c r="I176" s="182" t="s">
        <v>397</v>
      </c>
      <c r="J176" s="182" t="s">
        <v>398</v>
      </c>
      <c r="K176" s="182" t="s">
        <v>399</v>
      </c>
    </row>
    <row r="177" customFormat="false" ht="15" hidden="false" customHeight="false" outlineLevel="1" collapsed="false">
      <c r="B177" s="13"/>
      <c r="C177" s="210" t="s">
        <v>292</v>
      </c>
      <c r="E177" s="211"/>
      <c r="F177" s="211"/>
      <c r="G177" s="212" t="n">
        <v>10000</v>
      </c>
      <c r="I177" s="210" t="s">
        <v>400</v>
      </c>
      <c r="J177" s="210" t="s">
        <v>401</v>
      </c>
      <c r="K177" s="213" t="s">
        <v>402</v>
      </c>
    </row>
    <row r="178" customFormat="false" ht="15" hidden="false" customHeight="false" outlineLevel="1" collapsed="false">
      <c r="B178" s="13"/>
      <c r="C178" s="33" t="s">
        <v>403</v>
      </c>
      <c r="E178" s="211"/>
      <c r="F178" s="211"/>
      <c r="G178" s="212" t="n">
        <f aca="false">200*400</f>
        <v>80000</v>
      </c>
      <c r="I178" s="210" t="s">
        <v>404</v>
      </c>
      <c r="J178" s="210" t="s">
        <v>405</v>
      </c>
      <c r="K178" s="213" t="s">
        <v>406</v>
      </c>
    </row>
    <row r="179" customFormat="false" ht="15" hidden="false" customHeight="false" outlineLevel="1" collapsed="false">
      <c r="B179" s="13"/>
      <c r="C179" s="33" t="s">
        <v>407</v>
      </c>
      <c r="E179" s="211"/>
      <c r="F179" s="211"/>
      <c r="G179" s="212" t="n">
        <v>25000</v>
      </c>
      <c r="I179" s="210" t="s">
        <v>408</v>
      </c>
      <c r="J179" s="210" t="s">
        <v>409</v>
      </c>
      <c r="K179" s="213" t="s">
        <v>410</v>
      </c>
    </row>
    <row r="180" customFormat="false" ht="15" hidden="false" customHeight="false" outlineLevel="1" collapsed="false">
      <c r="B180" s="13"/>
      <c r="C180" s="33" t="s">
        <v>411</v>
      </c>
      <c r="E180" s="211"/>
      <c r="F180" s="211"/>
      <c r="G180" s="212" t="n">
        <v>15000</v>
      </c>
      <c r="I180" s="214" t="s">
        <v>412</v>
      </c>
      <c r="J180" s="214" t="s">
        <v>413</v>
      </c>
      <c r="K180" s="215" t="s">
        <v>414</v>
      </c>
    </row>
    <row r="181" customFormat="false" ht="15" hidden="false" customHeight="false" outlineLevel="1" collapsed="false">
      <c r="B181" s="13"/>
      <c r="C181" s="33" t="s">
        <v>415</v>
      </c>
      <c r="E181" s="211"/>
      <c r="F181" s="211"/>
      <c r="G181" s="212" t="n">
        <v>20000</v>
      </c>
    </row>
    <row r="182" customFormat="false" ht="15" hidden="false" customHeight="false" outlineLevel="1" collapsed="false">
      <c r="B182" s="13"/>
      <c r="C182" s="33" t="s">
        <v>416</v>
      </c>
      <c r="E182" s="211"/>
      <c r="F182" s="211"/>
      <c r="G182" s="212" t="n">
        <v>30000</v>
      </c>
    </row>
    <row r="183" customFormat="false" ht="15" hidden="false" customHeight="false" outlineLevel="1" collapsed="false">
      <c r="B183" s="13"/>
      <c r="C183" s="33" t="s">
        <v>417</v>
      </c>
      <c r="E183" s="211"/>
      <c r="F183" s="211"/>
      <c r="G183" s="212" t="n">
        <v>5000</v>
      </c>
    </row>
    <row r="184" customFormat="false" ht="15" hidden="false" customHeight="false" outlineLevel="1" collapsed="false">
      <c r="C184" s="8" t="s">
        <v>418</v>
      </c>
      <c r="G184" s="130" t="n">
        <f aca="false">SUM(G185:G197)</f>
        <v>103784</v>
      </c>
    </row>
    <row r="185" customFormat="false" ht="15" hidden="false" customHeight="false" outlineLevel="1" collapsed="false">
      <c r="C185" s="216" t="s">
        <v>419</v>
      </c>
      <c r="D185" s="217" t="n">
        <v>2</v>
      </c>
      <c r="E185" s="218" t="n">
        <v>3000</v>
      </c>
      <c r="F185" s="219" t="n">
        <v>5000</v>
      </c>
      <c r="G185" s="218" t="n">
        <f aca="false">F185*D185</f>
        <v>10000</v>
      </c>
    </row>
    <row r="186" customFormat="false" ht="15" hidden="false" customHeight="false" outlineLevel="1" collapsed="false">
      <c r="C186" s="216" t="s">
        <v>420</v>
      </c>
      <c r="D186" s="220" t="n">
        <v>3</v>
      </c>
      <c r="E186" s="218" t="n">
        <v>3000</v>
      </c>
      <c r="F186" s="221" t="n">
        <v>2600</v>
      </c>
      <c r="G186" s="218" t="n">
        <f aca="false">F186*D186</f>
        <v>7800</v>
      </c>
    </row>
    <row r="187" customFormat="false" ht="15" hidden="false" customHeight="false" outlineLevel="1" collapsed="false">
      <c r="C187" s="216" t="s">
        <v>421</v>
      </c>
      <c r="D187" s="222" t="n">
        <v>1</v>
      </c>
      <c r="E187" s="218" t="n">
        <v>200</v>
      </c>
      <c r="F187" s="223" t="n">
        <v>8500</v>
      </c>
      <c r="G187" s="218" t="n">
        <f aca="false">F187*D187</f>
        <v>8500</v>
      </c>
    </row>
    <row r="188" customFormat="false" ht="15" hidden="false" customHeight="false" outlineLevel="1" collapsed="false">
      <c r="C188" s="216" t="s">
        <v>422</v>
      </c>
      <c r="D188" s="222" t="n">
        <v>1</v>
      </c>
      <c r="E188" s="218" t="n">
        <v>300</v>
      </c>
      <c r="F188" s="223" t="n">
        <v>7735</v>
      </c>
      <c r="G188" s="218" t="n">
        <f aca="false">F188*D188</f>
        <v>7735</v>
      </c>
    </row>
    <row r="189" customFormat="false" ht="15" hidden="false" customHeight="false" outlineLevel="1" collapsed="false">
      <c r="C189" s="216" t="s">
        <v>423</v>
      </c>
      <c r="D189" s="222" t="n">
        <v>1</v>
      </c>
      <c r="E189" s="218" t="n">
        <v>1200</v>
      </c>
      <c r="F189" s="223" t="n">
        <v>3640</v>
      </c>
      <c r="G189" s="218" t="n">
        <f aca="false">F189*D189</f>
        <v>3640</v>
      </c>
    </row>
    <row r="190" customFormat="false" ht="15" hidden="false" customHeight="false" outlineLevel="1" collapsed="false">
      <c r="C190" s="216" t="s">
        <v>424</v>
      </c>
      <c r="D190" s="222" t="n">
        <v>1</v>
      </c>
      <c r="E190" s="218" t="n">
        <v>400</v>
      </c>
      <c r="F190" s="223" t="n">
        <v>8000</v>
      </c>
      <c r="G190" s="218" t="n">
        <f aca="false">F190*D190</f>
        <v>8000</v>
      </c>
    </row>
    <row r="191" customFormat="false" ht="15" hidden="false" customHeight="false" outlineLevel="1" collapsed="false">
      <c r="C191" s="216" t="s">
        <v>425</v>
      </c>
      <c r="D191" s="222" t="n">
        <v>1</v>
      </c>
      <c r="E191" s="218" t="n">
        <v>1500</v>
      </c>
      <c r="F191" s="223" t="n">
        <v>7000</v>
      </c>
      <c r="G191" s="218" t="n">
        <f aca="false">F191*D191</f>
        <v>7000</v>
      </c>
    </row>
    <row r="192" customFormat="false" ht="15" hidden="false" customHeight="false" outlineLevel="1" collapsed="false">
      <c r="C192" s="216" t="s">
        <v>426</v>
      </c>
      <c r="D192" s="222" t="n">
        <v>1</v>
      </c>
      <c r="E192" s="218" t="n">
        <v>300</v>
      </c>
      <c r="F192" s="223" t="n">
        <v>9000</v>
      </c>
      <c r="G192" s="218" t="n">
        <f aca="false">F192*D192</f>
        <v>9000</v>
      </c>
    </row>
    <row r="193" customFormat="false" ht="15" hidden="false" customHeight="false" outlineLevel="1" collapsed="false">
      <c r="C193" s="216" t="s">
        <v>427</v>
      </c>
      <c r="D193" s="222" t="n">
        <v>1</v>
      </c>
      <c r="E193" s="25" t="s">
        <v>428</v>
      </c>
      <c r="F193" s="223" t="n">
        <v>370.5</v>
      </c>
      <c r="G193" s="218" t="n">
        <f aca="false">F193*D193</f>
        <v>370.5</v>
      </c>
    </row>
    <row r="194" customFormat="false" ht="15" hidden="false" customHeight="false" outlineLevel="1" collapsed="false">
      <c r="C194" s="216" t="s">
        <v>429</v>
      </c>
      <c r="D194" s="222" t="n">
        <v>1</v>
      </c>
      <c r="E194" s="25" t="s">
        <v>428</v>
      </c>
      <c r="F194" s="223" t="n">
        <v>318.5</v>
      </c>
      <c r="G194" s="218" t="n">
        <f aca="false">F194*D194</f>
        <v>318.5</v>
      </c>
    </row>
    <row r="195" customFormat="false" ht="15" hidden="false" customHeight="false" outlineLevel="1" collapsed="false">
      <c r="C195" s="216" t="s">
        <v>430</v>
      </c>
      <c r="D195" s="222" t="n">
        <v>50</v>
      </c>
      <c r="E195" s="25" t="s">
        <v>431</v>
      </c>
      <c r="F195" s="223" t="n">
        <v>500</v>
      </c>
      <c r="G195" s="218" t="n">
        <f aca="false">F195*D195</f>
        <v>25000</v>
      </c>
    </row>
    <row r="196" customFormat="false" ht="15" hidden="false" customHeight="false" outlineLevel="1" collapsed="false">
      <c r="C196" s="216" t="s">
        <v>432</v>
      </c>
      <c r="D196" s="222" t="n">
        <v>2</v>
      </c>
      <c r="E196" s="25" t="s">
        <v>428</v>
      </c>
      <c r="F196" s="223" t="n">
        <v>2210</v>
      </c>
      <c r="G196" s="218" t="n">
        <f aca="false">F196*D196</f>
        <v>4420</v>
      </c>
    </row>
    <row r="197" customFormat="false" ht="15" hidden="false" customHeight="false" outlineLevel="1" collapsed="false">
      <c r="C197" s="216" t="s">
        <v>433</v>
      </c>
      <c r="D197" s="222" t="n">
        <v>1</v>
      </c>
      <c r="E197" s="25" t="s">
        <v>434</v>
      </c>
      <c r="F197" s="223" t="n">
        <v>12000</v>
      </c>
      <c r="G197" s="218" t="n">
        <f aca="false">F197*D197</f>
        <v>12000</v>
      </c>
    </row>
    <row r="198" customFormat="false" ht="15" hidden="false" customHeight="false" outlineLevel="1" collapsed="false">
      <c r="C198" s="8" t="s">
        <v>435</v>
      </c>
      <c r="D198" s="224"/>
      <c r="F198" s="225"/>
      <c r="G198" s="130" t="n">
        <f aca="false">SUM(G199:G200)</f>
        <v>45000</v>
      </c>
    </row>
    <row r="199" customFormat="false" ht="15" hidden="false" customHeight="false" outlineLevel="1" collapsed="false">
      <c r="C199" s="216" t="s">
        <v>436</v>
      </c>
      <c r="D199" s="222" t="n">
        <v>1</v>
      </c>
      <c r="E199" s="25"/>
      <c r="F199" s="223" t="n">
        <v>25000</v>
      </c>
      <c r="G199" s="218" t="n">
        <f aca="false">F199*D199</f>
        <v>25000</v>
      </c>
    </row>
    <row r="200" customFormat="false" ht="15" hidden="false" customHeight="false" outlineLevel="1" collapsed="false">
      <c r="C200" s="216" t="s">
        <v>437</v>
      </c>
      <c r="D200" s="222" t="n">
        <v>10</v>
      </c>
      <c r="E200" s="25"/>
      <c r="F200" s="223" t="n">
        <v>2000</v>
      </c>
      <c r="G200" s="218" t="n">
        <f aca="false">F200*D200</f>
        <v>20000</v>
      </c>
    </row>
    <row r="201" customFormat="false" ht="15" hidden="false" customHeight="false" outlineLevel="1" collapsed="false">
      <c r="B201" s="226" t="s">
        <v>438</v>
      </c>
      <c r="C201" s="227"/>
      <c r="E201" s="228"/>
      <c r="F201" s="227"/>
      <c r="G201" s="229" t="n">
        <f aca="false">SUM(G177:G184,G198)</f>
        <v>333784</v>
      </c>
    </row>
    <row r="202" customFormat="false" ht="15" hidden="false" customHeight="false" outlineLevel="1" collapsed="false"/>
    <row r="203" customFormat="false" ht="15" hidden="false" customHeight="false" outlineLevel="1" collapsed="false">
      <c r="B203" s="207" t="s">
        <v>439</v>
      </c>
      <c r="C203" s="56"/>
      <c r="D203" s="208" t="s">
        <v>393</v>
      </c>
      <c r="E203" s="209" t="s">
        <v>440</v>
      </c>
      <c r="F203" s="209" t="s">
        <v>395</v>
      </c>
      <c r="G203" s="209" t="s">
        <v>396</v>
      </c>
    </row>
    <row r="204" customFormat="false" ht="15" hidden="false" customHeight="false" outlineLevel="1" collapsed="false">
      <c r="C204" s="210" t="s">
        <v>419</v>
      </c>
      <c r="D204" s="230" t="n">
        <v>1</v>
      </c>
      <c r="E204" s="213" t="s">
        <v>441</v>
      </c>
      <c r="F204" s="179" t="n">
        <v>2600</v>
      </c>
      <c r="G204" s="130" t="n">
        <f aca="false">F204*D204</f>
        <v>2600</v>
      </c>
    </row>
    <row r="205" customFormat="false" ht="15" hidden="false" customHeight="false" outlineLevel="1" collapsed="false">
      <c r="C205" s="210" t="s">
        <v>442</v>
      </c>
      <c r="D205" s="230" t="n">
        <v>2</v>
      </c>
      <c r="E205" s="213" t="s">
        <v>439</v>
      </c>
      <c r="F205" s="179" t="n">
        <v>1300</v>
      </c>
      <c r="G205" s="130" t="n">
        <f aca="false">F205*D205</f>
        <v>2600</v>
      </c>
    </row>
    <row r="206" customFormat="false" ht="15" hidden="false" customHeight="false" outlineLevel="1" collapsed="false">
      <c r="C206" s="210" t="s">
        <v>423</v>
      </c>
      <c r="D206" s="230" t="n">
        <v>1</v>
      </c>
      <c r="E206" s="213" t="s">
        <v>443</v>
      </c>
      <c r="F206" s="179" t="n">
        <v>481</v>
      </c>
      <c r="G206" s="130" t="n">
        <f aca="false">F206*D206</f>
        <v>481</v>
      </c>
    </row>
    <row r="207" customFormat="false" ht="15" hidden="false" customHeight="false" outlineLevel="1" collapsed="false">
      <c r="C207" s="210" t="s">
        <v>425</v>
      </c>
      <c r="D207" s="230" t="n">
        <v>1</v>
      </c>
      <c r="E207" s="213" t="s">
        <v>444</v>
      </c>
      <c r="F207" s="179" t="n">
        <v>500</v>
      </c>
      <c r="G207" s="130" t="n">
        <f aca="false">F207*D207</f>
        <v>500</v>
      </c>
    </row>
    <row r="208" customFormat="false" ht="15" hidden="false" customHeight="false" outlineLevel="1" collapsed="false">
      <c r="C208" s="210" t="s">
        <v>445</v>
      </c>
      <c r="D208" s="230" t="n">
        <v>2</v>
      </c>
      <c r="E208" s="213" t="s">
        <v>446</v>
      </c>
      <c r="F208" s="179" t="n">
        <v>1560</v>
      </c>
      <c r="G208" s="130" t="n">
        <f aca="false">F208*D208</f>
        <v>3120</v>
      </c>
    </row>
    <row r="209" customFormat="false" ht="15" hidden="false" customHeight="false" outlineLevel="1" collapsed="false">
      <c r="C209" s="210" t="s">
        <v>447</v>
      </c>
      <c r="D209" s="230" t="n">
        <v>1</v>
      </c>
      <c r="E209" s="213" t="s">
        <v>448</v>
      </c>
      <c r="F209" s="179" t="n">
        <v>3250</v>
      </c>
      <c r="G209" s="130" t="n">
        <f aca="false">F209*D209</f>
        <v>3250</v>
      </c>
    </row>
    <row r="210" customFormat="false" ht="15" hidden="false" customHeight="false" outlineLevel="1" collapsed="false">
      <c r="F210" s="55"/>
      <c r="G210" s="231" t="n">
        <f aca="false">SUM(G204:G209)</f>
        <v>12551</v>
      </c>
    </row>
    <row r="211" customFormat="false" ht="15" hidden="false" customHeight="false" outlineLevel="1" collapsed="false">
      <c r="B211" s="207" t="s">
        <v>449</v>
      </c>
      <c r="C211" s="56"/>
      <c r="D211" s="208"/>
      <c r="E211" s="208"/>
    </row>
    <row r="212" customFormat="false" ht="15" hidden="false" customHeight="false" outlineLevel="1" collapsed="false"/>
    <row r="213" customFormat="false" ht="15" hidden="false" customHeight="false" outlineLevel="1" collapsed="false">
      <c r="C213" s="14" t="s">
        <v>450</v>
      </c>
      <c r="D213" s="30" t="s">
        <v>451</v>
      </c>
      <c r="E213" s="179" t="n">
        <v>90000</v>
      </c>
    </row>
    <row r="214" customFormat="false" ht="15" hidden="false" customHeight="false" outlineLevel="1" collapsed="false">
      <c r="C214" s="14" t="s">
        <v>452</v>
      </c>
      <c r="D214" s="30" t="s">
        <v>451</v>
      </c>
      <c r="E214" s="179" t="n">
        <f aca="false">600*300</f>
        <v>180000</v>
      </c>
    </row>
    <row r="215" customFormat="false" ht="15" hidden="false" customHeight="false" outlineLevel="1" collapsed="false">
      <c r="C215" s="14" t="s">
        <v>453</v>
      </c>
      <c r="D215" s="30" t="s">
        <v>451</v>
      </c>
      <c r="E215" s="179" t="n">
        <f aca="false">400*300</f>
        <v>120000</v>
      </c>
    </row>
    <row r="216" customFormat="false" ht="15" hidden="false" customHeight="false" outlineLevel="1" collapsed="false"/>
    <row r="217" customFormat="false" ht="15" hidden="false" customHeight="false" outlineLevel="1" collapsed="false">
      <c r="B217" s="207" t="s">
        <v>454</v>
      </c>
      <c r="C217" s="56"/>
      <c r="D217" s="208"/>
      <c r="E217" s="232" t="s">
        <v>384</v>
      </c>
    </row>
    <row r="218" customFormat="false" ht="15" hidden="false" customHeight="false" outlineLevel="1" collapsed="false"/>
    <row r="219" customFormat="false" ht="15" hidden="false" customHeight="false" outlineLevel="1" collapsed="false">
      <c r="C219" s="0" t="s">
        <v>455</v>
      </c>
      <c r="E219" s="179" t="n">
        <f aca="false">173000/2</f>
        <v>86500</v>
      </c>
    </row>
    <row r="220" customFormat="false" ht="15" hidden="false" customHeight="false" outlineLevel="1" collapsed="false">
      <c r="E220" s="55" t="n">
        <f aca="false">E219*5</f>
        <v>432500</v>
      </c>
    </row>
    <row r="221" customFormat="false" ht="15" hidden="false" customHeight="false" outlineLevel="1" collapsed="false">
      <c r="C221" s="0" t="s">
        <v>456</v>
      </c>
      <c r="D221" s="233" t="n">
        <v>0.3</v>
      </c>
      <c r="E221" s="179" t="n">
        <f aca="false">E220*D221</f>
        <v>129750</v>
      </c>
    </row>
    <row r="222" customFormat="false" ht="15" hidden="false" customHeight="false" outlineLevel="1" collapsed="false">
      <c r="C222" s="0" t="s">
        <v>457</v>
      </c>
      <c r="D222" s="233" t="n">
        <v>0.2</v>
      </c>
      <c r="E222" s="179" t="n">
        <f aca="false">E220*D222</f>
        <v>86500</v>
      </c>
    </row>
    <row r="223" customFormat="false" ht="15" hidden="false" customHeight="false" outlineLevel="1" collapsed="false"/>
    <row r="224" customFormat="false" ht="15" hidden="false" customHeight="false" outlineLevel="1" collapsed="false">
      <c r="B224" s="204" t="s">
        <v>379</v>
      </c>
      <c r="C224" s="205"/>
    </row>
    <row r="225" customFormat="false" ht="15" hidden="false" customHeight="false" outlineLevel="1" collapsed="false"/>
    <row r="226" customFormat="false" ht="15" hidden="false" customHeight="false" outlineLevel="1" collapsed="false">
      <c r="B226" s="207" t="s">
        <v>392</v>
      </c>
      <c r="C226" s="56"/>
      <c r="D226" s="208" t="s">
        <v>393</v>
      </c>
      <c r="E226" s="209" t="s">
        <v>394</v>
      </c>
      <c r="F226" s="209" t="s">
        <v>395</v>
      </c>
      <c r="G226" s="209" t="s">
        <v>396</v>
      </c>
    </row>
    <row r="227" customFormat="false" ht="15" hidden="false" customHeight="false" outlineLevel="1" collapsed="false">
      <c r="B227" s="13"/>
      <c r="C227" s="210" t="s">
        <v>292</v>
      </c>
      <c r="E227" s="211"/>
      <c r="F227" s="211"/>
      <c r="G227" s="179" t="n">
        <v>10000</v>
      </c>
    </row>
    <row r="228" customFormat="false" ht="15" hidden="false" customHeight="false" outlineLevel="1" collapsed="false">
      <c r="B228" s="13"/>
      <c r="C228" s="33" t="s">
        <v>403</v>
      </c>
      <c r="E228" s="211"/>
      <c r="F228" s="211"/>
      <c r="G228" s="179" t="n">
        <f aca="false">200*400</f>
        <v>80000</v>
      </c>
    </row>
    <row r="229" customFormat="false" ht="15" hidden="false" customHeight="false" outlineLevel="1" collapsed="false">
      <c r="B229" s="13"/>
      <c r="C229" s="33" t="s">
        <v>407</v>
      </c>
      <c r="E229" s="211"/>
      <c r="F229" s="211"/>
      <c r="G229" s="179" t="n">
        <v>25000</v>
      </c>
    </row>
    <row r="230" customFormat="false" ht="15" hidden="false" customHeight="false" outlineLevel="1" collapsed="false">
      <c r="B230" s="13"/>
      <c r="C230" s="33" t="s">
        <v>411</v>
      </c>
      <c r="E230" s="211"/>
      <c r="F230" s="211"/>
      <c r="G230" s="179" t="n">
        <v>15000</v>
      </c>
    </row>
    <row r="231" customFormat="false" ht="15" hidden="false" customHeight="false" outlineLevel="1" collapsed="false">
      <c r="B231" s="13"/>
      <c r="C231" s="33" t="s">
        <v>415</v>
      </c>
      <c r="E231" s="211"/>
      <c r="F231" s="211"/>
      <c r="G231" s="179" t="n">
        <v>20000</v>
      </c>
    </row>
    <row r="232" customFormat="false" ht="15" hidden="false" customHeight="false" outlineLevel="1" collapsed="false">
      <c r="B232" s="13"/>
      <c r="C232" s="33" t="s">
        <v>416</v>
      </c>
      <c r="E232" s="211"/>
      <c r="F232" s="211"/>
      <c r="G232" s="179" t="n">
        <v>30000</v>
      </c>
    </row>
    <row r="233" customFormat="false" ht="15" hidden="false" customHeight="false" outlineLevel="1" collapsed="false">
      <c r="B233" s="13"/>
      <c r="C233" s="33" t="s">
        <v>417</v>
      </c>
      <c r="E233" s="211"/>
      <c r="F233" s="211"/>
      <c r="G233" s="179" t="n">
        <v>5000</v>
      </c>
    </row>
    <row r="234" customFormat="false" ht="15" hidden="false" customHeight="false" outlineLevel="1" collapsed="false">
      <c r="C234" s="8" t="s">
        <v>418</v>
      </c>
      <c r="G234" s="130" t="n">
        <f aca="false">SUM(G235:G246)</f>
        <v>187531</v>
      </c>
    </row>
    <row r="235" customFormat="false" ht="15" hidden="false" customHeight="false" outlineLevel="1" collapsed="false">
      <c r="C235" s="216" t="s">
        <v>419</v>
      </c>
      <c r="D235" s="230" t="n">
        <v>1</v>
      </c>
      <c r="E235" s="25" t="n">
        <v>3000</v>
      </c>
      <c r="F235" s="153" t="n">
        <v>5000</v>
      </c>
      <c r="G235" s="218" t="n">
        <f aca="false">F235*D235</f>
        <v>5000</v>
      </c>
    </row>
    <row r="236" customFormat="false" ht="15" hidden="false" customHeight="false" outlineLevel="1" collapsed="false">
      <c r="C236" s="216" t="s">
        <v>420</v>
      </c>
      <c r="D236" s="234" t="n">
        <v>6</v>
      </c>
      <c r="E236" s="25" t="n">
        <v>3000</v>
      </c>
      <c r="F236" s="153" t="n">
        <v>2600</v>
      </c>
      <c r="G236" s="218" t="n">
        <f aca="false">F236*D236</f>
        <v>15600</v>
      </c>
    </row>
    <row r="237" customFormat="false" ht="15" hidden="false" customHeight="false" outlineLevel="1" collapsed="false">
      <c r="C237" s="216" t="s">
        <v>458</v>
      </c>
      <c r="D237" s="234" t="n">
        <v>9</v>
      </c>
      <c r="E237" s="25" t="n">
        <v>300</v>
      </c>
      <c r="F237" s="153" t="n">
        <v>1820</v>
      </c>
      <c r="G237" s="218" t="n">
        <f aca="false">F237*D237</f>
        <v>16380</v>
      </c>
    </row>
    <row r="238" customFormat="false" ht="15" hidden="false" customHeight="false" outlineLevel="1" collapsed="false">
      <c r="C238" s="216" t="s">
        <v>442</v>
      </c>
      <c r="D238" s="235" t="n">
        <v>1</v>
      </c>
      <c r="E238" s="25" t="n">
        <v>1200</v>
      </c>
      <c r="F238" s="153" t="n">
        <v>7735</v>
      </c>
      <c r="G238" s="218" t="n">
        <f aca="false">F238*D238</f>
        <v>7735</v>
      </c>
    </row>
    <row r="239" customFormat="false" ht="15" hidden="false" customHeight="false" outlineLevel="1" collapsed="false">
      <c r="C239" s="216" t="s">
        <v>423</v>
      </c>
      <c r="D239" s="235" t="n">
        <v>1</v>
      </c>
      <c r="E239" s="25" t="n">
        <v>400</v>
      </c>
      <c r="F239" s="153" t="n">
        <v>3640</v>
      </c>
      <c r="G239" s="218" t="n">
        <f aca="false">F239*D239</f>
        <v>3640</v>
      </c>
    </row>
    <row r="240" customFormat="false" ht="15" hidden="false" customHeight="false" outlineLevel="1" collapsed="false">
      <c r="C240" s="216" t="s">
        <v>459</v>
      </c>
      <c r="D240" s="235" t="n">
        <v>1</v>
      </c>
      <c r="E240" s="25" t="n">
        <v>1500</v>
      </c>
      <c r="F240" s="153" t="n">
        <v>54000</v>
      </c>
      <c r="G240" s="218" t="n">
        <f aca="false">F240*D240</f>
        <v>54000</v>
      </c>
    </row>
    <row r="241" customFormat="false" ht="15" hidden="false" customHeight="false" outlineLevel="1" collapsed="false">
      <c r="C241" s="216" t="s">
        <v>460</v>
      </c>
      <c r="D241" s="235" t="n">
        <v>2</v>
      </c>
      <c r="E241" s="25" t="n">
        <v>1500</v>
      </c>
      <c r="F241" s="153" t="n">
        <v>6500</v>
      </c>
      <c r="G241" s="218" t="n">
        <f aca="false">F241*D241</f>
        <v>13000</v>
      </c>
    </row>
    <row r="242" customFormat="false" ht="15" hidden="false" customHeight="false" outlineLevel="1" collapsed="false">
      <c r="C242" s="216" t="s">
        <v>427</v>
      </c>
      <c r="D242" s="235" t="n">
        <v>4</v>
      </c>
      <c r="E242" s="210" t="s">
        <v>428</v>
      </c>
      <c r="F242" s="153" t="n">
        <v>370.5</v>
      </c>
      <c r="G242" s="218" t="n">
        <f aca="false">F242*D242</f>
        <v>1482</v>
      </c>
    </row>
    <row r="243" customFormat="false" ht="15" hidden="false" customHeight="false" outlineLevel="1" collapsed="false">
      <c r="C243" s="216" t="s">
        <v>429</v>
      </c>
      <c r="D243" s="235" t="n">
        <v>4</v>
      </c>
      <c r="E243" s="210" t="s">
        <v>428</v>
      </c>
      <c r="F243" s="153" t="n">
        <v>318.5</v>
      </c>
      <c r="G243" s="218" t="n">
        <f aca="false">F243*D243</f>
        <v>1274</v>
      </c>
    </row>
    <row r="244" customFormat="false" ht="15" hidden="false" customHeight="false" outlineLevel="1" collapsed="false">
      <c r="C244" s="216" t="s">
        <v>430</v>
      </c>
      <c r="D244" s="235" t="n">
        <v>1</v>
      </c>
      <c r="E244" s="210" t="s">
        <v>431</v>
      </c>
      <c r="F244" s="153" t="n">
        <v>26000</v>
      </c>
      <c r="G244" s="218" t="n">
        <f aca="false">F244*D244</f>
        <v>26000</v>
      </c>
    </row>
    <row r="245" customFormat="false" ht="15" hidden="false" customHeight="false" outlineLevel="1" collapsed="false">
      <c r="C245" s="216" t="s">
        <v>432</v>
      </c>
      <c r="D245" s="235" t="n">
        <v>2</v>
      </c>
      <c r="E245" s="210" t="s">
        <v>428</v>
      </c>
      <c r="F245" s="153" t="n">
        <v>2210</v>
      </c>
      <c r="G245" s="218" t="n">
        <f aca="false">F245*D245</f>
        <v>4420</v>
      </c>
    </row>
    <row r="246" customFormat="false" ht="15" hidden="false" customHeight="false" outlineLevel="1" collapsed="false">
      <c r="C246" s="216" t="s">
        <v>433</v>
      </c>
      <c r="D246" s="222" t="n">
        <v>1</v>
      </c>
      <c r="E246" s="210" t="s">
        <v>434</v>
      </c>
      <c r="F246" s="153" t="n">
        <v>39000</v>
      </c>
      <c r="G246" s="218" t="n">
        <f aca="false">F246*D246</f>
        <v>39000</v>
      </c>
    </row>
    <row r="247" customFormat="false" ht="15" hidden="false" customHeight="false" outlineLevel="1" collapsed="false">
      <c r="C247" s="8" t="s">
        <v>435</v>
      </c>
      <c r="G247" s="130" t="n">
        <f aca="false">SUM(G248:G249)</f>
        <v>45000</v>
      </c>
    </row>
    <row r="248" customFormat="false" ht="15" hidden="false" customHeight="false" outlineLevel="1" collapsed="false">
      <c r="C248" s="216" t="s">
        <v>436</v>
      </c>
      <c r="D248" s="222" t="n">
        <v>1</v>
      </c>
      <c r="E248" s="25"/>
      <c r="F248" s="153" t="n">
        <v>25000</v>
      </c>
      <c r="G248" s="218" t="n">
        <f aca="false">F248*D248</f>
        <v>25000</v>
      </c>
    </row>
    <row r="249" customFormat="false" ht="15" hidden="false" customHeight="false" outlineLevel="1" collapsed="false">
      <c r="C249" s="216" t="s">
        <v>437</v>
      </c>
      <c r="D249" s="222" t="n">
        <v>10</v>
      </c>
      <c r="E249" s="25"/>
      <c r="F249" s="153" t="n">
        <v>2000</v>
      </c>
      <c r="G249" s="218" t="n">
        <f aca="false">F249*D249</f>
        <v>20000</v>
      </c>
    </row>
    <row r="250" customFormat="false" ht="15" hidden="false" customHeight="false" outlineLevel="1" collapsed="false">
      <c r="B250" s="226" t="s">
        <v>438</v>
      </c>
      <c r="C250" s="227"/>
      <c r="E250" s="228"/>
      <c r="G250" s="229" t="n">
        <f aca="false">SUM(G227:G234,G247)</f>
        <v>417531</v>
      </c>
    </row>
    <row r="251" customFormat="false" ht="15" hidden="false" customHeight="false" outlineLevel="1" collapsed="false"/>
    <row r="252" customFormat="false" ht="15" hidden="false" customHeight="false" outlineLevel="1" collapsed="false">
      <c r="B252" s="207" t="s">
        <v>439</v>
      </c>
      <c r="C252" s="56"/>
      <c r="D252" s="208" t="s">
        <v>393</v>
      </c>
      <c r="E252" s="209" t="s">
        <v>440</v>
      </c>
      <c r="F252" s="209" t="s">
        <v>395</v>
      </c>
      <c r="G252" s="209" t="s">
        <v>396</v>
      </c>
    </row>
    <row r="253" customFormat="false" ht="15" hidden="false" customHeight="false" outlineLevel="1" collapsed="false">
      <c r="C253" s="210" t="s">
        <v>419</v>
      </c>
      <c r="D253" s="230" t="n">
        <v>1</v>
      </c>
      <c r="E253" s="213" t="s">
        <v>441</v>
      </c>
      <c r="F253" s="179" t="n">
        <v>2600</v>
      </c>
      <c r="G253" s="130" t="n">
        <f aca="false">F253*D253</f>
        <v>2600</v>
      </c>
    </row>
    <row r="254" customFormat="false" ht="15" hidden="false" customHeight="false" outlineLevel="1" collapsed="false">
      <c r="C254" s="210" t="s">
        <v>442</v>
      </c>
      <c r="D254" s="230" t="n">
        <v>2</v>
      </c>
      <c r="E254" s="213" t="s">
        <v>439</v>
      </c>
      <c r="F254" s="179" t="n">
        <v>1300</v>
      </c>
      <c r="G254" s="130" t="n">
        <f aca="false">F254*D254</f>
        <v>2600</v>
      </c>
    </row>
    <row r="255" customFormat="false" ht="15" hidden="false" customHeight="false" outlineLevel="1" collapsed="false">
      <c r="C255" s="210" t="s">
        <v>423</v>
      </c>
      <c r="D255" s="230" t="n">
        <v>1</v>
      </c>
      <c r="E255" s="213" t="s">
        <v>443</v>
      </c>
      <c r="F255" s="179" t="n">
        <v>481</v>
      </c>
      <c r="G255" s="130" t="n">
        <f aca="false">F255*D255</f>
        <v>481</v>
      </c>
    </row>
    <row r="256" customFormat="false" ht="15" hidden="false" customHeight="false" outlineLevel="1" collapsed="false">
      <c r="C256" s="210" t="s">
        <v>459</v>
      </c>
      <c r="D256" s="230" t="n">
        <v>2</v>
      </c>
      <c r="E256" s="213" t="s">
        <v>461</v>
      </c>
      <c r="F256" s="179" t="n">
        <v>2860</v>
      </c>
      <c r="G256" s="130" t="n">
        <f aca="false">F256*D256</f>
        <v>5720</v>
      </c>
    </row>
    <row r="257" customFormat="false" ht="15" hidden="false" customHeight="false" outlineLevel="1" collapsed="false">
      <c r="C257" s="210" t="s">
        <v>460</v>
      </c>
      <c r="D257" s="230" t="n">
        <v>1</v>
      </c>
      <c r="E257" s="213" t="s">
        <v>462</v>
      </c>
      <c r="F257" s="179" t="n">
        <v>2665</v>
      </c>
      <c r="G257" s="130" t="n">
        <f aca="false">F257*D257</f>
        <v>2665</v>
      </c>
    </row>
    <row r="258" customFormat="false" ht="15" hidden="false" customHeight="false" outlineLevel="1" collapsed="false">
      <c r="C258" s="210" t="s">
        <v>445</v>
      </c>
      <c r="D258" s="230" t="n">
        <v>2</v>
      </c>
      <c r="E258" s="213" t="s">
        <v>446</v>
      </c>
      <c r="F258" s="179" t="n">
        <v>1560</v>
      </c>
      <c r="G258" s="130" t="n">
        <f aca="false">F258*D258</f>
        <v>3120</v>
      </c>
    </row>
    <row r="259" customFormat="false" ht="15" hidden="false" customHeight="false" outlineLevel="1" collapsed="false">
      <c r="C259" s="210" t="s">
        <v>447</v>
      </c>
      <c r="D259" s="230" t="n">
        <v>1</v>
      </c>
      <c r="E259" s="213" t="s">
        <v>448</v>
      </c>
      <c r="F259" s="179" t="n">
        <v>3250</v>
      </c>
      <c r="G259" s="130" t="n">
        <f aca="false">F259*D259</f>
        <v>3250</v>
      </c>
    </row>
    <row r="260" customFormat="false" ht="15" hidden="false" customHeight="false" outlineLevel="1" collapsed="false">
      <c r="F260" s="55"/>
      <c r="G260" s="231" t="n">
        <f aca="false">SUM(G253:G259)</f>
        <v>20436</v>
      </c>
    </row>
    <row r="261" customFormat="false" ht="15" hidden="false" customHeight="false" outlineLevel="1" collapsed="false">
      <c r="B261" s="207" t="s">
        <v>449</v>
      </c>
      <c r="C261" s="56"/>
      <c r="D261" s="208"/>
      <c r="E261" s="208"/>
    </row>
    <row r="262" customFormat="false" ht="15" hidden="false" customHeight="false" outlineLevel="1" collapsed="false"/>
    <row r="263" customFormat="false" ht="15" hidden="false" customHeight="false" outlineLevel="1" collapsed="false">
      <c r="C263" s="14" t="s">
        <v>463</v>
      </c>
      <c r="D263" s="30" t="s">
        <v>451</v>
      </c>
      <c r="E263" s="179" t="n">
        <f aca="false">1200000</f>
        <v>1200000</v>
      </c>
    </row>
    <row r="264" customFormat="false" ht="15" hidden="false" customHeight="false" outlineLevel="1" collapsed="false">
      <c r="C264" s="14"/>
      <c r="E264" s="55"/>
    </row>
    <row r="265" customFormat="false" ht="15" hidden="false" customHeight="false" outlineLevel="1" collapsed="false">
      <c r="B265" s="207" t="s">
        <v>454</v>
      </c>
      <c r="C265" s="56"/>
      <c r="D265" s="208"/>
      <c r="E265" s="232" t="s">
        <v>384</v>
      </c>
    </row>
    <row r="266" customFormat="false" ht="15" hidden="false" customHeight="false" outlineLevel="1" collapsed="false"/>
    <row r="267" customFormat="false" ht="15" hidden="false" customHeight="false" outlineLevel="1" collapsed="false">
      <c r="C267" s="0" t="s">
        <v>455</v>
      </c>
      <c r="E267" s="179" t="n">
        <f aca="false">173000/2</f>
        <v>86500</v>
      </c>
    </row>
    <row r="268" customFormat="false" ht="15" hidden="false" customHeight="false" outlineLevel="1" collapsed="false">
      <c r="E268" s="179" t="n">
        <f aca="false">E267*5</f>
        <v>432500</v>
      </c>
    </row>
    <row r="269" customFormat="false" ht="15" hidden="false" customHeight="false" outlineLevel="1" collapsed="false">
      <c r="C269" s="0" t="s">
        <v>456</v>
      </c>
      <c r="D269" s="233" t="n">
        <v>0.3</v>
      </c>
      <c r="E269" s="236" t="n">
        <f aca="false">E268*D269</f>
        <v>129750</v>
      </c>
    </row>
    <row r="270" customFormat="false" ht="15" hidden="false" customHeight="false" outlineLevel="1" collapsed="false">
      <c r="C270" s="0" t="s">
        <v>457</v>
      </c>
      <c r="D270" s="233" t="n">
        <v>0.2</v>
      </c>
      <c r="E270" s="236" t="n">
        <f aca="false">E268*D270</f>
        <v>86500</v>
      </c>
    </row>
    <row r="271" customFormat="false" ht="15" hidden="false" customHeight="false" outlineLevel="1" collapsed="false"/>
    <row r="272" customFormat="false" ht="15" hidden="false" customHeight="false" outlineLevel="1" collapsed="false">
      <c r="B272" s="204" t="s">
        <v>380</v>
      </c>
      <c r="C272" s="205"/>
    </row>
    <row r="273" customFormat="false" ht="15" hidden="false" customHeight="false" outlineLevel="1" collapsed="false"/>
    <row r="274" customFormat="false" ht="15" hidden="false" customHeight="false" outlineLevel="1" collapsed="false">
      <c r="B274" s="207" t="s">
        <v>392</v>
      </c>
      <c r="C274" s="56"/>
      <c r="D274" s="208" t="s">
        <v>393</v>
      </c>
      <c r="E274" s="209" t="s">
        <v>394</v>
      </c>
      <c r="F274" s="209" t="s">
        <v>395</v>
      </c>
      <c r="G274" s="209" t="s">
        <v>396</v>
      </c>
    </row>
    <row r="275" customFormat="false" ht="15" hidden="false" customHeight="false" outlineLevel="1" collapsed="false">
      <c r="B275" s="13"/>
      <c r="C275" s="210" t="s">
        <v>292</v>
      </c>
      <c r="E275" s="211"/>
      <c r="F275" s="211"/>
      <c r="G275" s="179" t="n">
        <v>20000</v>
      </c>
      <c r="H275" s="237"/>
      <c r="I275" s="237"/>
    </row>
    <row r="276" customFormat="false" ht="15" hidden="false" customHeight="false" outlineLevel="1" collapsed="false">
      <c r="B276" s="13"/>
      <c r="C276" s="33" t="s">
        <v>403</v>
      </c>
      <c r="E276" s="211"/>
      <c r="F276" s="211"/>
      <c r="G276" s="179" t="n">
        <v>160000</v>
      </c>
      <c r="H276" s="237"/>
      <c r="I276" s="237"/>
    </row>
    <row r="277" customFormat="false" ht="15" hidden="false" customHeight="false" outlineLevel="1" collapsed="false">
      <c r="B277" s="13"/>
      <c r="C277" s="33" t="s">
        <v>407</v>
      </c>
      <c r="E277" s="211"/>
      <c r="F277" s="211"/>
      <c r="G277" s="179" t="n">
        <v>50000</v>
      </c>
    </row>
    <row r="278" customFormat="false" ht="15" hidden="false" customHeight="false" outlineLevel="1" collapsed="false">
      <c r="B278" s="13"/>
      <c r="C278" s="33" t="s">
        <v>411</v>
      </c>
      <c r="E278" s="211"/>
      <c r="F278" s="211"/>
      <c r="G278" s="179" t="n">
        <v>25000</v>
      </c>
    </row>
    <row r="279" customFormat="false" ht="15" hidden="false" customHeight="false" outlineLevel="1" collapsed="false">
      <c r="B279" s="13"/>
      <c r="C279" s="33" t="s">
        <v>415</v>
      </c>
      <c r="E279" s="211"/>
      <c r="F279" s="211"/>
      <c r="G279" s="179" t="n">
        <v>40000</v>
      </c>
    </row>
    <row r="280" customFormat="false" ht="15" hidden="false" customHeight="false" outlineLevel="1" collapsed="false">
      <c r="B280" s="13"/>
      <c r="C280" s="33" t="s">
        <v>416</v>
      </c>
      <c r="E280" s="211"/>
      <c r="F280" s="211"/>
      <c r="G280" s="179" t="n">
        <v>100000</v>
      </c>
    </row>
    <row r="281" customFormat="false" ht="15" hidden="false" customHeight="false" outlineLevel="1" collapsed="false">
      <c r="B281" s="13"/>
      <c r="C281" s="33" t="s">
        <v>417</v>
      </c>
      <c r="E281" s="211"/>
      <c r="F281" s="211"/>
      <c r="G281" s="179" t="n">
        <v>15000</v>
      </c>
    </row>
    <row r="282" customFormat="false" ht="15" hidden="false" customHeight="false" outlineLevel="1" collapsed="false">
      <c r="C282" s="8" t="s">
        <v>418</v>
      </c>
      <c r="G282" s="130" t="n">
        <f aca="false">SUM(G283:G295)</f>
        <v>318872</v>
      </c>
    </row>
    <row r="283" customFormat="false" ht="15" hidden="false" customHeight="false" outlineLevel="1" collapsed="false">
      <c r="C283" s="210" t="s">
        <v>420</v>
      </c>
      <c r="D283" s="230" t="n">
        <v>7</v>
      </c>
      <c r="E283" s="130" t="n">
        <v>3000</v>
      </c>
      <c r="F283" s="179" t="n">
        <v>2600</v>
      </c>
      <c r="G283" s="218" t="n">
        <f aca="false">F283*D283</f>
        <v>18200</v>
      </c>
    </row>
    <row r="284" customFormat="false" ht="15" hidden="false" customHeight="false" outlineLevel="1" collapsed="false">
      <c r="C284" s="210" t="s">
        <v>464</v>
      </c>
      <c r="D284" s="234" t="n">
        <v>1</v>
      </c>
      <c r="E284" s="130" t="n">
        <v>3000</v>
      </c>
      <c r="F284" s="179" t="n">
        <v>54000</v>
      </c>
      <c r="G284" s="218" t="n">
        <f aca="false">F284*D284</f>
        <v>54000</v>
      </c>
    </row>
    <row r="285" customFormat="false" ht="15" hidden="false" customHeight="false" outlineLevel="1" collapsed="false">
      <c r="C285" s="210" t="s">
        <v>465</v>
      </c>
      <c r="D285" s="234" t="n">
        <v>2</v>
      </c>
      <c r="E285" s="130" t="n">
        <v>300</v>
      </c>
      <c r="F285" s="179" t="n">
        <v>15000</v>
      </c>
      <c r="G285" s="218" t="n">
        <f aca="false">F285*D285</f>
        <v>30000</v>
      </c>
    </row>
    <row r="286" customFormat="false" ht="15" hidden="false" customHeight="false" outlineLevel="1" collapsed="false">
      <c r="C286" s="210" t="s">
        <v>466</v>
      </c>
      <c r="D286" s="235" t="n">
        <v>2</v>
      </c>
      <c r="E286" s="130" t="n">
        <v>1200</v>
      </c>
      <c r="F286" s="179" t="n">
        <v>4160</v>
      </c>
      <c r="G286" s="218" t="n">
        <f aca="false">F286*D286</f>
        <v>8320</v>
      </c>
    </row>
    <row r="287" customFormat="false" ht="15" hidden="false" customHeight="false" outlineLevel="1" collapsed="false">
      <c r="C287" s="210" t="s">
        <v>467</v>
      </c>
      <c r="D287" s="235" t="n">
        <v>2</v>
      </c>
      <c r="E287" s="130" t="n">
        <v>400</v>
      </c>
      <c r="F287" s="179" t="n">
        <v>26000</v>
      </c>
      <c r="G287" s="218" t="n">
        <f aca="false">F287*D287</f>
        <v>52000</v>
      </c>
    </row>
    <row r="288" customFormat="false" ht="15" hidden="false" customHeight="false" outlineLevel="1" collapsed="false">
      <c r="C288" s="210" t="s">
        <v>425</v>
      </c>
      <c r="D288" s="235" t="n">
        <v>1</v>
      </c>
      <c r="E288" s="130" t="n">
        <v>1500</v>
      </c>
      <c r="F288" s="179" t="n">
        <v>14300</v>
      </c>
      <c r="G288" s="218" t="n">
        <f aca="false">F288*D288</f>
        <v>14300</v>
      </c>
    </row>
    <row r="289" customFormat="false" ht="15" hidden="false" customHeight="false" outlineLevel="1" collapsed="false">
      <c r="C289" s="210" t="s">
        <v>427</v>
      </c>
      <c r="D289" s="235" t="n">
        <v>4</v>
      </c>
      <c r="E289" s="130" t="n">
        <v>1500</v>
      </c>
      <c r="F289" s="179" t="n">
        <v>370.5</v>
      </c>
      <c r="G289" s="218" t="n">
        <f aca="false">F289*D289</f>
        <v>1482</v>
      </c>
    </row>
    <row r="290" customFormat="false" ht="15" hidden="false" customHeight="false" outlineLevel="1" collapsed="false">
      <c r="C290" s="210" t="s">
        <v>468</v>
      </c>
      <c r="D290" s="235" t="n">
        <v>1</v>
      </c>
      <c r="E290" s="130" t="s">
        <v>428</v>
      </c>
      <c r="F290" s="179" t="n">
        <v>11050</v>
      </c>
      <c r="G290" s="218" t="n">
        <f aca="false">F290*D290</f>
        <v>11050</v>
      </c>
    </row>
    <row r="291" customFormat="false" ht="15" hidden="false" customHeight="false" outlineLevel="1" collapsed="false">
      <c r="C291" s="210" t="s">
        <v>469</v>
      </c>
      <c r="D291" s="235" t="n">
        <v>1</v>
      </c>
      <c r="E291" s="130" t="s">
        <v>428</v>
      </c>
      <c r="F291" s="179" t="n">
        <v>14950</v>
      </c>
      <c r="G291" s="218" t="n">
        <f aca="false">F291*D291</f>
        <v>14950</v>
      </c>
    </row>
    <row r="292" customFormat="false" ht="15" hidden="false" customHeight="false" outlineLevel="1" collapsed="false">
      <c r="C292" s="210" t="s">
        <v>470</v>
      </c>
      <c r="D292" s="235" t="n">
        <v>1</v>
      </c>
      <c r="E292" s="130"/>
      <c r="F292" s="179" t="n">
        <v>46150</v>
      </c>
      <c r="G292" s="218" t="n">
        <f aca="false">F292*D292</f>
        <v>46150</v>
      </c>
    </row>
    <row r="293" customFormat="false" ht="15" hidden="false" customHeight="false" outlineLevel="1" collapsed="false">
      <c r="C293" s="210" t="s">
        <v>430</v>
      </c>
      <c r="D293" s="235" t="n">
        <v>50</v>
      </c>
      <c r="E293" s="130" t="s">
        <v>431</v>
      </c>
      <c r="F293" s="179" t="n">
        <v>500</v>
      </c>
      <c r="G293" s="218" t="n">
        <f aca="false">F293*D293</f>
        <v>25000</v>
      </c>
    </row>
    <row r="294" customFormat="false" ht="15" hidden="false" customHeight="false" outlineLevel="1" collapsed="false">
      <c r="C294" s="210" t="s">
        <v>432</v>
      </c>
      <c r="D294" s="235" t="n">
        <v>2</v>
      </c>
      <c r="E294" s="130" t="s">
        <v>471</v>
      </c>
      <c r="F294" s="179" t="n">
        <v>2210</v>
      </c>
      <c r="G294" s="218" t="n">
        <f aca="false">F294*D294</f>
        <v>4420</v>
      </c>
    </row>
    <row r="295" customFormat="false" ht="15" hidden="false" customHeight="false" outlineLevel="1" collapsed="false">
      <c r="C295" s="210" t="s">
        <v>433</v>
      </c>
      <c r="D295" s="235" t="n">
        <v>1</v>
      </c>
      <c r="E295" s="130" t="s">
        <v>472</v>
      </c>
      <c r="F295" s="179" t="n">
        <v>39000</v>
      </c>
      <c r="G295" s="218" t="n">
        <f aca="false">F295*D295</f>
        <v>39000</v>
      </c>
    </row>
    <row r="296" customFormat="false" ht="15" hidden="false" customHeight="false" outlineLevel="1" collapsed="false">
      <c r="C296" s="8" t="s">
        <v>435</v>
      </c>
      <c r="G296" s="130" t="n">
        <f aca="false">SUM(G297:G298)</f>
        <v>70000</v>
      </c>
    </row>
    <row r="297" customFormat="false" ht="15" hidden="false" customHeight="false" outlineLevel="1" collapsed="false">
      <c r="C297" s="216" t="s">
        <v>436</v>
      </c>
      <c r="D297" s="222" t="n">
        <v>2</v>
      </c>
      <c r="E297" s="25"/>
      <c r="F297" s="153" t="n">
        <v>25000</v>
      </c>
      <c r="G297" s="218" t="n">
        <f aca="false">F297*D297</f>
        <v>50000</v>
      </c>
    </row>
    <row r="298" customFormat="false" ht="15" hidden="false" customHeight="false" outlineLevel="1" collapsed="false">
      <c r="C298" s="216" t="s">
        <v>437</v>
      </c>
      <c r="D298" s="222" t="n">
        <v>10</v>
      </c>
      <c r="E298" s="25"/>
      <c r="F298" s="153" t="n">
        <v>2000</v>
      </c>
      <c r="G298" s="218" t="n">
        <f aca="false">F298*D298</f>
        <v>20000</v>
      </c>
    </row>
    <row r="299" customFormat="false" ht="15" hidden="false" customHeight="false" outlineLevel="1" collapsed="false">
      <c r="B299" s="226" t="s">
        <v>438</v>
      </c>
      <c r="C299" s="227"/>
      <c r="E299" s="228"/>
      <c r="G299" s="229" t="n">
        <f aca="false">SUM(G275:G282,G296)</f>
        <v>798872</v>
      </c>
    </row>
    <row r="300" customFormat="false" ht="15" hidden="false" customHeight="false" outlineLevel="1" collapsed="false"/>
    <row r="301" customFormat="false" ht="15" hidden="false" customHeight="false" outlineLevel="1" collapsed="false">
      <c r="B301" s="207" t="s">
        <v>439</v>
      </c>
      <c r="C301" s="56"/>
      <c r="D301" s="208" t="s">
        <v>393</v>
      </c>
      <c r="E301" s="209" t="s">
        <v>440</v>
      </c>
      <c r="F301" s="209" t="s">
        <v>395</v>
      </c>
      <c r="G301" s="209" t="s">
        <v>396</v>
      </c>
    </row>
    <row r="302" customFormat="false" ht="15" hidden="false" customHeight="false" outlineLevel="1" collapsed="false">
      <c r="C302" s="210" t="s">
        <v>419</v>
      </c>
      <c r="D302" s="230" t="n">
        <v>1</v>
      </c>
      <c r="E302" s="213" t="s">
        <v>441</v>
      </c>
      <c r="F302" s="179" t="n">
        <v>2600</v>
      </c>
      <c r="G302" s="130" t="n">
        <f aca="false">F302*D302</f>
        <v>2600</v>
      </c>
    </row>
    <row r="303" customFormat="false" ht="15" hidden="false" customHeight="false" outlineLevel="1" collapsed="false">
      <c r="C303" s="210" t="s">
        <v>473</v>
      </c>
      <c r="D303" s="230" t="n">
        <v>1</v>
      </c>
      <c r="E303" s="213" t="s">
        <v>461</v>
      </c>
      <c r="F303" s="179" t="n">
        <v>2860</v>
      </c>
      <c r="G303" s="130" t="n">
        <f aca="false">F303*D303</f>
        <v>2860</v>
      </c>
    </row>
    <row r="304" customFormat="false" ht="15" hidden="false" customHeight="false" outlineLevel="1" collapsed="false">
      <c r="C304" s="210" t="s">
        <v>465</v>
      </c>
      <c r="D304" s="230" t="n">
        <v>1</v>
      </c>
      <c r="E304" s="213" t="s">
        <v>474</v>
      </c>
      <c r="F304" s="179" t="n">
        <v>2275</v>
      </c>
      <c r="G304" s="130" t="n">
        <f aca="false">F304*D304</f>
        <v>2275</v>
      </c>
    </row>
    <row r="305" customFormat="false" ht="15" hidden="false" customHeight="false" outlineLevel="1" collapsed="false">
      <c r="C305" s="210" t="s">
        <v>425</v>
      </c>
      <c r="D305" s="230" t="n">
        <v>2</v>
      </c>
      <c r="E305" s="213" t="s">
        <v>475</v>
      </c>
      <c r="F305" s="179" t="n">
        <v>2470</v>
      </c>
      <c r="G305" s="130" t="n">
        <f aca="false">F305*D305</f>
        <v>4940</v>
      </c>
    </row>
    <row r="306" customFormat="false" ht="15" hidden="false" customHeight="false" outlineLevel="1" collapsed="false">
      <c r="C306" s="210" t="s">
        <v>468</v>
      </c>
      <c r="D306" s="230" t="n">
        <v>1</v>
      </c>
      <c r="E306" s="213" t="s">
        <v>476</v>
      </c>
      <c r="F306" s="179" t="n">
        <v>2236</v>
      </c>
      <c r="G306" s="130" t="n">
        <f aca="false">F306*D306</f>
        <v>2236</v>
      </c>
    </row>
    <row r="307" customFormat="false" ht="15" hidden="false" customHeight="false" outlineLevel="1" collapsed="false">
      <c r="C307" s="210" t="s">
        <v>477</v>
      </c>
      <c r="D307" s="230" t="n">
        <v>2</v>
      </c>
      <c r="E307" s="213" t="s">
        <v>446</v>
      </c>
      <c r="F307" s="179" t="n">
        <v>1560</v>
      </c>
      <c r="G307" s="130" t="n">
        <f aca="false">F307*D307</f>
        <v>3120</v>
      </c>
    </row>
    <row r="308" customFormat="false" ht="15" hidden="false" customHeight="false" outlineLevel="1" collapsed="false">
      <c r="C308" s="210" t="s">
        <v>478</v>
      </c>
      <c r="D308" s="230" t="n">
        <v>1</v>
      </c>
      <c r="E308" s="213" t="s">
        <v>479</v>
      </c>
      <c r="F308" s="179" t="n">
        <v>1430</v>
      </c>
      <c r="G308" s="130" t="n">
        <f aca="false">F308*D308</f>
        <v>1430</v>
      </c>
    </row>
    <row r="309" customFormat="false" ht="15" hidden="false" customHeight="false" outlineLevel="1" collapsed="false">
      <c r="C309" s="210" t="s">
        <v>470</v>
      </c>
      <c r="D309" s="230" t="n">
        <v>1</v>
      </c>
      <c r="E309" s="213" t="s">
        <v>448</v>
      </c>
      <c r="F309" s="179" t="n">
        <v>3250</v>
      </c>
      <c r="G309" s="130" t="n">
        <f aca="false">F309*D309</f>
        <v>3250</v>
      </c>
    </row>
    <row r="310" customFormat="false" ht="15" hidden="false" customHeight="false" outlineLevel="1" collapsed="false">
      <c r="C310" s="210" t="s">
        <v>480</v>
      </c>
      <c r="D310" s="230" t="n">
        <v>1</v>
      </c>
      <c r="E310" s="213" t="s">
        <v>481</v>
      </c>
      <c r="F310" s="179" t="n">
        <v>1950</v>
      </c>
      <c r="G310" s="130" t="n">
        <f aca="false">F310*D310</f>
        <v>1950</v>
      </c>
      <c r="H310" s="237" t="s">
        <v>482</v>
      </c>
      <c r="I310" s="237"/>
    </row>
    <row r="311" customFormat="false" ht="15" hidden="false" customHeight="false" outlineLevel="1" collapsed="false">
      <c r="F311" s="55"/>
      <c r="G311" s="231" t="n">
        <f aca="false">SUM(G302:G310)</f>
        <v>24661</v>
      </c>
    </row>
    <row r="312" customFormat="false" ht="15" hidden="false" customHeight="false" outlineLevel="1" collapsed="false">
      <c r="B312" s="207" t="s">
        <v>449</v>
      </c>
      <c r="C312" s="56"/>
      <c r="D312" s="208"/>
      <c r="E312" s="208"/>
    </row>
    <row r="313" customFormat="false" ht="15" hidden="false" customHeight="false" outlineLevel="1" collapsed="false"/>
    <row r="314" customFormat="false" ht="15" hidden="false" customHeight="false" outlineLevel="1" collapsed="false">
      <c r="C314" s="14" t="s">
        <v>483</v>
      </c>
      <c r="D314" s="30" t="s">
        <v>451</v>
      </c>
      <c r="E314" s="179" t="n">
        <v>3600000</v>
      </c>
    </row>
    <row r="315" customFormat="false" ht="15" hidden="false" customHeight="false" outlineLevel="1" collapsed="false">
      <c r="C315" s="14"/>
      <c r="E315" s="55"/>
    </row>
    <row r="316" customFormat="false" ht="15" hidden="false" customHeight="false" outlineLevel="1" collapsed="false">
      <c r="B316" s="207" t="s">
        <v>454</v>
      </c>
      <c r="C316" s="56"/>
      <c r="D316" s="208"/>
      <c r="E316" s="232" t="s">
        <v>384</v>
      </c>
    </row>
    <row r="317" customFormat="false" ht="15" hidden="false" customHeight="false" outlineLevel="1" collapsed="false"/>
    <row r="318" customFormat="false" ht="15" hidden="false" customHeight="false" outlineLevel="1" collapsed="false">
      <c r="C318" s="0" t="s">
        <v>484</v>
      </c>
      <c r="E318" s="179" t="n">
        <f aca="false">173000*2</f>
        <v>346000</v>
      </c>
    </row>
    <row r="319" customFormat="false" ht="15" hidden="false" customHeight="false" outlineLevel="1" collapsed="false">
      <c r="C319" s="0" t="s">
        <v>485</v>
      </c>
      <c r="E319" s="179" t="n">
        <v>1000000</v>
      </c>
    </row>
    <row r="320" customFormat="false" ht="15" hidden="false" customHeight="false" outlineLevel="1" collapsed="false">
      <c r="C320" s="0" t="s">
        <v>486</v>
      </c>
      <c r="E320" s="179" t="n">
        <f aca="false">E319+E319*60%</f>
        <v>1600000</v>
      </c>
    </row>
    <row r="321" customFormat="false" ht="15" hidden="false" customHeight="false" outlineLevel="1" collapsed="false">
      <c r="C321" s="0" t="s">
        <v>487</v>
      </c>
      <c r="D321" s="233" t="n">
        <v>0.3</v>
      </c>
      <c r="E321" s="236" t="n">
        <f aca="false">E320*D321</f>
        <v>480000</v>
      </c>
    </row>
    <row r="322" customFormat="false" ht="15" hidden="false" customHeight="false" outlineLevel="1" collapsed="false">
      <c r="C322" s="0" t="s">
        <v>488</v>
      </c>
      <c r="D322" s="233" t="n">
        <v>0.1</v>
      </c>
      <c r="E322" s="236" t="n">
        <f aca="false">E320*D322</f>
        <v>160000</v>
      </c>
    </row>
    <row r="323" customFormat="false" ht="15" hidden="false" customHeight="false" outlineLevel="1" collapsed="false"/>
    <row r="324" customFormat="false" ht="15" hidden="false" customHeight="false" outlineLevel="1" collapsed="false">
      <c r="B324" s="204" t="s">
        <v>489</v>
      </c>
      <c r="C324" s="237"/>
    </row>
    <row r="325" customFormat="false" ht="15" hidden="false" customHeight="false" outlineLevel="1" collapsed="false">
      <c r="B325" s="0" t="s">
        <v>490</v>
      </c>
      <c r="D325" s="203" t="n">
        <v>0.25</v>
      </c>
      <c r="E325" s="30" t="s">
        <v>491</v>
      </c>
    </row>
    <row r="326" customFormat="false" ht="15" hidden="false" customHeight="false" outlineLevel="1" collapsed="false">
      <c r="B326" s="0" t="s">
        <v>492</v>
      </c>
      <c r="D326" s="203" t="n">
        <v>0.05</v>
      </c>
      <c r="E326" s="30" t="s">
        <v>493</v>
      </c>
    </row>
    <row r="327" customFormat="false" ht="15" hidden="false" customHeight="false" outlineLevel="1" collapsed="false">
      <c r="B327" s="0" t="s">
        <v>494</v>
      </c>
      <c r="D327" s="203" t="n">
        <v>0.05</v>
      </c>
      <c r="E327" s="30" t="s">
        <v>495</v>
      </c>
    </row>
    <row r="328" customFormat="false" ht="15" hidden="false" customHeight="false" outlineLevel="1" collapsed="false"/>
    <row r="329" customFormat="false" ht="15" hidden="false" customHeight="false" outlineLevel="0" collapsed="false">
      <c r="B329" s="182" t="s">
        <v>496</v>
      </c>
      <c r="C329" s="182"/>
      <c r="D329" s="183"/>
      <c r="E329" s="184"/>
      <c r="F329" s="184"/>
      <c r="G329" s="184"/>
      <c r="H329" s="184"/>
      <c r="I329" s="184"/>
      <c r="J329" s="184"/>
      <c r="K329" s="184"/>
      <c r="L329" s="184"/>
      <c r="M329" s="184"/>
      <c r="N329" s="184"/>
      <c r="O329" s="184"/>
      <c r="P329" s="237"/>
    </row>
    <row r="330" customFormat="false" ht="15" hidden="false" customHeight="false" outlineLevel="1" collapsed="false">
      <c r="E330" s="196"/>
      <c r="F330" s="196"/>
      <c r="G330" s="151"/>
      <c r="H330" s="151"/>
      <c r="I330" s="151"/>
    </row>
    <row r="331" customFormat="false" ht="15" hidden="false" customHeight="false" outlineLevel="1" collapsed="false">
      <c r="A331" s="238"/>
      <c r="B331" s="33" t="s">
        <v>326</v>
      </c>
      <c r="D331" s="30" t="s">
        <v>327</v>
      </c>
      <c r="E331" s="30" t="s">
        <v>328</v>
      </c>
      <c r="G331" s="33" t="n">
        <f aca="false">'2. NPV'!H$5</f>
        <v>2024</v>
      </c>
      <c r="H331" s="33" t="n">
        <f aca="false">'2. NPV'!I$5</f>
        <v>2025</v>
      </c>
      <c r="I331" s="33" t="n">
        <f aca="false">'2. NPV'!J$5</f>
        <v>2026</v>
      </c>
      <c r="J331" s="151" t="n">
        <f aca="false">'2. NPV'!K$5</f>
        <v>2027</v>
      </c>
      <c r="K331" s="33" t="n">
        <f aca="false">'2. NPV'!L$5</f>
        <v>2028</v>
      </c>
      <c r="L331" s="33" t="n">
        <f aca="false">'2. NPV'!M$5</f>
        <v>2029</v>
      </c>
      <c r="M331" s="33" t="n">
        <f aca="false">'2. NPV'!N$5</f>
        <v>2030</v>
      </c>
      <c r="N331" s="33" t="n">
        <f aca="false">'2. NPV'!O$5</f>
        <v>2031</v>
      </c>
      <c r="O331" s="33" t="n">
        <f aca="false">'2. NPV'!P$5</f>
        <v>2032</v>
      </c>
      <c r="P331" s="33" t="s">
        <v>497</v>
      </c>
    </row>
    <row r="332" customFormat="false" ht="15" hidden="false" customHeight="false" outlineLevel="1" collapsed="false">
      <c r="A332" s="238"/>
      <c r="C332" s="1" t="s">
        <v>498</v>
      </c>
      <c r="D332" s="168" t="n">
        <v>25000</v>
      </c>
      <c r="E332" s="191" t="n">
        <v>0.02</v>
      </c>
      <c r="F332" s="33" t="s">
        <v>331</v>
      </c>
      <c r="G332" s="179" t="n">
        <f aca="false">0</f>
        <v>0</v>
      </c>
      <c r="H332" s="179" t="n">
        <f aca="false">0</f>
        <v>0</v>
      </c>
      <c r="I332" s="179" t="n">
        <v>1</v>
      </c>
      <c r="J332" s="179" t="n">
        <v>1</v>
      </c>
      <c r="K332" s="179" t="n">
        <v>1</v>
      </c>
      <c r="L332" s="179" t="n">
        <v>1</v>
      </c>
      <c r="M332" s="179" t="n">
        <v>1</v>
      </c>
      <c r="N332" s="179" t="n">
        <v>1</v>
      </c>
      <c r="O332" s="179" t="n">
        <v>1</v>
      </c>
      <c r="P332" s="179" t="n">
        <v>1</v>
      </c>
    </row>
    <row r="333" customFormat="false" ht="15" hidden="false" customHeight="false" outlineLevel="1" collapsed="false">
      <c r="A333" s="238"/>
      <c r="C333" s="33" t="s">
        <v>499</v>
      </c>
      <c r="D333" s="168" t="n">
        <v>10000</v>
      </c>
      <c r="E333" s="191" t="n">
        <v>0.02</v>
      </c>
      <c r="F333" s="33" t="s">
        <v>331</v>
      </c>
      <c r="G333" s="179" t="n">
        <f aca="false">0</f>
        <v>0</v>
      </c>
      <c r="H333" s="179"/>
      <c r="I333" s="179"/>
      <c r="J333" s="179"/>
      <c r="K333" s="179"/>
      <c r="L333" s="179"/>
      <c r="M333" s="179"/>
      <c r="N333" s="179"/>
      <c r="O333" s="179"/>
      <c r="P333" s="179"/>
    </row>
    <row r="334" customFormat="false" ht="15" hidden="false" customHeight="false" outlineLevel="1" collapsed="false">
      <c r="A334" s="238"/>
      <c r="C334" s="33" t="s">
        <v>500</v>
      </c>
      <c r="D334" s="168" t="n">
        <v>10000</v>
      </c>
      <c r="E334" s="191" t="n">
        <v>0.02</v>
      </c>
      <c r="F334" s="33" t="s">
        <v>331</v>
      </c>
      <c r="G334" s="179" t="n">
        <f aca="false">0</f>
        <v>0</v>
      </c>
      <c r="H334" s="179"/>
      <c r="I334" s="179"/>
      <c r="J334" s="179"/>
      <c r="K334" s="179"/>
      <c r="L334" s="179"/>
      <c r="M334" s="179"/>
      <c r="N334" s="179"/>
      <c r="O334" s="179"/>
      <c r="P334" s="179"/>
    </row>
    <row r="335" customFormat="false" ht="15" hidden="false" customHeight="false" outlineLevel="1" collapsed="false">
      <c r="A335" s="238"/>
      <c r="C335" s="33" t="s">
        <v>501</v>
      </c>
      <c r="D335" s="168" t="n">
        <v>10000</v>
      </c>
      <c r="E335" s="191" t="n">
        <v>0.02</v>
      </c>
      <c r="F335" s="33" t="s">
        <v>331</v>
      </c>
      <c r="G335" s="179" t="n">
        <f aca="false">0</f>
        <v>0</v>
      </c>
      <c r="H335" s="179" t="n">
        <v>2</v>
      </c>
      <c r="I335" s="179" t="n">
        <v>4</v>
      </c>
      <c r="J335" s="179" t="n">
        <v>6</v>
      </c>
      <c r="K335" s="179" t="n">
        <v>8</v>
      </c>
      <c r="L335" s="179" t="n">
        <v>10</v>
      </c>
      <c r="M335" s="179" t="n">
        <v>12</v>
      </c>
      <c r="N335" s="179" t="n">
        <v>14</v>
      </c>
      <c r="O335" s="179" t="n">
        <v>16</v>
      </c>
      <c r="P335" s="179" t="n">
        <v>18</v>
      </c>
    </row>
    <row r="336" customFormat="false" ht="15" hidden="false" customHeight="false" outlineLevel="1" collapsed="false">
      <c r="A336" s="238"/>
      <c r="C336" s="1" t="s">
        <v>502</v>
      </c>
      <c r="D336" s="168" t="n">
        <v>8000</v>
      </c>
      <c r="E336" s="191" t="n">
        <v>0.02</v>
      </c>
      <c r="F336" s="33" t="s">
        <v>331</v>
      </c>
      <c r="G336" s="179" t="n">
        <f aca="false">0</f>
        <v>0</v>
      </c>
      <c r="H336" s="179" t="n">
        <v>2</v>
      </c>
      <c r="I336" s="179" t="n">
        <v>4</v>
      </c>
      <c r="J336" s="179" t="n">
        <v>6</v>
      </c>
      <c r="K336" s="179" t="n">
        <v>8</v>
      </c>
      <c r="L336" s="179" t="n">
        <v>10</v>
      </c>
      <c r="M336" s="179" t="n">
        <v>12</v>
      </c>
      <c r="N336" s="179" t="n">
        <v>14</v>
      </c>
      <c r="O336" s="179" t="n">
        <v>16</v>
      </c>
      <c r="P336" s="179" t="n">
        <v>18</v>
      </c>
    </row>
    <row r="337" customFormat="false" ht="15" hidden="false" customHeight="false" outlineLevel="1" collapsed="false">
      <c r="A337" s="238"/>
      <c r="C337" s="1" t="s">
        <v>337</v>
      </c>
      <c r="D337" s="168" t="n">
        <v>5000</v>
      </c>
      <c r="E337" s="191" t="n">
        <v>0.02</v>
      </c>
      <c r="F337" s="33" t="s">
        <v>331</v>
      </c>
      <c r="G337" s="179" t="n">
        <f aca="false">0</f>
        <v>0</v>
      </c>
      <c r="H337" s="179" t="n">
        <v>4</v>
      </c>
      <c r="I337" s="179" t="n">
        <v>8</v>
      </c>
      <c r="J337" s="179" t="n">
        <v>12</v>
      </c>
      <c r="K337" s="179" t="n">
        <v>16</v>
      </c>
      <c r="L337" s="179" t="n">
        <v>20</v>
      </c>
      <c r="M337" s="179" t="n">
        <v>24</v>
      </c>
      <c r="N337" s="179" t="n">
        <v>28</v>
      </c>
      <c r="O337" s="179" t="n">
        <v>32</v>
      </c>
      <c r="P337" s="179" t="n">
        <v>36</v>
      </c>
    </row>
    <row r="338" customFormat="false" ht="15" hidden="false" customHeight="false" outlineLevel="1" collapsed="false">
      <c r="A338" s="238"/>
      <c r="C338" s="1" t="s">
        <v>503</v>
      </c>
      <c r="D338" s="168" t="n">
        <v>5000</v>
      </c>
      <c r="E338" s="191" t="n">
        <v>0.02</v>
      </c>
      <c r="F338" s="33" t="s">
        <v>331</v>
      </c>
      <c r="G338" s="179" t="n">
        <f aca="false">0</f>
        <v>0</v>
      </c>
      <c r="H338" s="179" t="n">
        <v>2</v>
      </c>
      <c r="I338" s="179" t="n">
        <v>4</v>
      </c>
      <c r="J338" s="179" t="n">
        <v>6</v>
      </c>
      <c r="K338" s="179" t="n">
        <v>8</v>
      </c>
      <c r="L338" s="179" t="n">
        <v>10</v>
      </c>
      <c r="M338" s="179" t="n">
        <v>12</v>
      </c>
      <c r="N338" s="179" t="n">
        <v>14</v>
      </c>
      <c r="O338" s="179" t="n">
        <v>16</v>
      </c>
      <c r="P338" s="179" t="n">
        <v>18</v>
      </c>
    </row>
    <row r="339" customFormat="false" ht="15" hidden="false" customHeight="false" outlineLevel="1" collapsed="false">
      <c r="A339" s="238"/>
      <c r="C339" s="1" t="s">
        <v>504</v>
      </c>
      <c r="D339" s="168" t="n">
        <v>5000</v>
      </c>
      <c r="E339" s="191" t="n">
        <v>0.02</v>
      </c>
      <c r="F339" s="33" t="s">
        <v>331</v>
      </c>
      <c r="G339" s="179" t="n">
        <f aca="false">0</f>
        <v>0</v>
      </c>
      <c r="H339" s="179" t="n">
        <f aca="false">0</f>
        <v>0</v>
      </c>
      <c r="I339" s="179" t="n">
        <v>2</v>
      </c>
      <c r="J339" s="179" t="n">
        <v>2</v>
      </c>
      <c r="K339" s="179" t="n">
        <v>4</v>
      </c>
      <c r="L339" s="179" t="n">
        <v>4</v>
      </c>
      <c r="M339" s="179" t="n">
        <v>5</v>
      </c>
      <c r="N339" s="179" t="n">
        <v>5.8</v>
      </c>
      <c r="O339" s="179" t="n">
        <v>6.6</v>
      </c>
      <c r="P339" s="179" t="n">
        <v>7.4</v>
      </c>
    </row>
    <row r="340" customFormat="false" ht="15" hidden="false" customHeight="false" outlineLevel="1" collapsed="false">
      <c r="A340" s="238"/>
      <c r="C340" s="1" t="s">
        <v>339</v>
      </c>
      <c r="D340" s="168" t="n">
        <v>3000</v>
      </c>
      <c r="E340" s="191" t="n">
        <v>0.02</v>
      </c>
      <c r="F340" s="33" t="s">
        <v>331</v>
      </c>
      <c r="G340" s="179" t="n">
        <f aca="false">0</f>
        <v>0</v>
      </c>
      <c r="H340" s="179" t="n">
        <v>8</v>
      </c>
      <c r="I340" s="179" t="n">
        <v>16</v>
      </c>
      <c r="J340" s="179" t="n">
        <v>24</v>
      </c>
      <c r="K340" s="179" t="n">
        <v>32</v>
      </c>
      <c r="L340" s="179" t="n">
        <v>40</v>
      </c>
      <c r="M340" s="179" t="n">
        <v>48</v>
      </c>
      <c r="N340" s="179" t="n">
        <v>56</v>
      </c>
      <c r="O340" s="179" t="n">
        <v>64</v>
      </c>
      <c r="P340" s="179" t="n">
        <v>72</v>
      </c>
    </row>
    <row r="341" customFormat="false" ht="15" hidden="false" customHeight="false" outlineLevel="1" collapsed="false">
      <c r="A341" s="238"/>
      <c r="C341" s="1" t="s">
        <v>340</v>
      </c>
      <c r="D341" s="168" t="n">
        <v>4000</v>
      </c>
      <c r="E341" s="191" t="n">
        <v>0.02</v>
      </c>
      <c r="F341" s="33" t="s">
        <v>331</v>
      </c>
      <c r="G341" s="179" t="n">
        <v>1</v>
      </c>
      <c r="H341" s="179" t="n">
        <v>1</v>
      </c>
      <c r="I341" s="179" t="n">
        <v>1</v>
      </c>
      <c r="J341" s="179" t="n">
        <v>1</v>
      </c>
      <c r="K341" s="179" t="n">
        <v>1</v>
      </c>
      <c r="L341" s="179" t="n">
        <v>1</v>
      </c>
      <c r="M341" s="179" t="n">
        <v>1</v>
      </c>
      <c r="N341" s="179" t="n">
        <v>1</v>
      </c>
      <c r="O341" s="179" t="n">
        <v>1</v>
      </c>
      <c r="P341" s="179" t="n">
        <v>1</v>
      </c>
    </row>
    <row r="342" customFormat="false" ht="15" hidden="false" customHeight="false" outlineLevel="1" collapsed="false">
      <c r="A342" s="238"/>
      <c r="C342" s="1" t="s">
        <v>344</v>
      </c>
      <c r="D342" s="168" t="n">
        <v>2500</v>
      </c>
      <c r="E342" s="191" t="n">
        <v>0.02</v>
      </c>
      <c r="F342" s="33" t="s">
        <v>331</v>
      </c>
      <c r="G342" s="179" t="n">
        <f aca="false">0</f>
        <v>0</v>
      </c>
      <c r="H342" s="179" t="n">
        <v>2</v>
      </c>
      <c r="I342" s="179" t="n">
        <v>4</v>
      </c>
      <c r="J342" s="179" t="n">
        <v>6</v>
      </c>
      <c r="K342" s="179" t="n">
        <v>8</v>
      </c>
      <c r="L342" s="179" t="n">
        <v>10</v>
      </c>
      <c r="M342" s="179" t="n">
        <v>12</v>
      </c>
      <c r="N342" s="179" t="n">
        <v>14</v>
      </c>
      <c r="O342" s="179" t="n">
        <v>16</v>
      </c>
      <c r="P342" s="179" t="n">
        <v>18</v>
      </c>
    </row>
    <row r="343" customFormat="false" ht="15" hidden="false" customHeight="false" outlineLevel="1" collapsed="false">
      <c r="A343" s="238"/>
      <c r="C343" s="1" t="s">
        <v>341</v>
      </c>
      <c r="D343" s="168" t="n">
        <v>1500</v>
      </c>
      <c r="E343" s="191" t="n">
        <v>0.02</v>
      </c>
      <c r="F343" s="33" t="s">
        <v>331</v>
      </c>
      <c r="G343" s="179" t="n">
        <f aca="false">0</f>
        <v>0</v>
      </c>
      <c r="H343" s="179" t="n">
        <v>2</v>
      </c>
      <c r="I343" s="179" t="n">
        <v>4</v>
      </c>
      <c r="J343" s="179" t="n">
        <v>6</v>
      </c>
      <c r="K343" s="179" t="n">
        <v>8</v>
      </c>
      <c r="L343" s="179" t="n">
        <v>10</v>
      </c>
      <c r="M343" s="179" t="n">
        <v>12</v>
      </c>
      <c r="N343" s="179" t="n">
        <v>14</v>
      </c>
      <c r="O343" s="179" t="n">
        <v>16</v>
      </c>
      <c r="P343" s="179" t="n">
        <v>18</v>
      </c>
    </row>
    <row r="344" customFormat="false" ht="15" hidden="false" customHeight="false" outlineLevel="1" collapsed="false">
      <c r="A344" s="238"/>
      <c r="C344" s="1" t="s">
        <v>342</v>
      </c>
      <c r="D344" s="168" t="n">
        <v>2000</v>
      </c>
      <c r="E344" s="191" t="n">
        <v>0.02</v>
      </c>
      <c r="F344" s="33" t="s">
        <v>331</v>
      </c>
      <c r="G344" s="179" t="n">
        <f aca="false">0</f>
        <v>0</v>
      </c>
      <c r="H344" s="179" t="n">
        <v>10</v>
      </c>
      <c r="I344" s="179" t="n">
        <v>20</v>
      </c>
      <c r="J344" s="179" t="n">
        <v>30</v>
      </c>
      <c r="K344" s="179" t="n">
        <v>40</v>
      </c>
      <c r="L344" s="179" t="n">
        <v>50</v>
      </c>
      <c r="M344" s="179" t="n">
        <v>60</v>
      </c>
      <c r="N344" s="179" t="n">
        <v>70</v>
      </c>
      <c r="O344" s="179" t="n">
        <v>80</v>
      </c>
      <c r="P344" s="179" t="n">
        <v>90</v>
      </c>
    </row>
    <row r="345" customFormat="false" ht="15" hidden="false" customHeight="false" outlineLevel="1" collapsed="false">
      <c r="A345" s="238"/>
      <c r="C345" s="1" t="s">
        <v>345</v>
      </c>
      <c r="D345" s="168" t="n">
        <v>1500</v>
      </c>
      <c r="E345" s="191" t="n">
        <v>0.02</v>
      </c>
      <c r="F345" s="33" t="s">
        <v>331</v>
      </c>
      <c r="G345" s="179" t="n">
        <f aca="false">0</f>
        <v>0</v>
      </c>
      <c r="H345" s="179" t="n">
        <v>2</v>
      </c>
      <c r="I345" s="179" t="n">
        <v>4</v>
      </c>
      <c r="J345" s="179" t="n">
        <v>6</v>
      </c>
      <c r="K345" s="179" t="n">
        <v>8</v>
      </c>
      <c r="L345" s="179" t="n">
        <v>10</v>
      </c>
      <c r="M345" s="179" t="n">
        <v>12</v>
      </c>
      <c r="N345" s="179" t="n">
        <v>14</v>
      </c>
      <c r="O345" s="179" t="n">
        <v>16</v>
      </c>
      <c r="P345" s="179" t="n">
        <v>18</v>
      </c>
    </row>
    <row r="346" customFormat="false" ht="15" hidden="false" customHeight="false" outlineLevel="1" collapsed="false">
      <c r="A346" s="238"/>
      <c r="C346" s="1" t="s">
        <v>343</v>
      </c>
      <c r="D346" s="168" t="n">
        <v>2500</v>
      </c>
      <c r="E346" s="191" t="n">
        <v>0.02</v>
      </c>
      <c r="F346" s="33" t="s">
        <v>331</v>
      </c>
      <c r="G346" s="179" t="n">
        <f aca="false">0</f>
        <v>0</v>
      </c>
      <c r="H346" s="179" t="n">
        <v>4</v>
      </c>
      <c r="I346" s="179" t="n">
        <v>8</v>
      </c>
      <c r="J346" s="179" t="n">
        <v>12</v>
      </c>
      <c r="K346" s="179" t="n">
        <v>16</v>
      </c>
      <c r="L346" s="179" t="n">
        <v>20</v>
      </c>
      <c r="M346" s="179" t="n">
        <v>24</v>
      </c>
      <c r="N346" s="179" t="n">
        <v>28</v>
      </c>
      <c r="O346" s="179" t="n">
        <v>32</v>
      </c>
      <c r="P346" s="179" t="n">
        <v>36</v>
      </c>
    </row>
    <row r="347" customFormat="false" ht="15" hidden="false" customHeight="false" outlineLevel="1" collapsed="false">
      <c r="A347" s="238"/>
      <c r="C347" s="1" t="s">
        <v>346</v>
      </c>
      <c r="D347" s="168" t="n">
        <v>1500</v>
      </c>
      <c r="E347" s="191" t="n">
        <v>0.02</v>
      </c>
      <c r="F347" s="33" t="s">
        <v>331</v>
      </c>
      <c r="G347" s="179" t="n">
        <v>1</v>
      </c>
      <c r="H347" s="179" t="n">
        <v>4</v>
      </c>
      <c r="I347" s="179" t="n">
        <v>8</v>
      </c>
      <c r="J347" s="179" t="n">
        <v>12</v>
      </c>
      <c r="K347" s="179" t="n">
        <v>16</v>
      </c>
      <c r="L347" s="179" t="n">
        <v>20</v>
      </c>
      <c r="M347" s="179" t="n">
        <v>24</v>
      </c>
      <c r="N347" s="179" t="n">
        <v>28</v>
      </c>
      <c r="O347" s="179" t="n">
        <v>32</v>
      </c>
      <c r="P347" s="179" t="n">
        <v>36</v>
      </c>
    </row>
    <row r="348" customFormat="false" ht="15" hidden="false" customHeight="false" outlineLevel="1" collapsed="false">
      <c r="A348" s="238"/>
      <c r="C348" s="1" t="s">
        <v>505</v>
      </c>
      <c r="D348" s="168" t="n">
        <v>1500</v>
      </c>
      <c r="E348" s="191" t="n">
        <v>0.02</v>
      </c>
      <c r="F348" s="33" t="s">
        <v>331</v>
      </c>
      <c r="G348" s="179" t="n">
        <v>1</v>
      </c>
      <c r="H348" s="179" t="n">
        <v>4</v>
      </c>
      <c r="I348" s="179" t="n">
        <v>8</v>
      </c>
      <c r="J348" s="179" t="n">
        <v>12</v>
      </c>
      <c r="K348" s="179" t="n">
        <v>16</v>
      </c>
      <c r="L348" s="179" t="n">
        <v>20</v>
      </c>
      <c r="M348" s="179" t="n">
        <v>24</v>
      </c>
      <c r="N348" s="179" t="n">
        <v>28</v>
      </c>
      <c r="O348" s="179" t="n">
        <v>32</v>
      </c>
      <c r="P348" s="179" t="n">
        <v>36</v>
      </c>
    </row>
    <row r="349" customFormat="false" ht="15" hidden="false" customHeight="false" outlineLevel="1" collapsed="false">
      <c r="A349" s="238"/>
      <c r="F349" s="13"/>
      <c r="G349" s="193" t="n">
        <f aca="false">SUM(G332:G348)</f>
        <v>3</v>
      </c>
      <c r="H349" s="193" t="n">
        <f aca="false">SUM(H332:H348)</f>
        <v>47</v>
      </c>
      <c r="I349" s="193" t="n">
        <f aca="false">SUM(I332:I348)</f>
        <v>96</v>
      </c>
      <c r="J349" s="193" t="n">
        <f aca="false">SUM(J332:J348)</f>
        <v>142</v>
      </c>
      <c r="K349" s="193" t="n">
        <f aca="false">SUM(K332:K348)</f>
        <v>190</v>
      </c>
      <c r="L349" s="193" t="n">
        <f aca="false">SUM(L332:L348)</f>
        <v>236</v>
      </c>
      <c r="M349" s="193" t="n">
        <f aca="false">SUM(M332:M348)</f>
        <v>283</v>
      </c>
      <c r="N349" s="193" t="n">
        <f aca="false">SUM(N332:N348)</f>
        <v>329.8</v>
      </c>
      <c r="O349" s="193" t="n">
        <f aca="false">SUM(O332:O348)</f>
        <v>376.6</v>
      </c>
      <c r="P349" s="193" t="n">
        <f aca="false">SUM(P332:P348)</f>
        <v>423.4</v>
      </c>
    </row>
    <row r="350" customFormat="false" ht="15" hidden="false" customHeight="false" outlineLevel="1" collapsed="false">
      <c r="A350" s="238"/>
      <c r="N350" s="193"/>
      <c r="O350" s="193"/>
      <c r="P350" s="193"/>
      <c r="Q350" s="193"/>
      <c r="R350" s="193"/>
      <c r="S350" s="193"/>
      <c r="T350" s="193"/>
      <c r="U350" s="193"/>
      <c r="V350" s="193"/>
    </row>
    <row r="351" customFormat="false" ht="15" hidden="false" customHeight="false" outlineLevel="1" collapsed="false">
      <c r="A351" s="238"/>
      <c r="B351" s="33" t="s">
        <v>353</v>
      </c>
      <c r="E351" s="196"/>
      <c r="F351" s="196"/>
      <c r="G351" s="33" t="n">
        <f aca="false">'2. NPV'!H$5</f>
        <v>2024</v>
      </c>
      <c r="H351" s="33" t="n">
        <f aca="false">'2. NPV'!I$5</f>
        <v>2025</v>
      </c>
      <c r="I351" s="33" t="n">
        <f aca="false">'2. NPV'!J$5</f>
        <v>2026</v>
      </c>
      <c r="J351" s="151" t="n">
        <f aca="false">'2. NPV'!K$5</f>
        <v>2027</v>
      </c>
      <c r="K351" s="33" t="n">
        <f aca="false">'2. NPV'!L$5</f>
        <v>2028</v>
      </c>
      <c r="L351" s="33" t="s">
        <v>354</v>
      </c>
      <c r="N351" s="193"/>
      <c r="O351" s="193"/>
      <c r="P351" s="193"/>
      <c r="Q351" s="193"/>
      <c r="R351" s="193"/>
      <c r="S351" s="193"/>
      <c r="T351" s="193"/>
      <c r="U351" s="193"/>
      <c r="V351" s="193"/>
    </row>
    <row r="352" customFormat="false" ht="15" hidden="false" customHeight="false" outlineLevel="1" collapsed="false">
      <c r="A352" s="238"/>
      <c r="C352" s="33" t="s">
        <v>355</v>
      </c>
      <c r="D352" s="30" t="s">
        <v>356</v>
      </c>
      <c r="E352" s="196"/>
      <c r="F352" s="196"/>
      <c r="G352" s="179" t="n">
        <v>1000</v>
      </c>
      <c r="H352" s="179" t="n">
        <f aca="false">G352</f>
        <v>1000</v>
      </c>
      <c r="I352" s="179" t="n">
        <v>1500</v>
      </c>
      <c r="J352" s="179" t="n">
        <f aca="false">I352</f>
        <v>1500</v>
      </c>
      <c r="K352" s="179" t="n">
        <f aca="false">J352</f>
        <v>1500</v>
      </c>
      <c r="L352" s="179" t="n">
        <v>2000</v>
      </c>
      <c r="N352" s="193"/>
      <c r="O352" s="193"/>
      <c r="P352" s="193"/>
      <c r="Q352" s="193"/>
      <c r="R352" s="193"/>
      <c r="S352" s="193"/>
      <c r="T352" s="193"/>
      <c r="U352" s="193"/>
      <c r="V352" s="193"/>
    </row>
    <row r="353" customFormat="false" ht="15" hidden="false" customHeight="false" outlineLevel="1" collapsed="false">
      <c r="A353" s="238"/>
      <c r="C353" s="33" t="s">
        <v>357</v>
      </c>
      <c r="D353" s="30" t="s">
        <v>358</v>
      </c>
      <c r="E353" s="194" t="n">
        <v>10</v>
      </c>
      <c r="F353" s="196"/>
      <c r="G353" s="151"/>
      <c r="H353" s="151"/>
      <c r="I353" s="151"/>
      <c r="N353" s="193"/>
      <c r="O353" s="193"/>
      <c r="P353" s="193"/>
      <c r="Q353" s="193"/>
      <c r="R353" s="193"/>
      <c r="S353" s="193"/>
      <c r="T353" s="193"/>
      <c r="U353" s="193"/>
      <c r="V353" s="193"/>
    </row>
    <row r="354" customFormat="false" ht="15" hidden="false" customHeight="false" outlineLevel="1" collapsed="false">
      <c r="A354" s="238"/>
      <c r="C354" s="33" t="s">
        <v>359</v>
      </c>
      <c r="D354" s="30" t="s">
        <v>360</v>
      </c>
      <c r="E354" s="197" t="n">
        <v>0.05</v>
      </c>
      <c r="F354" s="196"/>
      <c r="G354" s="151"/>
      <c r="H354" s="151"/>
      <c r="I354" s="151"/>
      <c r="N354" s="193"/>
      <c r="O354" s="193"/>
      <c r="P354" s="193"/>
      <c r="Q354" s="193"/>
      <c r="R354" s="193"/>
      <c r="S354" s="193"/>
      <c r="T354" s="193"/>
      <c r="U354" s="193"/>
      <c r="V354" s="193"/>
    </row>
    <row r="355" customFormat="false" ht="15" hidden="false" customHeight="false" outlineLevel="1" collapsed="false">
      <c r="A355" s="238"/>
      <c r="E355" s="196"/>
      <c r="F355" s="196"/>
      <c r="G355" s="151"/>
      <c r="H355" s="151"/>
      <c r="I355" s="151"/>
      <c r="N355" s="193"/>
      <c r="O355" s="193"/>
      <c r="P355" s="193"/>
      <c r="Q355" s="193"/>
      <c r="R355" s="193"/>
      <c r="S355" s="193"/>
      <c r="T355" s="193"/>
      <c r="U355" s="193"/>
      <c r="V355" s="193"/>
    </row>
    <row r="356" customFormat="false" ht="15" hidden="false" customHeight="false" outlineLevel="1" collapsed="false">
      <c r="A356" s="238"/>
      <c r="B356" s="33" t="s">
        <v>361</v>
      </c>
      <c r="D356" s="30" t="s">
        <v>362</v>
      </c>
      <c r="E356" s="194" t="n">
        <v>5000</v>
      </c>
      <c r="F356" s="196"/>
      <c r="G356" s="151"/>
      <c r="H356" s="151"/>
      <c r="I356" s="151"/>
      <c r="N356" s="193"/>
      <c r="O356" s="193"/>
      <c r="P356" s="193"/>
      <c r="Q356" s="193"/>
      <c r="R356" s="193"/>
      <c r="S356" s="193"/>
      <c r="T356" s="193"/>
      <c r="U356" s="193"/>
      <c r="V356" s="193"/>
    </row>
    <row r="357" customFormat="false" ht="15" hidden="false" customHeight="false" outlineLevel="1" collapsed="false">
      <c r="A357" s="238"/>
      <c r="D357" s="30" t="s">
        <v>363</v>
      </c>
      <c r="E357" s="194" t="n">
        <v>2000</v>
      </c>
      <c r="F357" s="196"/>
      <c r="G357" s="151"/>
      <c r="H357" s="151"/>
      <c r="I357" s="151"/>
      <c r="N357" s="193"/>
      <c r="O357" s="193"/>
      <c r="P357" s="193"/>
      <c r="Q357" s="193"/>
      <c r="R357" s="193"/>
      <c r="S357" s="193"/>
      <c r="T357" s="193"/>
      <c r="U357" s="193"/>
      <c r="V357" s="193"/>
    </row>
    <row r="358" customFormat="false" ht="15" hidden="false" customHeight="false" outlineLevel="1" collapsed="false">
      <c r="A358" s="238"/>
      <c r="E358" s="196"/>
      <c r="F358" s="196"/>
      <c r="N358" s="193"/>
      <c r="O358" s="193"/>
      <c r="P358" s="193"/>
      <c r="Q358" s="193"/>
      <c r="R358" s="193"/>
      <c r="S358" s="193"/>
      <c r="T358" s="193"/>
      <c r="U358" s="193"/>
      <c r="V358" s="193"/>
    </row>
    <row r="359" customFormat="false" ht="15" hidden="false" customHeight="false" outlineLevel="1" collapsed="false">
      <c r="A359" s="238"/>
      <c r="B359" s="33" t="s">
        <v>364</v>
      </c>
      <c r="E359" s="196"/>
      <c r="F359" s="196"/>
      <c r="N359" s="193"/>
      <c r="O359" s="193"/>
      <c r="P359" s="193"/>
      <c r="Q359" s="193"/>
      <c r="R359" s="193"/>
      <c r="S359" s="193"/>
      <c r="T359" s="193"/>
      <c r="U359" s="193"/>
      <c r="V359" s="193"/>
    </row>
    <row r="360" customFormat="false" ht="15" hidden="false" customHeight="false" outlineLevel="1" collapsed="false">
      <c r="A360" s="238"/>
      <c r="C360" s="33" t="s">
        <v>378</v>
      </c>
      <c r="D360" s="30" t="s">
        <v>506</v>
      </c>
      <c r="E360" s="194" t="n">
        <v>5000</v>
      </c>
      <c r="F360" s="196"/>
      <c r="N360" s="193"/>
      <c r="O360" s="193"/>
      <c r="P360" s="193"/>
      <c r="Q360" s="193"/>
      <c r="R360" s="193"/>
      <c r="S360" s="193"/>
      <c r="T360" s="193"/>
      <c r="U360" s="193"/>
      <c r="V360" s="193"/>
    </row>
    <row r="361" customFormat="false" ht="15" hidden="false" customHeight="false" outlineLevel="1" collapsed="false">
      <c r="A361" s="238"/>
      <c r="C361" s="33" t="s">
        <v>379</v>
      </c>
      <c r="D361" s="30" t="s">
        <v>506</v>
      </c>
      <c r="E361" s="194" t="n">
        <v>5000</v>
      </c>
      <c r="F361" s="196"/>
      <c r="N361" s="193"/>
      <c r="O361" s="193"/>
      <c r="P361" s="193"/>
      <c r="Q361" s="193"/>
      <c r="R361" s="193"/>
      <c r="S361" s="193"/>
      <c r="T361" s="193"/>
      <c r="U361" s="193"/>
      <c r="V361" s="193"/>
    </row>
    <row r="362" customFormat="false" ht="15" hidden="false" customHeight="false" outlineLevel="1" collapsed="false">
      <c r="A362" s="238"/>
      <c r="C362" s="33" t="s">
        <v>380</v>
      </c>
      <c r="D362" s="30" t="s">
        <v>506</v>
      </c>
      <c r="E362" s="194" t="n">
        <v>10000</v>
      </c>
      <c r="F362" s="196"/>
      <c r="G362" s="151"/>
      <c r="H362" s="151"/>
      <c r="I362" s="151"/>
      <c r="N362" s="193"/>
      <c r="O362" s="193"/>
      <c r="P362" s="193"/>
      <c r="Q362" s="193"/>
      <c r="R362" s="193"/>
      <c r="S362" s="193"/>
      <c r="T362" s="193"/>
      <c r="U362" s="193"/>
      <c r="V362" s="193"/>
    </row>
    <row r="363" customFormat="false" ht="15" hidden="false" customHeight="false" outlineLevel="1" collapsed="false">
      <c r="A363" s="238"/>
      <c r="E363" s="196"/>
      <c r="F363" s="196"/>
      <c r="G363" s="151"/>
      <c r="H363" s="151"/>
      <c r="I363" s="151"/>
      <c r="N363" s="193"/>
      <c r="O363" s="193"/>
      <c r="P363" s="193"/>
      <c r="Q363" s="193"/>
      <c r="R363" s="193"/>
      <c r="S363" s="193"/>
      <c r="T363" s="193"/>
      <c r="U363" s="193"/>
      <c r="V363" s="193"/>
    </row>
    <row r="364" customFormat="false" ht="15" hidden="false" customHeight="false" outlineLevel="1" collapsed="false">
      <c r="A364" s="238"/>
      <c r="B364" s="33" t="s">
        <v>365</v>
      </c>
      <c r="E364" s="196"/>
      <c r="F364" s="196"/>
      <c r="G364" s="33" t="n">
        <f aca="false">'2. NPV'!H$5</f>
        <v>2024</v>
      </c>
      <c r="H364" s="33" t="n">
        <f aca="false">'2. NPV'!I$5</f>
        <v>2025</v>
      </c>
      <c r="I364" s="33" t="n">
        <f aca="false">'2. NPV'!J$5</f>
        <v>2026</v>
      </c>
      <c r="J364" s="151" t="n">
        <f aca="false">'2. NPV'!K$5</f>
        <v>2027</v>
      </c>
      <c r="K364" s="33" t="n">
        <f aca="false">'2. NPV'!L$5</f>
        <v>2028</v>
      </c>
      <c r="L364" s="33" t="n">
        <f aca="false">'2. NPV'!M$5</f>
        <v>2029</v>
      </c>
      <c r="M364" s="33" t="n">
        <f aca="false">'2. NPV'!N$5</f>
        <v>2030</v>
      </c>
      <c r="N364" s="33" t="n">
        <f aca="false">'2. NPV'!O$5</f>
        <v>2031</v>
      </c>
      <c r="O364" s="33" t="n">
        <f aca="false">'2. NPV'!P$5</f>
        <v>2032</v>
      </c>
      <c r="P364" s="33" t="s">
        <v>497</v>
      </c>
      <c r="Q364" s="236"/>
    </row>
    <row r="365" customFormat="false" ht="15" hidden="false" customHeight="false" outlineLevel="1" collapsed="false">
      <c r="A365" s="238"/>
      <c r="C365" s="33" t="s">
        <v>367</v>
      </c>
      <c r="E365" s="196"/>
      <c r="F365" s="196"/>
      <c r="G365" s="200" t="n">
        <f aca="false">SUM(G332:G343)</f>
        <v>1</v>
      </c>
      <c r="H365" s="200" t="n">
        <f aca="false">SUM(H332:H343)-SUM(G332:G343)</f>
        <v>22</v>
      </c>
      <c r="I365" s="200" t="n">
        <f aca="false">SUM(I332:I343)-SUM(H332:H343)</f>
        <v>25</v>
      </c>
      <c r="J365" s="200" t="n">
        <f aca="false">SUM(J332:J343)-SUM(I332:I343)</f>
        <v>22</v>
      </c>
      <c r="K365" s="200" t="n">
        <f aca="false">SUM(K332:K343)-SUM(J332:J343)</f>
        <v>24</v>
      </c>
      <c r="L365" s="200" t="n">
        <f aca="false">SUM(L332:L343)-SUM(K332:K343)</f>
        <v>22</v>
      </c>
      <c r="M365" s="200" t="n">
        <f aca="false">SUM(M332:M343)-SUM(L332:L343)</f>
        <v>23</v>
      </c>
      <c r="N365" s="200" t="n">
        <f aca="false">SUM(N332:N343)-SUM(M332:M343)</f>
        <v>22.8</v>
      </c>
      <c r="O365" s="200" t="n">
        <f aca="false">SUM(O332:O343)-SUM(N332:N343)</f>
        <v>22.8</v>
      </c>
      <c r="P365" s="200" t="n">
        <f aca="false">SUM(P332:P343)-SUM(O332:O343)</f>
        <v>22.8</v>
      </c>
    </row>
    <row r="366" customFormat="false" ht="15" hidden="false" customHeight="false" outlineLevel="1" collapsed="false">
      <c r="A366" s="238"/>
      <c r="C366" s="33" t="s">
        <v>368</v>
      </c>
      <c r="D366" s="30" t="s">
        <v>300</v>
      </c>
      <c r="E366" s="194" t="n">
        <v>1500</v>
      </c>
      <c r="F366" s="196"/>
      <c r="G366" s="186" t="n">
        <f aca="false">$E366*G$365</f>
        <v>1500</v>
      </c>
      <c r="H366" s="186" t="n">
        <f aca="false">$E366*H$365</f>
        <v>33000</v>
      </c>
      <c r="I366" s="186" t="n">
        <f aca="false">$E366*I$365</f>
        <v>37500</v>
      </c>
      <c r="J366" s="186" t="n">
        <f aca="false">$E366*J$365</f>
        <v>33000</v>
      </c>
      <c r="K366" s="186" t="n">
        <f aca="false">$E366*K$365</f>
        <v>36000</v>
      </c>
      <c r="L366" s="186" t="n">
        <f aca="false">$E366*L$365</f>
        <v>33000</v>
      </c>
      <c r="M366" s="186" t="n">
        <f aca="false">$E366*M$365</f>
        <v>34500</v>
      </c>
      <c r="N366" s="186" t="n">
        <f aca="false">$E366*N$365</f>
        <v>34200</v>
      </c>
      <c r="O366" s="186" t="n">
        <f aca="false">$E366*O$365</f>
        <v>34200</v>
      </c>
      <c r="P366" s="186" t="n">
        <f aca="false">$E366*P$365</f>
        <v>34200</v>
      </c>
    </row>
    <row r="367" customFormat="false" ht="15" hidden="false" customHeight="false" outlineLevel="1" collapsed="false">
      <c r="A367" s="238"/>
      <c r="C367" s="33" t="s">
        <v>369</v>
      </c>
      <c r="D367" s="30" t="s">
        <v>300</v>
      </c>
      <c r="E367" s="194" t="n">
        <v>1000</v>
      </c>
      <c r="F367" s="196"/>
      <c r="G367" s="186" t="n">
        <f aca="false">$E367*G$365</f>
        <v>1000</v>
      </c>
      <c r="H367" s="186" t="n">
        <f aca="false">$E367*H$365</f>
        <v>22000</v>
      </c>
      <c r="I367" s="186" t="n">
        <f aca="false">$E367*I$365</f>
        <v>25000</v>
      </c>
      <c r="J367" s="186" t="n">
        <f aca="false">$E367*J$365</f>
        <v>22000</v>
      </c>
      <c r="K367" s="186" t="n">
        <f aca="false">$E367*K$365</f>
        <v>24000</v>
      </c>
      <c r="L367" s="186" t="n">
        <f aca="false">$E367*L$365</f>
        <v>22000</v>
      </c>
      <c r="M367" s="186" t="n">
        <f aca="false">$E367*M$365</f>
        <v>23000</v>
      </c>
      <c r="N367" s="186" t="n">
        <f aca="false">$E367*N$365</f>
        <v>22800</v>
      </c>
      <c r="O367" s="186" t="n">
        <f aca="false">$E367*O$365</f>
        <v>22800</v>
      </c>
      <c r="P367" s="186" t="n">
        <f aca="false">$E367*P$365</f>
        <v>22800</v>
      </c>
    </row>
    <row r="368" customFormat="false" ht="15" hidden="false" customHeight="false" outlineLevel="1" collapsed="false">
      <c r="A368" s="238"/>
      <c r="C368" s="33" t="s">
        <v>370</v>
      </c>
      <c r="D368" s="30" t="s">
        <v>300</v>
      </c>
      <c r="E368" s="194" t="n">
        <v>1200</v>
      </c>
      <c r="F368" s="196"/>
      <c r="G368" s="186" t="n">
        <f aca="false">$E368*G$365</f>
        <v>1200</v>
      </c>
      <c r="H368" s="186" t="n">
        <f aca="false">$E368*H$365</f>
        <v>26400</v>
      </c>
      <c r="I368" s="186" t="n">
        <f aca="false">$E368*I$365</f>
        <v>30000</v>
      </c>
      <c r="J368" s="186" t="n">
        <f aca="false">$E368*J$365</f>
        <v>26400</v>
      </c>
      <c r="K368" s="186" t="n">
        <f aca="false">$E368*K$365</f>
        <v>28800</v>
      </c>
      <c r="L368" s="186" t="n">
        <f aca="false">$E368*L$365</f>
        <v>26400</v>
      </c>
      <c r="M368" s="186" t="n">
        <f aca="false">$E368*M$365</f>
        <v>27600</v>
      </c>
      <c r="N368" s="186" t="n">
        <f aca="false">$E368*N$365</f>
        <v>27360</v>
      </c>
      <c r="O368" s="186" t="n">
        <f aca="false">$E368*O$365</f>
        <v>27360</v>
      </c>
      <c r="P368" s="186" t="n">
        <f aca="false">$E368*P$365</f>
        <v>27360</v>
      </c>
    </row>
    <row r="369" customFormat="false" ht="15" hidden="false" customHeight="false" outlineLevel="1" collapsed="false">
      <c r="A369" s="238"/>
      <c r="C369" s="33" t="s">
        <v>371</v>
      </c>
      <c r="F369" s="196"/>
      <c r="G369" s="179" t="n">
        <v>125000</v>
      </c>
      <c r="H369" s="201" t="n">
        <v>10000</v>
      </c>
      <c r="I369" s="186" t="n">
        <f aca="false">H369</f>
        <v>10000</v>
      </c>
      <c r="J369" s="186" t="n">
        <f aca="false">I369</f>
        <v>10000</v>
      </c>
      <c r="K369" s="186" t="n">
        <f aca="false">J369</f>
        <v>10000</v>
      </c>
      <c r="L369" s="186" t="n">
        <f aca="false">K369</f>
        <v>10000</v>
      </c>
      <c r="M369" s="186" t="n">
        <f aca="false">L369</f>
        <v>10000</v>
      </c>
      <c r="N369" s="186" t="n">
        <f aca="false">M369</f>
        <v>10000</v>
      </c>
      <c r="O369" s="186" t="n">
        <f aca="false">N369</f>
        <v>10000</v>
      </c>
      <c r="P369" s="186" t="n">
        <f aca="false">O369</f>
        <v>10000</v>
      </c>
    </row>
    <row r="370" customFormat="false" ht="15" hidden="false" customHeight="false" outlineLevel="1" collapsed="false">
      <c r="A370" s="238"/>
      <c r="C370" s="33" t="s">
        <v>372</v>
      </c>
      <c r="E370" s="197" t="n">
        <v>0.2</v>
      </c>
      <c r="F370" s="196"/>
      <c r="G370" s="200" t="n">
        <f aca="false">SUM(G366:G368)*$E$137</f>
        <v>740</v>
      </c>
      <c r="H370" s="200" t="n">
        <f aca="false">SUM(H366:H368)*$E$137</f>
        <v>16280</v>
      </c>
      <c r="I370" s="200" t="n">
        <f aca="false">SUM(I366:I368)*$E$137</f>
        <v>18500</v>
      </c>
      <c r="J370" s="200" t="n">
        <f aca="false">SUM(J366:J368)*$E$137</f>
        <v>16280</v>
      </c>
      <c r="K370" s="200" t="n">
        <f aca="false">SUM(K366:K368)*$E$137</f>
        <v>17760</v>
      </c>
      <c r="L370" s="200" t="n">
        <f aca="false">SUM(L366:L368)*$E$137</f>
        <v>16280</v>
      </c>
      <c r="M370" s="200" t="n">
        <f aca="false">SUM(M366:M368)*$E$137</f>
        <v>17020</v>
      </c>
      <c r="N370" s="200" t="n">
        <f aca="false">SUM(N366:N368)*$E$137</f>
        <v>16872</v>
      </c>
      <c r="O370" s="200" t="n">
        <f aca="false">SUM(O366:O368)*$E$137</f>
        <v>16872</v>
      </c>
      <c r="P370" s="200" t="n">
        <f aca="false">SUM(P366:P368)*$E$137</f>
        <v>16872</v>
      </c>
    </row>
    <row r="371" customFormat="false" ht="15" hidden="false" customHeight="false" outlineLevel="1" collapsed="false">
      <c r="A371" s="238"/>
      <c r="E371" s="196"/>
      <c r="F371" s="196"/>
      <c r="G371" s="151"/>
      <c r="H371" s="151"/>
      <c r="I371" s="151"/>
      <c r="N371" s="193"/>
      <c r="O371" s="193"/>
      <c r="P371" s="193"/>
      <c r="Q371" s="193"/>
      <c r="R371" s="193"/>
      <c r="S371" s="193"/>
      <c r="T371" s="193"/>
      <c r="U371" s="193"/>
      <c r="V371" s="193"/>
    </row>
    <row r="372" customFormat="false" ht="15" hidden="false" customHeight="false" outlineLevel="1" collapsed="false">
      <c r="A372" s="238"/>
      <c r="B372" s="33" t="s">
        <v>374</v>
      </c>
      <c r="E372" s="196"/>
      <c r="F372" s="196"/>
      <c r="G372" s="151"/>
      <c r="H372" s="151"/>
      <c r="I372" s="151"/>
      <c r="N372" s="193"/>
      <c r="O372" s="193"/>
      <c r="P372" s="193"/>
      <c r="Q372" s="193"/>
      <c r="R372" s="193"/>
      <c r="S372" s="193"/>
      <c r="T372" s="193"/>
      <c r="U372" s="193"/>
      <c r="V372" s="193"/>
    </row>
    <row r="373" customFormat="false" ht="15" hidden="false" customHeight="false" outlineLevel="1" collapsed="false">
      <c r="A373" s="238"/>
      <c r="C373" s="33" t="s">
        <v>375</v>
      </c>
      <c r="D373" s="30" t="s">
        <v>360</v>
      </c>
      <c r="E373" s="194" t="n">
        <v>50000</v>
      </c>
      <c r="F373" s="196"/>
      <c r="G373" s="151"/>
      <c r="H373" s="151"/>
      <c r="I373" s="151"/>
      <c r="N373" s="193"/>
      <c r="O373" s="193"/>
      <c r="P373" s="193"/>
      <c r="Q373" s="193"/>
      <c r="R373" s="193"/>
      <c r="S373" s="193"/>
      <c r="T373" s="193"/>
      <c r="U373" s="193"/>
      <c r="V373" s="193"/>
    </row>
    <row r="374" customFormat="false" ht="15" hidden="false" customHeight="false" outlineLevel="1" collapsed="false">
      <c r="A374" s="238"/>
      <c r="C374" s="33" t="s">
        <v>375</v>
      </c>
      <c r="D374" s="30" t="s">
        <v>360</v>
      </c>
      <c r="E374" s="194" t="n">
        <v>25000</v>
      </c>
      <c r="F374" s="196"/>
      <c r="G374" s="151"/>
      <c r="H374" s="151"/>
      <c r="I374" s="151"/>
      <c r="N374" s="193"/>
      <c r="O374" s="193"/>
      <c r="P374" s="193"/>
      <c r="Q374" s="193"/>
      <c r="R374" s="193"/>
      <c r="S374" s="193"/>
      <c r="T374" s="193"/>
      <c r="U374" s="193"/>
      <c r="V374" s="193"/>
    </row>
  </sheetData>
  <dataValidations count="3">
    <dataValidation allowBlank="true" errorStyle="stop" operator="between" showDropDown="false" showErrorMessage="true" showInputMessage="true" sqref="F27" type="list">
      <formula1>"6,10"</formula1>
      <formula2>0</formula2>
    </dataValidation>
    <dataValidation allowBlank="true" errorStyle="stop" operator="between" showDropDown="false" showErrorMessage="true" showInputMessage="true" sqref="F23" type="list">
      <formula1>"1,2"</formula1>
      <formula2>0</formula2>
    </dataValidation>
    <dataValidation allowBlank="true" errorStyle="stop" operator="between" showDropDown="false" showErrorMessage="true" showInputMessage="true" sqref="F22" type="list">
      <formula1>"1,2,3,4"</formula1>
      <formula2>0</formula2>
    </dataValidation>
  </dataValidations>
  <hyperlinks>
    <hyperlink ref="I39" r:id="rId2" display="https://verra.org/wp-content/uploads/2023/03/Program-Fee-Schedule-v4.3-FINAL.pdf "/>
    <hyperlink ref="I44" r:id="rId3" display="https://verra.org/wp-content/uploads/2023/03/CCB-Standards-Fee-Schedule-v3.5-final.pdf"/>
  </hyperlinks>
  <printOptions headings="false" gridLines="false" gridLinesSet="true" horizontalCentered="false" verticalCentered="false"/>
  <pageMargins left="0.7" right="0.7" top="0.75" bottom="0.75" header="0.511811023622047" footer="0.511811023622047"/>
  <pageSetup paperSize="1" scale="68"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8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6" topLeftCell="D33" activePane="bottomRight" state="frozen"/>
      <selection pane="topLeft" activeCell="A1" activeCellId="0" sqref="A1"/>
      <selection pane="topRight" activeCell="D1" activeCellId="0" sqref="D1"/>
      <selection pane="bottomLeft" activeCell="A33" activeCellId="0" sqref="A33"/>
      <selection pane="bottomRight" activeCell="F52" activeCellId="0" sqref="F52"/>
    </sheetView>
  </sheetViews>
  <sheetFormatPr defaultColWidth="8.83203125" defaultRowHeight="15" zeroHeight="false" outlineLevelRow="1" outlineLevelCol="0"/>
  <cols>
    <col collapsed="false" customWidth="true" hidden="false" outlineLevel="0" max="2" min="1" style="0" width="3"/>
    <col collapsed="false" customWidth="true" hidden="false" outlineLevel="0" max="3" min="3" style="0" width="47.16"/>
    <col collapsed="false" customWidth="true" hidden="false" outlineLevel="0" max="4" min="4" style="0" width="12.33"/>
    <col collapsed="false" customWidth="true" hidden="false" outlineLevel="0" max="5" min="5" style="0" width="26.5"/>
    <col collapsed="false" customWidth="true" hidden="false" outlineLevel="0" max="6" min="6" style="0" width="11.33"/>
    <col collapsed="false" customWidth="true" hidden="false" outlineLevel="0" max="7" min="7" style="0" width="4.16"/>
    <col collapsed="false" customWidth="true" hidden="false" outlineLevel="0" max="10" min="8" style="0" width="14.33"/>
    <col collapsed="false" customWidth="true" hidden="false" outlineLevel="0" max="11" min="11" style="0" width="15.33"/>
    <col collapsed="false" customWidth="true" hidden="false" outlineLevel="0" max="12" min="12" style="0" width="14.51"/>
    <col collapsed="false" customWidth="true" hidden="false" outlineLevel="0" max="13" min="13" style="0" width="14.33"/>
    <col collapsed="false" customWidth="true" hidden="false" outlineLevel="0" max="14" min="14" style="0" width="14.51"/>
    <col collapsed="false" customWidth="true" hidden="false" outlineLevel="0" max="15" min="15" style="0" width="15"/>
    <col collapsed="false" customWidth="true" hidden="false" outlineLevel="0" max="16" min="16" style="0" width="14.51"/>
    <col collapsed="false" customWidth="true" hidden="false" outlineLevel="0" max="17" min="17" style="0" width="15"/>
    <col collapsed="false" customWidth="true" hidden="false" outlineLevel="0" max="18" min="18" style="0" width="14.51"/>
    <col collapsed="false" customWidth="true" hidden="false" outlineLevel="0" max="19" min="19" style="0" width="14.33"/>
    <col collapsed="false" customWidth="true" hidden="false" outlineLevel="0" max="20" min="20" style="0" width="15"/>
    <col collapsed="false" customWidth="true" hidden="false" outlineLevel="0" max="26" min="21" style="0" width="12.5"/>
    <col collapsed="false" customWidth="true" hidden="false" outlineLevel="0" max="37" min="27" style="0" width="13.83"/>
    <col collapsed="false" customWidth="true" hidden="false" outlineLevel="0" max="38" min="38" style="0" width="11.33"/>
    <col collapsed="false" customWidth="true" hidden="false" outlineLevel="0" max="39" min="39" style="0" width="9.51"/>
  </cols>
  <sheetData>
    <row r="1" customFormat="false" ht="15" hidden="false" customHeight="false" outlineLevel="0" collapsed="false">
      <c r="A1" s="55"/>
    </row>
    <row r="2" customFormat="false" ht="17.35" hidden="false" customHeight="false" outlineLevel="0" collapsed="false">
      <c r="B2" s="5" t="str">
        <f aca="false">'1. Project Summary'!B2</f>
        <v>Projections - Serious Shea</v>
      </c>
      <c r="E2" s="22"/>
    </row>
    <row r="3" customFormat="false" ht="15" hidden="false" customHeight="false" outlineLevel="0" collapsed="false">
      <c r="B3" s="1" t="str">
        <f aca="false">'1. Project Summary'!B3</f>
        <v>(in EUR, unless otherwise stated)</v>
      </c>
      <c r="E3" s="95"/>
    </row>
    <row r="5" customFormat="false" ht="15" hidden="false" customHeight="false" outlineLevel="0" collapsed="false">
      <c r="B5" s="6" t="s">
        <v>507</v>
      </c>
      <c r="C5" s="6"/>
      <c r="D5" s="97" t="s">
        <v>87</v>
      </c>
      <c r="E5" s="6"/>
      <c r="F5" s="6"/>
      <c r="G5" s="6"/>
      <c r="H5" s="6" t="n">
        <f aca="false">'2. NPV'!H5</f>
        <v>2024</v>
      </c>
      <c r="I5" s="6" t="n">
        <f aca="false">'2. NPV'!I5</f>
        <v>2025</v>
      </c>
      <c r="J5" s="6" t="n">
        <f aca="false">'2. NPV'!J5</f>
        <v>2026</v>
      </c>
      <c r="K5" s="6" t="n">
        <f aca="false">'2. NPV'!K5</f>
        <v>2027</v>
      </c>
      <c r="L5" s="6" t="n">
        <f aca="false">'2. NPV'!L5</f>
        <v>2028</v>
      </c>
      <c r="M5" s="6" t="n">
        <f aca="false">'2. NPV'!M5</f>
        <v>2029</v>
      </c>
      <c r="N5" s="6" t="n">
        <f aca="false">'2. NPV'!N5</f>
        <v>2030</v>
      </c>
      <c r="O5" s="6" t="n">
        <f aca="false">'2. NPV'!O5</f>
        <v>2031</v>
      </c>
      <c r="P5" s="6" t="n">
        <f aca="false">'2. NPV'!P5</f>
        <v>2032</v>
      </c>
      <c r="Q5" s="6" t="n">
        <f aca="false">'2. NPV'!Q5</f>
        <v>2033</v>
      </c>
      <c r="R5" s="6" t="n">
        <f aca="false">'2. NPV'!R5</f>
        <v>2034</v>
      </c>
      <c r="S5" s="6" t="n">
        <f aca="false">'2. NPV'!S5</f>
        <v>2035</v>
      </c>
      <c r="T5" s="6" t="n">
        <f aca="false">'2. NPV'!T5</f>
        <v>2036</v>
      </c>
      <c r="U5" s="6" t="n">
        <f aca="false">'2. NPV'!U5</f>
        <v>2037</v>
      </c>
      <c r="V5" s="6" t="n">
        <f aca="false">'2. NPV'!V5</f>
        <v>2038</v>
      </c>
      <c r="W5" s="6" t="n">
        <f aca="false">'2. NPV'!W5</f>
        <v>2039</v>
      </c>
      <c r="X5" s="6" t="n">
        <f aca="false">'2. NPV'!X5</f>
        <v>2040</v>
      </c>
      <c r="Y5" s="6" t="n">
        <f aca="false">'2. NPV'!Y5</f>
        <v>2041</v>
      </c>
      <c r="Z5" s="6" t="n">
        <f aca="false">'2. NPV'!Z5</f>
        <v>2042</v>
      </c>
      <c r="AA5" s="6" t="n">
        <f aca="false">'2. NPV'!AA5</f>
        <v>2043</v>
      </c>
      <c r="AB5" s="6" t="n">
        <f aca="false">'2. NPV'!AB5</f>
        <v>2044</v>
      </c>
      <c r="AC5" s="6" t="n">
        <f aca="false">'2. NPV'!AC5</f>
        <v>2045</v>
      </c>
      <c r="AD5" s="6" t="n">
        <f aca="false">'2. NPV'!AD5</f>
        <v>2046</v>
      </c>
      <c r="AE5" s="6" t="n">
        <f aca="false">'2. NPV'!AE5</f>
        <v>2047</v>
      </c>
      <c r="AF5" s="6" t="n">
        <f aca="false">'2. NPV'!AF5</f>
        <v>2048</v>
      </c>
      <c r="AG5" s="6" t="n">
        <f aca="false">'2. NPV'!AG5</f>
        <v>2049</v>
      </c>
      <c r="AH5" s="6" t="n">
        <f aca="false">'2. NPV'!AH5</f>
        <v>2050</v>
      </c>
      <c r="AI5" s="6" t="n">
        <f aca="false">'2. NPV'!AI5</f>
        <v>2051</v>
      </c>
      <c r="AJ5" s="6" t="n">
        <f aca="false">'2. NPV'!AJ5</f>
        <v>2052</v>
      </c>
      <c r="AK5" s="6" t="n">
        <f aca="false">'2. NPV'!AK5</f>
        <v>2053</v>
      </c>
      <c r="AL5" s="6" t="n">
        <f aca="false">'2. NPV'!AL5</f>
        <v>2054</v>
      </c>
    </row>
    <row r="6" s="1" customFormat="true" ht="15" hidden="false" customHeight="false" outlineLevel="0" collapsed="false">
      <c r="B6" s="6"/>
      <c r="C6" s="6"/>
      <c r="D6" s="97"/>
      <c r="E6" s="6"/>
      <c r="F6" s="6"/>
      <c r="G6" s="6"/>
      <c r="H6" s="6" t="n">
        <f aca="false">Period_Start</f>
        <v>1</v>
      </c>
      <c r="I6" s="6" t="n">
        <f aca="false">H6+1</f>
        <v>2</v>
      </c>
      <c r="J6" s="6" t="n">
        <f aca="false">I6+1</f>
        <v>3</v>
      </c>
      <c r="K6" s="6" t="n">
        <f aca="false">J6+1</f>
        <v>4</v>
      </c>
      <c r="L6" s="6" t="n">
        <f aca="false">K6+1</f>
        <v>5</v>
      </c>
      <c r="M6" s="6" t="n">
        <f aca="false">L6+1</f>
        <v>6</v>
      </c>
      <c r="N6" s="6" t="n">
        <f aca="false">M6+1</f>
        <v>7</v>
      </c>
      <c r="O6" s="6" t="n">
        <f aca="false">N6+1</f>
        <v>8</v>
      </c>
      <c r="P6" s="6" t="n">
        <f aca="false">O6+1</f>
        <v>9</v>
      </c>
      <c r="Q6" s="6" t="n">
        <f aca="false">P6+1</f>
        <v>10</v>
      </c>
      <c r="R6" s="6" t="n">
        <f aca="false">Q6+1</f>
        <v>11</v>
      </c>
      <c r="S6" s="6" t="n">
        <f aca="false">R6+1</f>
        <v>12</v>
      </c>
      <c r="T6" s="6" t="n">
        <f aca="false">S6+1</f>
        <v>13</v>
      </c>
      <c r="U6" s="6" t="n">
        <f aca="false">T6+1</f>
        <v>14</v>
      </c>
      <c r="V6" s="6" t="n">
        <f aca="false">U6+1</f>
        <v>15</v>
      </c>
      <c r="W6" s="6" t="n">
        <f aca="false">V6+1</f>
        <v>16</v>
      </c>
      <c r="X6" s="6" t="n">
        <f aca="false">W6+1</f>
        <v>17</v>
      </c>
      <c r="Y6" s="6" t="n">
        <f aca="false">X6+1</f>
        <v>18</v>
      </c>
      <c r="Z6" s="6" t="n">
        <f aca="false">Y6+1</f>
        <v>19</v>
      </c>
      <c r="AA6" s="6" t="n">
        <f aca="false">Z6+1</f>
        <v>20</v>
      </c>
      <c r="AB6" s="6" t="n">
        <f aca="false">AA6+1</f>
        <v>21</v>
      </c>
      <c r="AC6" s="6" t="n">
        <f aca="false">AB6+1</f>
        <v>22</v>
      </c>
      <c r="AD6" s="6" t="n">
        <f aca="false">AC6+1</f>
        <v>23</v>
      </c>
      <c r="AE6" s="6" t="n">
        <f aca="false">AD6+1</f>
        <v>24</v>
      </c>
      <c r="AF6" s="6" t="n">
        <f aca="false">AE6+1</f>
        <v>25</v>
      </c>
      <c r="AG6" s="6" t="n">
        <f aca="false">AF6+1</f>
        <v>26</v>
      </c>
      <c r="AH6" s="6" t="n">
        <f aca="false">AG6+1</f>
        <v>27</v>
      </c>
      <c r="AI6" s="6" t="n">
        <f aca="false">AH6+1</f>
        <v>28</v>
      </c>
      <c r="AJ6" s="6" t="n">
        <f aca="false">AI6+1</f>
        <v>29</v>
      </c>
      <c r="AK6" s="6" t="n">
        <f aca="false">AJ6+1</f>
        <v>30</v>
      </c>
      <c r="AL6" s="6" t="n">
        <f aca="false">AK6+1</f>
        <v>31</v>
      </c>
    </row>
    <row r="7" s="239" customFormat="true" ht="15" hidden="false" customHeight="false" outlineLevel="0" collapsed="false">
      <c r="C7" s="239" t="s">
        <v>508</v>
      </c>
      <c r="H7" s="239" t="n">
        <v>1</v>
      </c>
      <c r="I7" s="239" t="n">
        <f aca="false">+H7+1</f>
        <v>2</v>
      </c>
      <c r="J7" s="239" t="n">
        <f aca="false">+I7+1</f>
        <v>3</v>
      </c>
      <c r="K7" s="239" t="n">
        <f aca="false">+J7+1</f>
        <v>4</v>
      </c>
      <c r="L7" s="239" t="n">
        <f aca="false">+K7+1</f>
        <v>5</v>
      </c>
      <c r="M7" s="239" t="n">
        <f aca="false">+L7+1</f>
        <v>6</v>
      </c>
      <c r="N7" s="239" t="n">
        <f aca="false">+M7+1</f>
        <v>7</v>
      </c>
      <c r="O7" s="239" t="n">
        <f aca="false">+N7+1</f>
        <v>8</v>
      </c>
      <c r="P7" s="239" t="n">
        <f aca="false">+O7+1</f>
        <v>9</v>
      </c>
      <c r="Q7" s="239" t="n">
        <f aca="false">+P7+1</f>
        <v>10</v>
      </c>
      <c r="R7" s="239" t="n">
        <f aca="false">+Q7+1</f>
        <v>11</v>
      </c>
      <c r="S7" s="239" t="n">
        <f aca="false">+R7+1</f>
        <v>12</v>
      </c>
      <c r="T7" s="239" t="n">
        <f aca="false">+S7+1</f>
        <v>13</v>
      </c>
      <c r="U7" s="239" t="n">
        <f aca="false">+T7+1</f>
        <v>14</v>
      </c>
      <c r="V7" s="239" t="n">
        <f aca="false">+U7+1</f>
        <v>15</v>
      </c>
      <c r="W7" s="239" t="n">
        <f aca="false">+V7+1</f>
        <v>16</v>
      </c>
      <c r="X7" s="239" t="n">
        <f aca="false">+W7+1</f>
        <v>17</v>
      </c>
      <c r="Y7" s="239" t="n">
        <f aca="false">+X7+1</f>
        <v>18</v>
      </c>
      <c r="Z7" s="239" t="n">
        <f aca="false">+Y7+1</f>
        <v>19</v>
      </c>
      <c r="AA7" s="239" t="n">
        <f aca="false">+Z7+1</f>
        <v>20</v>
      </c>
      <c r="AB7" s="239" t="n">
        <f aca="false">+AA7+1</f>
        <v>21</v>
      </c>
      <c r="AC7" s="239" t="n">
        <f aca="false">+AB7+1</f>
        <v>22</v>
      </c>
      <c r="AD7" s="239" t="n">
        <f aca="false">+AC7+1</f>
        <v>23</v>
      </c>
      <c r="AE7" s="239" t="n">
        <f aca="false">+AD7+1</f>
        <v>24</v>
      </c>
      <c r="AF7" s="239" t="n">
        <f aca="false">+AE7+1</f>
        <v>25</v>
      </c>
      <c r="AG7" s="239" t="n">
        <f aca="false">+AF7+1</f>
        <v>26</v>
      </c>
      <c r="AH7" s="239" t="n">
        <f aca="false">+AG7+1</f>
        <v>27</v>
      </c>
      <c r="AI7" s="239" t="n">
        <f aca="false">+AH7+1</f>
        <v>28</v>
      </c>
      <c r="AJ7" s="239" t="n">
        <f aca="false">+AI7+1</f>
        <v>29</v>
      </c>
      <c r="AK7" s="239" t="n">
        <f aca="false">+AJ7+1</f>
        <v>30</v>
      </c>
      <c r="AL7" s="239" t="n">
        <f aca="false">+AK7+1</f>
        <v>31</v>
      </c>
    </row>
    <row r="8" customFormat="false" ht="15" hidden="false" customHeight="false" outlineLevel="0" collapsed="false">
      <c r="C8" s="13" t="s">
        <v>509</v>
      </c>
      <c r="D8" s="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customFormat="false" ht="15" hidden="false" customHeight="false" outlineLevel="0" collapsed="false">
      <c r="C9" s="1" t="s">
        <v>229</v>
      </c>
      <c r="D9" s="25" t="s">
        <v>199</v>
      </c>
      <c r="E9" s="240" t="n">
        <f aca="false">'3. Assumptions'!F22</f>
        <v>3</v>
      </c>
      <c r="F9" s="241"/>
      <c r="G9" s="241"/>
      <c r="H9" s="241"/>
      <c r="I9" s="241"/>
      <c r="J9" s="241"/>
      <c r="K9" s="241"/>
      <c r="L9" s="241"/>
      <c r="M9" s="241"/>
      <c r="N9" s="241"/>
      <c r="O9" s="241"/>
      <c r="P9" s="241"/>
      <c r="Q9" s="241"/>
      <c r="R9" s="241"/>
      <c r="S9" s="241"/>
      <c r="T9" s="241"/>
      <c r="U9" s="241"/>
      <c r="V9" s="241"/>
      <c r="W9" s="241"/>
      <c r="X9" s="241"/>
      <c r="Y9" s="241"/>
      <c r="Z9" s="241"/>
      <c r="AA9" s="241"/>
      <c r="AB9" s="241"/>
      <c r="AC9" s="241"/>
      <c r="AD9" s="241"/>
      <c r="AE9" s="241"/>
      <c r="AF9" s="241"/>
      <c r="AG9" s="241"/>
      <c r="AH9" s="241"/>
      <c r="AI9" s="241"/>
      <c r="AJ9" s="241"/>
      <c r="AK9" s="241"/>
      <c r="AL9" s="241"/>
    </row>
    <row r="10" customFormat="false" ht="15" hidden="false" customHeight="false" outlineLevel="0" collapsed="false">
      <c r="C10" s="1" t="s">
        <v>510</v>
      </c>
      <c r="D10" s="25" t="s">
        <v>199</v>
      </c>
      <c r="E10" s="240" t="n">
        <f aca="false">'3. Assumptions'!F23</f>
        <v>1</v>
      </c>
      <c r="F10" s="241"/>
      <c r="G10" s="241"/>
      <c r="H10" s="1"/>
      <c r="I10" s="1"/>
      <c r="J10" s="1"/>
      <c r="K10" s="1"/>
      <c r="L10" s="1"/>
      <c r="M10" s="1"/>
      <c r="N10" s="1"/>
      <c r="O10" s="1"/>
      <c r="P10" s="1"/>
      <c r="Q10" s="1"/>
      <c r="R10" s="241"/>
      <c r="S10" s="241"/>
      <c r="T10" s="241"/>
      <c r="U10" s="241"/>
      <c r="V10" s="241"/>
      <c r="W10" s="241"/>
      <c r="X10" s="241"/>
      <c r="Y10" s="241"/>
      <c r="Z10" s="241"/>
      <c r="AA10" s="241"/>
      <c r="AB10" s="241"/>
      <c r="AC10" s="241"/>
      <c r="AD10" s="241"/>
      <c r="AE10" s="241"/>
      <c r="AF10" s="241"/>
      <c r="AG10" s="241"/>
      <c r="AH10" s="241"/>
      <c r="AI10" s="241"/>
      <c r="AJ10" s="241"/>
      <c r="AK10" s="241"/>
      <c r="AL10" s="241"/>
    </row>
    <row r="11" customFormat="false" ht="15" hidden="false" customHeight="false" outlineLevel="0" collapsed="false">
      <c r="C11" s="1" t="s">
        <v>511</v>
      </c>
      <c r="D11" s="25"/>
      <c r="E11" s="241"/>
      <c r="F11" s="241"/>
      <c r="G11" s="241"/>
      <c r="H11" s="242" t="n">
        <f aca="false">IF('4.1 Revenue Build - VCU'!H$6=34,1,IF('4.1 Revenue Build - VCU'!H6&lt;'4.1 Revenue Build - VCU'!$E$9,0,IF('4.1 Revenue Build - VCU'!H6='4.1 Revenue Build - VCU'!$E$9,1,IF(MOD('4.1 Revenue Build - VCU'!H$6-'4.1 Revenue Build - VCU'!$E$9,'4.1 Revenue Build - VCU'!$E$10)=0,1,0))))</f>
        <v>0</v>
      </c>
      <c r="I11" s="242" t="n">
        <f aca="false">IF('4.1 Revenue Build - VCU'!I$6=34,1,IF('4.1 Revenue Build - VCU'!I6&lt;'4.1 Revenue Build - VCU'!$E$9,0,IF('4.1 Revenue Build - VCU'!I6='4.1 Revenue Build - VCU'!$E$9,1,IF(MOD('4.1 Revenue Build - VCU'!I$6-'4.1 Revenue Build - VCU'!$E$9,'4.1 Revenue Build - VCU'!$E$10)=0,1,0))))</f>
        <v>0</v>
      </c>
      <c r="J11" s="242" t="n">
        <f aca="false">IF('4.1 Revenue Build - VCU'!J$6=34,1,IF('4.1 Revenue Build - VCU'!J6&lt;'4.1 Revenue Build - VCU'!$E$9,0,IF('4.1 Revenue Build - VCU'!J6='4.1 Revenue Build - VCU'!$E$9,1,IF(MOD('4.1 Revenue Build - VCU'!J$6-'4.1 Revenue Build - VCU'!$E$9,'4.1 Revenue Build - VCU'!$E$10)=0,1,0))))</f>
        <v>1</v>
      </c>
      <c r="K11" s="242" t="n">
        <f aca="false">IF('4.1 Revenue Build - VCU'!K$6=34,1,IF('4.1 Revenue Build - VCU'!K6&lt;'4.1 Revenue Build - VCU'!$E$9,0,IF('4.1 Revenue Build - VCU'!K6='4.1 Revenue Build - VCU'!$E$9,1,IF(MOD('4.1 Revenue Build - VCU'!K$6-'4.1 Revenue Build - VCU'!$E$9,'4.1 Revenue Build - VCU'!$E$10)=0,1,0))))</f>
        <v>1</v>
      </c>
      <c r="L11" s="242" t="n">
        <f aca="false">IF('4.1 Revenue Build - VCU'!L$6=34,1,IF('4.1 Revenue Build - VCU'!L6&lt;'4.1 Revenue Build - VCU'!$E$9,0,IF('4.1 Revenue Build - VCU'!L6='4.1 Revenue Build - VCU'!$E$9,1,IF(MOD('4.1 Revenue Build - VCU'!L$6-'4.1 Revenue Build - VCU'!$E$9,'4.1 Revenue Build - VCU'!$E$10)=0,1,0))))</f>
        <v>1</v>
      </c>
      <c r="M11" s="242" t="n">
        <f aca="false">IF('4.1 Revenue Build - VCU'!M$6=34,1,IF('4.1 Revenue Build - VCU'!M6&lt;'4.1 Revenue Build - VCU'!$E$9,0,IF('4.1 Revenue Build - VCU'!M6='4.1 Revenue Build - VCU'!$E$9,1,IF(MOD('4.1 Revenue Build - VCU'!M$6-'4.1 Revenue Build - VCU'!$E$9,'4.1 Revenue Build - VCU'!$E$10)=0,1,0))))</f>
        <v>1</v>
      </c>
      <c r="N11" s="242" t="n">
        <f aca="false">IF('4.1 Revenue Build - VCU'!N$6=34,1,IF('4.1 Revenue Build - VCU'!N6&lt;'4.1 Revenue Build - VCU'!$E$9,0,IF('4.1 Revenue Build - VCU'!N6='4.1 Revenue Build - VCU'!$E$9,1,IF(MOD('4.1 Revenue Build - VCU'!N$6-'4.1 Revenue Build - VCU'!$E$9,'4.1 Revenue Build - VCU'!$E$10)=0,1,0))))</f>
        <v>1</v>
      </c>
      <c r="O11" s="242" t="n">
        <f aca="false">IF('4.1 Revenue Build - VCU'!O$6=34,1,IF('4.1 Revenue Build - VCU'!O6&lt;'4.1 Revenue Build - VCU'!$E$9,0,IF('4.1 Revenue Build - VCU'!O6='4.1 Revenue Build - VCU'!$E$9,1,IF(MOD('4.1 Revenue Build - VCU'!O$6-'4.1 Revenue Build - VCU'!$E$9,'4.1 Revenue Build - VCU'!$E$10)=0,1,0))))</f>
        <v>1</v>
      </c>
      <c r="P11" s="242" t="n">
        <f aca="false">IF('4.1 Revenue Build - VCU'!P$6=34,1,IF('4.1 Revenue Build - VCU'!P6&lt;'4.1 Revenue Build - VCU'!$E$9,0,IF('4.1 Revenue Build - VCU'!P6='4.1 Revenue Build - VCU'!$E$9,1,IF(MOD('4.1 Revenue Build - VCU'!P$6-'4.1 Revenue Build - VCU'!$E$9,'4.1 Revenue Build - VCU'!$E$10)=0,1,0))))</f>
        <v>1</v>
      </c>
      <c r="Q11" s="242" t="n">
        <f aca="false">IF('4.1 Revenue Build - VCU'!Q$6=34,1,IF('4.1 Revenue Build - VCU'!Q6&lt;'4.1 Revenue Build - VCU'!$E$9,0,IF('4.1 Revenue Build - VCU'!Q6='4.1 Revenue Build - VCU'!$E$9,1,IF(MOD('4.1 Revenue Build - VCU'!Q$6-'4.1 Revenue Build - VCU'!$E$9,'4.1 Revenue Build - VCU'!$E$10)=0,1,0))))</f>
        <v>1</v>
      </c>
      <c r="R11" s="242" t="n">
        <f aca="false">IF('4.1 Revenue Build - VCU'!R$6=34,1,IF('4.1 Revenue Build - VCU'!R6&lt;'4.1 Revenue Build - VCU'!$E$9,0,IF('4.1 Revenue Build - VCU'!R6='4.1 Revenue Build - VCU'!$E$9,1,IF(MOD('4.1 Revenue Build - VCU'!R$6-'4.1 Revenue Build - VCU'!$E$9,'4.1 Revenue Build - VCU'!$E$10)=0,1,0))))</f>
        <v>1</v>
      </c>
      <c r="S11" s="242" t="n">
        <f aca="false">IF('4.1 Revenue Build - VCU'!S$6=34,1,IF('4.1 Revenue Build - VCU'!S6&lt;'4.1 Revenue Build - VCU'!$E$9,0,IF('4.1 Revenue Build - VCU'!S6='4.1 Revenue Build - VCU'!$E$9,1,IF(MOD('4.1 Revenue Build - VCU'!S$6-'4.1 Revenue Build - VCU'!$E$9,'4.1 Revenue Build - VCU'!$E$10)=0,1,0))))</f>
        <v>1</v>
      </c>
      <c r="T11" s="242" t="n">
        <f aca="false">IF('4.1 Revenue Build - VCU'!T$6=34,1,IF('4.1 Revenue Build - VCU'!T6&lt;'4.1 Revenue Build - VCU'!$E$9,0,IF('4.1 Revenue Build - VCU'!T6='4.1 Revenue Build - VCU'!$E$9,1,IF(MOD('4.1 Revenue Build - VCU'!T$6-'4.1 Revenue Build - VCU'!$E$9,'4.1 Revenue Build - VCU'!$E$10)=0,1,0))))</f>
        <v>1</v>
      </c>
      <c r="U11" s="242" t="n">
        <f aca="false">IF('4.1 Revenue Build - VCU'!U$6=34,1,IF('4.1 Revenue Build - VCU'!U6&lt;'4.1 Revenue Build - VCU'!$E$9,0,IF('4.1 Revenue Build - VCU'!U6='4.1 Revenue Build - VCU'!$E$9,1,IF(MOD('4.1 Revenue Build - VCU'!U$6-'4.1 Revenue Build - VCU'!$E$9,'4.1 Revenue Build - VCU'!$E$10)=0,1,0))))</f>
        <v>1</v>
      </c>
      <c r="V11" s="242" t="n">
        <f aca="false">IF('4.1 Revenue Build - VCU'!V$6=34,1,IF('4.1 Revenue Build - VCU'!V6&lt;'4.1 Revenue Build - VCU'!$E$9,0,IF('4.1 Revenue Build - VCU'!V6='4.1 Revenue Build - VCU'!$E$9,1,IF(MOD('4.1 Revenue Build - VCU'!V$6-'4.1 Revenue Build - VCU'!$E$9,'4.1 Revenue Build - VCU'!$E$10)=0,1,0))))</f>
        <v>1</v>
      </c>
      <c r="W11" s="242" t="n">
        <f aca="false">IF('4.1 Revenue Build - VCU'!W$6=34,1,IF('4.1 Revenue Build - VCU'!W6&lt;'4.1 Revenue Build - VCU'!$E$9,0,IF('4.1 Revenue Build - VCU'!W6='4.1 Revenue Build - VCU'!$E$9,1,IF(MOD('4.1 Revenue Build - VCU'!W$6-'4.1 Revenue Build - VCU'!$E$9,'4.1 Revenue Build - VCU'!$E$10)=0,1,0))))</f>
        <v>1</v>
      </c>
      <c r="X11" s="242" t="n">
        <f aca="false">IF('4.1 Revenue Build - VCU'!X$6=34,1,IF('4.1 Revenue Build - VCU'!X6&lt;'4.1 Revenue Build - VCU'!$E$9,0,IF('4.1 Revenue Build - VCU'!X6='4.1 Revenue Build - VCU'!$E$9,1,IF(MOD('4.1 Revenue Build - VCU'!X$6-'4.1 Revenue Build - VCU'!$E$9,'4.1 Revenue Build - VCU'!$E$10)=0,1,0))))</f>
        <v>1</v>
      </c>
      <c r="Y11" s="242" t="n">
        <f aca="false">IF('4.1 Revenue Build - VCU'!Y$6=34,1,IF('4.1 Revenue Build - VCU'!Y6&lt;'4.1 Revenue Build - VCU'!$E$9,0,IF('4.1 Revenue Build - VCU'!Y6='4.1 Revenue Build - VCU'!$E$9,1,IF(MOD('4.1 Revenue Build - VCU'!Y$6-'4.1 Revenue Build - VCU'!$E$9,'4.1 Revenue Build - VCU'!$E$10)=0,1,0))))</f>
        <v>1</v>
      </c>
      <c r="Z11" s="242" t="n">
        <f aca="false">IF('4.1 Revenue Build - VCU'!Z$6=34,1,IF('4.1 Revenue Build - VCU'!Z6&lt;'4.1 Revenue Build - VCU'!$E$9,0,IF('4.1 Revenue Build - VCU'!Z6='4.1 Revenue Build - VCU'!$E$9,1,IF(MOD('4.1 Revenue Build - VCU'!Z$6-'4.1 Revenue Build - VCU'!$E$9,'4.1 Revenue Build - VCU'!$E$10)=0,1,0))))</f>
        <v>1</v>
      </c>
      <c r="AA11" s="242" t="n">
        <f aca="false">IF('4.1 Revenue Build - VCU'!AA$6=34,1,IF('4.1 Revenue Build - VCU'!AA6&lt;'4.1 Revenue Build - VCU'!$E$9,0,IF('4.1 Revenue Build - VCU'!AA6='4.1 Revenue Build - VCU'!$E$9,1,IF(MOD('4.1 Revenue Build - VCU'!AA$6-'4.1 Revenue Build - VCU'!$E$9,'4.1 Revenue Build - VCU'!$E$10)=0,1,0))))</f>
        <v>1</v>
      </c>
      <c r="AB11" s="242" t="n">
        <f aca="false">IF('4.1 Revenue Build - VCU'!AB$6=34,1,IF('4.1 Revenue Build - VCU'!AB6&lt;'4.1 Revenue Build - VCU'!$E$9,0,IF('4.1 Revenue Build - VCU'!AB6='4.1 Revenue Build - VCU'!$E$9,1,IF(MOD('4.1 Revenue Build - VCU'!AB$6-'4.1 Revenue Build - VCU'!$E$9,'4.1 Revenue Build - VCU'!$E$10)=0,1,0))))</f>
        <v>1</v>
      </c>
      <c r="AC11" s="242" t="n">
        <f aca="false">IF('4.1 Revenue Build - VCU'!AC$6=34,1,IF('4.1 Revenue Build - VCU'!AC6&lt;'4.1 Revenue Build - VCU'!$E$9,0,IF('4.1 Revenue Build - VCU'!AC6='4.1 Revenue Build - VCU'!$E$9,1,IF(MOD('4.1 Revenue Build - VCU'!AC$6-'4.1 Revenue Build - VCU'!$E$9,'4.1 Revenue Build - VCU'!$E$10)=0,1,0))))</f>
        <v>1</v>
      </c>
      <c r="AD11" s="242" t="n">
        <f aca="false">IF('4.1 Revenue Build - VCU'!AD$6=34,1,IF('4.1 Revenue Build - VCU'!AD6&lt;'4.1 Revenue Build - VCU'!$E$9,0,IF('4.1 Revenue Build - VCU'!AD6='4.1 Revenue Build - VCU'!$E$9,1,IF(MOD('4.1 Revenue Build - VCU'!AD$6-'4.1 Revenue Build - VCU'!$E$9,'4.1 Revenue Build - VCU'!$E$10)=0,1,0))))</f>
        <v>1</v>
      </c>
      <c r="AE11" s="242" t="n">
        <f aca="false">IF('4.1 Revenue Build - VCU'!AE$6=34,1,IF('4.1 Revenue Build - VCU'!AE6&lt;'4.1 Revenue Build - VCU'!$E$9,0,IF('4.1 Revenue Build - VCU'!AE6='4.1 Revenue Build - VCU'!$E$9,1,IF(MOD('4.1 Revenue Build - VCU'!AE$6-'4.1 Revenue Build - VCU'!$E$9,'4.1 Revenue Build - VCU'!$E$10)=0,1,0))))</f>
        <v>1</v>
      </c>
      <c r="AF11" s="242" t="n">
        <f aca="false">IF('4.1 Revenue Build - VCU'!AF$6=34,1,IF('4.1 Revenue Build - VCU'!AF6&lt;'4.1 Revenue Build - VCU'!$E$9,0,IF('4.1 Revenue Build - VCU'!AF6='4.1 Revenue Build - VCU'!$E$9,1,IF(MOD('4.1 Revenue Build - VCU'!AF$6-'4.1 Revenue Build - VCU'!$E$9,'4.1 Revenue Build - VCU'!$E$10)=0,1,0))))</f>
        <v>1</v>
      </c>
      <c r="AG11" s="242" t="n">
        <f aca="false">IF('4.1 Revenue Build - VCU'!AG$6=34,1,IF('4.1 Revenue Build - VCU'!AG6&lt;'4.1 Revenue Build - VCU'!$E$9,0,IF('4.1 Revenue Build - VCU'!AG6='4.1 Revenue Build - VCU'!$E$9,1,IF(MOD('4.1 Revenue Build - VCU'!AG$6-'4.1 Revenue Build - VCU'!$E$9,'4.1 Revenue Build - VCU'!$E$10)=0,1,0))))</f>
        <v>1</v>
      </c>
      <c r="AH11" s="242" t="n">
        <f aca="false">IF('4.1 Revenue Build - VCU'!AH$6=34,1,IF('4.1 Revenue Build - VCU'!AH6&lt;'4.1 Revenue Build - VCU'!$E$9,0,IF('4.1 Revenue Build - VCU'!AH6='4.1 Revenue Build - VCU'!$E$9,1,IF(MOD('4.1 Revenue Build - VCU'!AH$6-'4.1 Revenue Build - VCU'!$E$9,'4.1 Revenue Build - VCU'!$E$10)=0,1,0))))</f>
        <v>1</v>
      </c>
      <c r="AI11" s="242" t="n">
        <f aca="false">IF('4.1 Revenue Build - VCU'!AI$6=34,1,IF('4.1 Revenue Build - VCU'!AI6&lt;'4.1 Revenue Build - VCU'!$E$9,0,IF('4.1 Revenue Build - VCU'!AI6='4.1 Revenue Build - VCU'!$E$9,1,IF(MOD('4.1 Revenue Build - VCU'!AI$6-'4.1 Revenue Build - VCU'!$E$9,'4.1 Revenue Build - VCU'!$E$10)=0,1,0))))</f>
        <v>1</v>
      </c>
      <c r="AJ11" s="242" t="n">
        <f aca="false">IF('4.1 Revenue Build - VCU'!AJ$6=34,1,IF('4.1 Revenue Build - VCU'!AJ6&lt;'4.1 Revenue Build - VCU'!$E$9,0,IF('4.1 Revenue Build - VCU'!AJ6='4.1 Revenue Build - VCU'!$E$9,1,IF(MOD('4.1 Revenue Build - VCU'!AJ$6-'4.1 Revenue Build - VCU'!$E$9,'4.1 Revenue Build - VCU'!$E$10)=0,1,0))))</f>
        <v>1</v>
      </c>
      <c r="AK11" s="242" t="n">
        <f aca="false">IF('4.1 Revenue Build - VCU'!AK$6=34,1,IF('4.1 Revenue Build - VCU'!AK6&lt;'4.1 Revenue Build - VCU'!$E$9,0,IF('4.1 Revenue Build - VCU'!AK6='4.1 Revenue Build - VCU'!$E$9,1,IF(MOD('4.1 Revenue Build - VCU'!AK$6-'4.1 Revenue Build - VCU'!$E$9,'4.1 Revenue Build - VCU'!$E$10)=0,1,0))))</f>
        <v>1</v>
      </c>
      <c r="AL11" s="242" t="n">
        <f aca="false">IF('4.1 Revenue Build - VCU'!AL$6=34,1,IF('4.1 Revenue Build - VCU'!AL6&lt;'4.1 Revenue Build - VCU'!$E$9,0,IF('4.1 Revenue Build - VCU'!AL6='4.1 Revenue Build - VCU'!$E$9,1,IF(MOD('4.1 Revenue Build - VCU'!AL$6-'4.1 Revenue Build - VCU'!$E$9,'4.1 Revenue Build - VCU'!$E$10)=0,1,0))))</f>
        <v>1</v>
      </c>
    </row>
    <row r="12" customFormat="false" ht="15" hidden="false" customHeight="false" outlineLevel="0" collapsed="false">
      <c r="C12" s="1"/>
      <c r="D12" s="25"/>
      <c r="E12" s="241"/>
      <c r="F12" s="241"/>
      <c r="G12" s="241"/>
      <c r="H12" s="242"/>
      <c r="I12" s="242"/>
      <c r="J12" s="242"/>
      <c r="K12" s="242"/>
      <c r="L12" s="242"/>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row>
    <row r="13" customFormat="false" ht="15" hidden="false" customHeight="false" outlineLevel="0" collapsed="false">
      <c r="C13" s="1" t="s">
        <v>512</v>
      </c>
      <c r="D13" s="25" t="s">
        <v>102</v>
      </c>
      <c r="E13" s="243" t="n">
        <f aca="false">'1. Project Summary'!F29</f>
        <v>0.02</v>
      </c>
      <c r="H13" s="244" t="n">
        <v>0</v>
      </c>
      <c r="I13" s="245" t="n">
        <f aca="false">E13</f>
        <v>0.02</v>
      </c>
      <c r="J13" s="244" t="n">
        <f aca="false">I13</f>
        <v>0.02</v>
      </c>
      <c r="K13" s="244" t="n">
        <f aca="false">J13</f>
        <v>0.02</v>
      </c>
      <c r="L13" s="244" t="n">
        <f aca="false">K13</f>
        <v>0.02</v>
      </c>
      <c r="M13" s="244" t="n">
        <f aca="false">L13</f>
        <v>0.02</v>
      </c>
      <c r="N13" s="244" t="n">
        <f aca="false">M13</f>
        <v>0.02</v>
      </c>
      <c r="O13" s="244" t="n">
        <f aca="false">N13</f>
        <v>0.02</v>
      </c>
      <c r="P13" s="244" t="n">
        <f aca="false">O13</f>
        <v>0.02</v>
      </c>
      <c r="Q13" s="244" t="n">
        <f aca="false">P13</f>
        <v>0.02</v>
      </c>
      <c r="R13" s="244" t="n">
        <f aca="false">Q13</f>
        <v>0.02</v>
      </c>
      <c r="S13" s="244" t="n">
        <f aca="false">R13</f>
        <v>0.02</v>
      </c>
      <c r="T13" s="244" t="n">
        <f aca="false">S13</f>
        <v>0.02</v>
      </c>
      <c r="U13" s="244" t="n">
        <f aca="false">T13</f>
        <v>0.02</v>
      </c>
      <c r="V13" s="244" t="n">
        <f aca="false">U13</f>
        <v>0.02</v>
      </c>
      <c r="W13" s="244" t="n">
        <f aca="false">V13</f>
        <v>0.02</v>
      </c>
      <c r="X13" s="244" t="n">
        <f aca="false">W13</f>
        <v>0.02</v>
      </c>
      <c r="Y13" s="244" t="n">
        <f aca="false">X13</f>
        <v>0.02</v>
      </c>
      <c r="Z13" s="244" t="n">
        <f aca="false">Y13</f>
        <v>0.02</v>
      </c>
      <c r="AA13" s="244" t="n">
        <f aca="false">Z13</f>
        <v>0.02</v>
      </c>
      <c r="AB13" s="244" t="n">
        <f aca="false">AA13</f>
        <v>0.02</v>
      </c>
      <c r="AC13" s="244" t="n">
        <f aca="false">AB13</f>
        <v>0.02</v>
      </c>
      <c r="AD13" s="244" t="n">
        <f aca="false">AC13</f>
        <v>0.02</v>
      </c>
      <c r="AE13" s="244" t="n">
        <f aca="false">AD13</f>
        <v>0.02</v>
      </c>
      <c r="AF13" s="244" t="n">
        <f aca="false">AE13</f>
        <v>0.02</v>
      </c>
      <c r="AG13" s="244" t="n">
        <f aca="false">AF13</f>
        <v>0.02</v>
      </c>
      <c r="AH13" s="244" t="n">
        <f aca="false">AG13</f>
        <v>0.02</v>
      </c>
      <c r="AI13" s="244" t="n">
        <f aca="false">AH13</f>
        <v>0.02</v>
      </c>
      <c r="AJ13" s="244" t="n">
        <f aca="false">AI13</f>
        <v>0.02</v>
      </c>
      <c r="AK13" s="244" t="n">
        <f aca="false">AJ13</f>
        <v>0.02</v>
      </c>
      <c r="AL13" s="244" t="n">
        <f aca="false">AK13</f>
        <v>0.02</v>
      </c>
    </row>
    <row r="14" customFormat="false" ht="15" hidden="false" customHeight="false" outlineLevel="0" collapsed="false">
      <c r="C14" s="1"/>
      <c r="D14" s="25"/>
      <c r="E14" s="246"/>
      <c r="H14" s="238"/>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row>
    <row r="15" customFormat="false" ht="15" hidden="false" customHeight="false" outlineLevel="0" collapsed="false">
      <c r="C15" s="247" t="s">
        <v>513</v>
      </c>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row>
    <row r="16" customFormat="false" ht="15" hidden="false" customHeight="false" outlineLevel="0" collapsed="false">
      <c r="H16" s="238"/>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row>
    <row r="17" s="1" customFormat="true" ht="15" hidden="false" customHeight="false" outlineLevel="0" collapsed="false">
      <c r="B17" s="8"/>
      <c r="C17" s="1" t="s">
        <v>514</v>
      </c>
      <c r="D17" s="249" t="n">
        <f aca="false">MATCH(E17,C20:C26,0)</f>
        <v>2</v>
      </c>
      <c r="E17" s="250" t="str">
        <f aca="false">'1. Project Summary'!F28</f>
        <v>Scenario 2: Medium Price</v>
      </c>
      <c r="H17" s="251"/>
      <c r="I17" s="251"/>
      <c r="J17" s="251"/>
      <c r="K17" s="251"/>
      <c r="L17" s="251"/>
      <c r="M17" s="251"/>
      <c r="N17" s="251"/>
      <c r="O17" s="251"/>
      <c r="P17" s="251"/>
      <c r="Q17" s="251"/>
      <c r="R17" s="251"/>
      <c r="S17" s="251"/>
      <c r="T17" s="251"/>
      <c r="U17" s="251"/>
      <c r="V17" s="251"/>
      <c r="W17" s="251"/>
      <c r="X17" s="251"/>
      <c r="Y17" s="251"/>
      <c r="Z17" s="251"/>
      <c r="AA17" s="251"/>
      <c r="AB17" s="251"/>
      <c r="AC17" s="251"/>
      <c r="AD17" s="251"/>
      <c r="AE17" s="251"/>
      <c r="AF17" s="251"/>
      <c r="AG17" s="251"/>
      <c r="AH17" s="251"/>
      <c r="AI17" s="251"/>
      <c r="AJ17" s="251"/>
      <c r="AK17" s="251"/>
      <c r="AL17" s="251"/>
    </row>
    <row r="18" s="1" customFormat="true" ht="15" hidden="false" customHeight="false" outlineLevel="0" collapsed="false">
      <c r="B18" s="8"/>
      <c r="C18" s="11"/>
      <c r="D18" s="11"/>
      <c r="E18" s="11"/>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row>
    <row r="19" s="1" customFormat="true" ht="15" hidden="false" customHeight="false" outlineLevel="0" collapsed="false">
      <c r="B19" s="8"/>
      <c r="C19" s="8" t="s">
        <v>110</v>
      </c>
      <c r="D19" s="11"/>
      <c r="E19" s="11"/>
      <c r="H19" s="252"/>
      <c r="I19" s="252"/>
      <c r="J19" s="252"/>
      <c r="K19" s="252"/>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row>
    <row r="20" s="1" customFormat="true" ht="15" hidden="false" customHeight="false" outlineLevel="0" collapsed="false">
      <c r="B20" s="8" t="n">
        <v>1</v>
      </c>
      <c r="C20" s="11" t="str">
        <f aca="false">'1. Project Summary'!C20</f>
        <v>Scenario 1: Low Price</v>
      </c>
      <c r="D20" s="25" t="s">
        <v>112</v>
      </c>
      <c r="E20" s="253" t="n">
        <f aca="false">'1. Project Summary'!F20</f>
        <v>7.26282342260554</v>
      </c>
      <c r="H20" s="252" t="n">
        <f aca="false">$E20*(1+H13)</f>
        <v>7.26282342260554</v>
      </c>
      <c r="I20" s="252" t="n">
        <f aca="false">H20*(1+I$13)</f>
        <v>7.40807989105765</v>
      </c>
      <c r="J20" s="252" t="n">
        <f aca="false">I20*(1+J$13)</f>
        <v>7.5562414888788</v>
      </c>
      <c r="K20" s="252" t="n">
        <f aca="false">J20*(1+K$13)</f>
        <v>7.70736631865638</v>
      </c>
      <c r="L20" s="252" t="n">
        <f aca="false">K20*(1+L$13)</f>
        <v>7.86151364502951</v>
      </c>
      <c r="M20" s="252" t="n">
        <f aca="false">L20*(1+M$13)</f>
        <v>8.0187439179301</v>
      </c>
      <c r="N20" s="252" t="n">
        <f aca="false">M20*(1+N$13)</f>
        <v>8.1791187962887</v>
      </c>
      <c r="O20" s="252" t="n">
        <f aca="false">N20*(1+O$13)</f>
        <v>8.34270117221447</v>
      </c>
      <c r="P20" s="252" t="n">
        <f aca="false">O20*(1+P$13)</f>
        <v>8.50955519565876</v>
      </c>
      <c r="Q20" s="252" t="n">
        <f aca="false">P20*(1+Q$13)</f>
        <v>8.67974629957194</v>
      </c>
      <c r="R20" s="252" t="n">
        <f aca="false">Q20*(1+R$13)</f>
        <v>8.85334122556338</v>
      </c>
      <c r="S20" s="252" t="n">
        <f aca="false">R20*(1+S$13)</f>
        <v>9.03040805007464</v>
      </c>
      <c r="T20" s="252" t="n">
        <f aca="false">S20*(1+T$13)</f>
        <v>9.21101621107614</v>
      </c>
      <c r="U20" s="252" t="n">
        <f aca="false">T20*(1+U$13)</f>
        <v>9.39523653529766</v>
      </c>
      <c r="V20" s="252" t="n">
        <f aca="false">U20*(1+V$13)</f>
        <v>9.58314126600361</v>
      </c>
      <c r="W20" s="252" t="n">
        <f aca="false">V20*(1+W$13)</f>
        <v>9.77480409132369</v>
      </c>
      <c r="X20" s="252" t="n">
        <f aca="false">W20*(1+X$13)</f>
        <v>9.97030017315016</v>
      </c>
      <c r="Y20" s="252" t="n">
        <f aca="false">X20*(1+Y$13)</f>
        <v>10.1697061766132</v>
      </c>
      <c r="Z20" s="252" t="n">
        <f aca="false">Y20*(1+Z$13)</f>
        <v>10.3731003001454</v>
      </c>
      <c r="AA20" s="252" t="n">
        <f aca="false">Z20*(1+AA$13)</f>
        <v>10.5805623061483</v>
      </c>
      <c r="AB20" s="252" t="n">
        <f aca="false">AA20*(1+AB$13)</f>
        <v>10.7921735522713</v>
      </c>
      <c r="AC20" s="252" t="n">
        <f aca="false">AB20*(1+AC$13)</f>
        <v>11.0080170233167</v>
      </c>
      <c r="AD20" s="252" t="n">
        <f aca="false">AC20*(1+AD$13)</f>
        <v>11.2281773637831</v>
      </c>
      <c r="AE20" s="252" t="n">
        <f aca="false">AD20*(1+AE$13)</f>
        <v>11.4527409110587</v>
      </c>
      <c r="AF20" s="252" t="n">
        <f aca="false">AE20*(1+AF$13)</f>
        <v>11.6817957292799</v>
      </c>
      <c r="AG20" s="252" t="n">
        <f aca="false">AF20*(1+AG$13)</f>
        <v>11.9154316438655</v>
      </c>
      <c r="AH20" s="252" t="n">
        <f aca="false">AG20*(1+AH$13)</f>
        <v>12.1537402767428</v>
      </c>
      <c r="AI20" s="252" t="n">
        <f aca="false">AH20*(1+AI$13)</f>
        <v>12.3968150822777</v>
      </c>
      <c r="AJ20" s="252" t="n">
        <f aca="false">AI20*(1+AJ$13)</f>
        <v>12.6447513839232</v>
      </c>
      <c r="AK20" s="252" t="n">
        <f aca="false">AJ20*(1+AK$13)</f>
        <v>12.8976464116017</v>
      </c>
      <c r="AL20" s="252" t="n">
        <f aca="false">AK20*(1+AL$13)</f>
        <v>13.1555993398337</v>
      </c>
    </row>
    <row r="21" s="1" customFormat="true" ht="15" hidden="false" customHeight="false" outlineLevel="0" collapsed="false">
      <c r="B21" s="8" t="n">
        <v>2</v>
      </c>
      <c r="C21" s="11" t="str">
        <f aca="false">'1. Project Summary'!C21</f>
        <v>Scenario 2: Medium Price</v>
      </c>
      <c r="D21" s="25" t="s">
        <v>112</v>
      </c>
      <c r="E21" s="253" t="n">
        <f aca="false">'1. Project Summary'!F21</f>
        <v>10</v>
      </c>
      <c r="H21" s="252" t="n">
        <f aca="false">$E21*(1+H13)</f>
        <v>10</v>
      </c>
      <c r="I21" s="252" t="n">
        <f aca="false">H21*(1+I$13)</f>
        <v>10.2</v>
      </c>
      <c r="J21" s="252" t="n">
        <f aca="false">I21*(1+J$13)</f>
        <v>10.404</v>
      </c>
      <c r="K21" s="252" t="n">
        <f aca="false">J21*(1+K$13)</f>
        <v>10.61208</v>
      </c>
      <c r="L21" s="252" t="n">
        <f aca="false">K21*(1+L$13)</f>
        <v>10.8243216</v>
      </c>
      <c r="M21" s="252" t="n">
        <f aca="false">L21*(1+M$13)</f>
        <v>11.040808032</v>
      </c>
      <c r="N21" s="252" t="n">
        <f aca="false">M21*(1+N$13)</f>
        <v>11.26162419264</v>
      </c>
      <c r="O21" s="252" t="n">
        <f aca="false">N21*(1+O$13)</f>
        <v>11.4868566764928</v>
      </c>
      <c r="P21" s="252" t="n">
        <f aca="false">O21*(1+P$13)</f>
        <v>11.7165938100227</v>
      </c>
      <c r="Q21" s="252" t="n">
        <f aca="false">P21*(1+Q$13)</f>
        <v>11.9509256862231</v>
      </c>
      <c r="R21" s="252" t="n">
        <f aca="false">Q21*(1+R$13)</f>
        <v>12.1899441999476</v>
      </c>
      <c r="S21" s="252" t="n">
        <f aca="false">R21*(1+S$13)</f>
        <v>12.4337430839465</v>
      </c>
      <c r="T21" s="252" t="n">
        <f aca="false">S21*(1+T$13)</f>
        <v>12.6824179456255</v>
      </c>
      <c r="U21" s="252" t="n">
        <f aca="false">T21*(1+U$13)</f>
        <v>12.936066304538</v>
      </c>
      <c r="V21" s="252" t="n">
        <f aca="false">U21*(1+V$13)</f>
        <v>13.1947876306287</v>
      </c>
      <c r="W21" s="252" t="n">
        <f aca="false">V21*(1+W$13)</f>
        <v>13.4586833832413</v>
      </c>
      <c r="X21" s="252" t="n">
        <f aca="false">W21*(1+X$13)</f>
        <v>13.7278570509061</v>
      </c>
      <c r="Y21" s="252" t="n">
        <f aca="false">X21*(1+Y$13)</f>
        <v>14.0024141919242</v>
      </c>
      <c r="Z21" s="252" t="n">
        <f aca="false">Y21*(1+Z$13)</f>
        <v>14.2824624757627</v>
      </c>
      <c r="AA21" s="252" t="n">
        <f aca="false">Z21*(1+AA$13)</f>
        <v>14.568111725278</v>
      </c>
      <c r="AB21" s="252" t="n">
        <f aca="false">AA21*(1+AB$13)</f>
        <v>14.8594739597835</v>
      </c>
      <c r="AC21" s="252" t="n">
        <f aca="false">AB21*(1+AC$13)</f>
        <v>15.1566634389792</v>
      </c>
      <c r="AD21" s="252" t="n">
        <f aca="false">AC21*(1+AD$13)</f>
        <v>15.4597967077588</v>
      </c>
      <c r="AE21" s="252" t="n">
        <f aca="false">AD21*(1+AE$13)</f>
        <v>15.768992641914</v>
      </c>
      <c r="AF21" s="252" t="n">
        <f aca="false">AE21*(1+AF$13)</f>
        <v>16.0843724947523</v>
      </c>
      <c r="AG21" s="252" t="n">
        <f aca="false">AF21*(1+AG$13)</f>
        <v>16.4060599446473</v>
      </c>
      <c r="AH21" s="252" t="n">
        <f aca="false">AG21*(1+AH$13)</f>
        <v>16.7341811435403</v>
      </c>
      <c r="AI21" s="252" t="n">
        <f aca="false">AH21*(1+AI$13)</f>
        <v>17.0688647664111</v>
      </c>
      <c r="AJ21" s="252" t="n">
        <f aca="false">AI21*(1+AJ$13)</f>
        <v>17.4102420617393</v>
      </c>
      <c r="AK21" s="252" t="n">
        <f aca="false">AJ21*(1+AK$13)</f>
        <v>17.7584469029741</v>
      </c>
      <c r="AL21" s="252" t="n">
        <f aca="false">AK21*(1+AL$13)</f>
        <v>18.1136158410335</v>
      </c>
    </row>
    <row r="22" s="1" customFormat="true" ht="15" hidden="false" customHeight="false" outlineLevel="0" collapsed="false">
      <c r="B22" s="8" t="n">
        <v>3</v>
      </c>
      <c r="C22" s="11" t="str">
        <f aca="false">'1. Project Summary'!C22</f>
        <v>Scenario 3: High Price</v>
      </c>
      <c r="D22" s="25" t="s">
        <v>112</v>
      </c>
      <c r="E22" s="253" t="n">
        <f aca="false">'1. Project Summary'!F22</f>
        <v>12.5283704039946</v>
      </c>
      <c r="H22" s="252" t="n">
        <f aca="false">$E22*(1+H13)</f>
        <v>12.5283704039946</v>
      </c>
      <c r="I22" s="252" t="n">
        <f aca="false">H22*(1+I$13)</f>
        <v>12.7789378120744</v>
      </c>
      <c r="J22" s="252" t="n">
        <f aca="false">I22*(1+J$13)</f>
        <v>13.0345165683159</v>
      </c>
      <c r="K22" s="252" t="n">
        <f aca="false">J22*(1+K$13)</f>
        <v>13.2952068996823</v>
      </c>
      <c r="L22" s="252" t="n">
        <f aca="false">K22*(1+L$13)</f>
        <v>13.5611110376759</v>
      </c>
      <c r="M22" s="252" t="n">
        <f aca="false">L22*(1+M$13)</f>
        <v>13.8323332584294</v>
      </c>
      <c r="N22" s="252" t="n">
        <f aca="false">M22*(1+N$13)</f>
        <v>14.108979923598</v>
      </c>
      <c r="O22" s="252" t="n">
        <f aca="false">N22*(1+O$13)</f>
        <v>14.39115952207</v>
      </c>
      <c r="P22" s="252" t="n">
        <f aca="false">O22*(1+P$13)</f>
        <v>14.6789827125114</v>
      </c>
      <c r="Q22" s="252" t="n">
        <f aca="false">P22*(1+Q$13)</f>
        <v>14.9725623667616</v>
      </c>
      <c r="R22" s="252" t="n">
        <f aca="false">Q22*(1+R$13)</f>
        <v>15.2720136140968</v>
      </c>
      <c r="S22" s="252" t="n">
        <f aca="false">R22*(1+S$13)</f>
        <v>15.5774538863788</v>
      </c>
      <c r="T22" s="252" t="n">
        <f aca="false">S22*(1+T$13)</f>
        <v>15.8890029641063</v>
      </c>
      <c r="U22" s="252" t="n">
        <f aca="false">T22*(1+U$13)</f>
        <v>16.2067830233885</v>
      </c>
      <c r="V22" s="252" t="n">
        <f aca="false">U22*(1+V$13)</f>
        <v>16.5309186838562</v>
      </c>
      <c r="W22" s="252" t="n">
        <f aca="false">V22*(1+W$13)</f>
        <v>16.8615370575334</v>
      </c>
      <c r="X22" s="252" t="n">
        <f aca="false">W22*(1+X$13)</f>
        <v>17.198767798684</v>
      </c>
      <c r="Y22" s="252" t="n">
        <f aca="false">X22*(1+Y$13)</f>
        <v>17.5427431546577</v>
      </c>
      <c r="Z22" s="252" t="n">
        <f aca="false">Y22*(1+Z$13)</f>
        <v>17.8935980177509</v>
      </c>
      <c r="AA22" s="252" t="n">
        <f aca="false">Z22*(1+AA$13)</f>
        <v>18.2514699781059</v>
      </c>
      <c r="AB22" s="252" t="n">
        <f aca="false">AA22*(1+AB$13)</f>
        <v>18.616499377668</v>
      </c>
      <c r="AC22" s="252" t="n">
        <f aca="false">AB22*(1+AC$13)</f>
        <v>18.9888293652214</v>
      </c>
      <c r="AD22" s="252" t="n">
        <f aca="false">AC22*(1+AD$13)</f>
        <v>19.3686059525258</v>
      </c>
      <c r="AE22" s="252" t="n">
        <f aca="false">AD22*(1+AE$13)</f>
        <v>19.7559780715763</v>
      </c>
      <c r="AF22" s="252" t="n">
        <f aca="false">AE22*(1+AF$13)</f>
        <v>20.1510976330078</v>
      </c>
      <c r="AG22" s="252" t="n">
        <f aca="false">AF22*(1+AG$13)</f>
        <v>20.554119585668</v>
      </c>
      <c r="AH22" s="252" t="n">
        <f aca="false">AG22*(1+AH$13)</f>
        <v>20.9652019773813</v>
      </c>
      <c r="AI22" s="252" t="n">
        <f aca="false">AH22*(1+AI$13)</f>
        <v>21.384506016929</v>
      </c>
      <c r="AJ22" s="252" t="n">
        <f aca="false">AI22*(1+AJ$13)</f>
        <v>21.8121961372676</v>
      </c>
      <c r="AK22" s="252" t="n">
        <f aca="false">AJ22*(1+AK$13)</f>
        <v>22.2484400600129</v>
      </c>
      <c r="AL22" s="252" t="n">
        <f aca="false">AK22*(1+AL$13)</f>
        <v>22.6934088612132</v>
      </c>
    </row>
    <row r="23" s="1" customFormat="true" ht="15" hidden="false" customHeight="false" outlineLevel="0" collapsed="false">
      <c r="B23" s="8" t="n">
        <v>4</v>
      </c>
      <c r="C23" s="44" t="s">
        <v>118</v>
      </c>
      <c r="D23" s="25"/>
      <c r="E23" s="253" t="n">
        <f aca="false">'1. Project Summary'!F23</f>
        <v>9.9</v>
      </c>
      <c r="H23" s="252" t="n">
        <f aca="false">E23</f>
        <v>9.9</v>
      </c>
      <c r="I23" s="254" t="n">
        <v>6.67788766148661</v>
      </c>
      <c r="J23" s="254" t="n">
        <v>7.48818506729909</v>
      </c>
      <c r="K23" s="254" t="n">
        <v>8.59983894817866</v>
      </c>
      <c r="L23" s="254" t="n">
        <v>9.82612789115646</v>
      </c>
      <c r="M23" s="254" t="n">
        <v>10.94875637105</v>
      </c>
      <c r="N23" s="254" t="n">
        <v>12.0738515384135</v>
      </c>
      <c r="O23" s="254" t="n">
        <v>13.1007568370467</v>
      </c>
      <c r="P23" s="254" t="n">
        <v>13.9163535750692</v>
      </c>
      <c r="Q23" s="254" t="n">
        <v>14.6250397137448</v>
      </c>
      <c r="R23" s="254" t="n">
        <v>15.7362812748341</v>
      </c>
      <c r="S23" s="254" t="n">
        <v>16.8062040816327</v>
      </c>
      <c r="T23" s="254" t="n">
        <v>18.2680816326531</v>
      </c>
      <c r="U23" s="254" t="n">
        <v>19.8017959183673</v>
      </c>
      <c r="V23" s="254" t="n">
        <v>21.3355102040816</v>
      </c>
      <c r="W23" s="254" t="n">
        <v>22.8009795918367</v>
      </c>
      <c r="X23" s="254" t="n">
        <v>24.1443265306122</v>
      </c>
      <c r="Y23" s="254" t="n">
        <v>25.3978775510204</v>
      </c>
      <c r="Z23" s="254" t="n">
        <v>26.5257142857143</v>
      </c>
      <c r="AA23" s="254" t="n">
        <v>27.4739591836735</v>
      </c>
      <c r="AB23" s="254" t="n">
        <v>28.2677551020408</v>
      </c>
      <c r="AC23" s="254" t="n">
        <v>28.8963265306122</v>
      </c>
      <c r="AD23" s="254" t="n">
        <v>29.3812244897959</v>
      </c>
      <c r="AE23" s="254" t="n">
        <v>29.7404081632653</v>
      </c>
      <c r="AF23" s="254" t="n">
        <v>29.9559183673469</v>
      </c>
      <c r="AG23" s="254" t="n">
        <v>30.0636734693878</v>
      </c>
      <c r="AH23" s="254" t="n">
        <v>30.1355102040816</v>
      </c>
      <c r="AI23" s="254" t="n">
        <v>30.1714285714286</v>
      </c>
      <c r="AJ23" s="252" t="n">
        <f aca="false">AI23</f>
        <v>30.1714285714286</v>
      </c>
      <c r="AK23" s="252" t="n">
        <f aca="false">AJ23</f>
        <v>30.1714285714286</v>
      </c>
      <c r="AL23" s="252" t="n">
        <f aca="false">AK23</f>
        <v>30.1714285714286</v>
      </c>
    </row>
    <row r="24" s="1" customFormat="true" ht="15" hidden="false" customHeight="false" outlineLevel="0" collapsed="false">
      <c r="B24" s="8" t="n">
        <v>5</v>
      </c>
      <c r="C24" s="44" t="s">
        <v>120</v>
      </c>
      <c r="D24" s="25"/>
      <c r="E24" s="253" t="n">
        <f aca="false">'1. Project Summary'!F24</f>
        <v>10.2</v>
      </c>
      <c r="H24" s="252" t="n">
        <f aca="false">E24</f>
        <v>10.2</v>
      </c>
      <c r="I24" s="254" t="n">
        <v>9.83444897959184</v>
      </c>
      <c r="J24" s="254" t="n">
        <v>11.7201632653061</v>
      </c>
      <c r="K24" s="254" t="n">
        <v>13.5160816326531</v>
      </c>
      <c r="L24" s="254" t="n">
        <v>15.2545306122449</v>
      </c>
      <c r="M24" s="254" t="n">
        <v>16.9929795918367</v>
      </c>
      <c r="N24" s="254" t="n">
        <v>18.8679183673469</v>
      </c>
      <c r="O24" s="254" t="n">
        <v>21.0337959183674</v>
      </c>
      <c r="P24" s="254" t="n">
        <v>23.5552653061225</v>
      </c>
      <c r="Q24" s="254" t="n">
        <v>26.3712653061225</v>
      </c>
      <c r="R24" s="254" t="n">
        <v>29.4027755102041</v>
      </c>
      <c r="S24" s="254" t="n">
        <v>32.3732244897959</v>
      </c>
      <c r="T24" s="254" t="n">
        <v>35.1568979591837</v>
      </c>
      <c r="U24" s="254" t="n">
        <v>37.7609795918367</v>
      </c>
      <c r="V24" s="254" t="n">
        <v>40.1998367346939</v>
      </c>
      <c r="W24" s="254" t="n">
        <v>42.4016326530612</v>
      </c>
      <c r="X24" s="254" t="n">
        <v>44.4238367346939</v>
      </c>
      <c r="Y24" s="254" t="n">
        <v>46.4137142857143</v>
      </c>
      <c r="Z24" s="254" t="n">
        <v>48.4</v>
      </c>
      <c r="AA24" s="254" t="n">
        <v>50.3144489795918</v>
      </c>
      <c r="AB24" s="254" t="n">
        <v>52.178612244898</v>
      </c>
      <c r="AC24" s="254" t="n">
        <v>53.9709387755102</v>
      </c>
      <c r="AD24" s="254" t="n">
        <v>55.5836734693878</v>
      </c>
      <c r="AE24" s="254" t="n">
        <v>56.9126530612245</v>
      </c>
      <c r="AF24" s="254" t="n">
        <v>57.9004081632653</v>
      </c>
      <c r="AG24" s="254" t="n">
        <v>58.5648979591837</v>
      </c>
      <c r="AH24" s="254" t="n">
        <v>58.9420408163265</v>
      </c>
      <c r="AI24" s="254" t="n">
        <v>59.1395918367347</v>
      </c>
      <c r="AJ24" s="252" t="n">
        <f aca="false">AI24</f>
        <v>59.1395918367347</v>
      </c>
      <c r="AK24" s="252" t="n">
        <f aca="false">AJ24</f>
        <v>59.1395918367347</v>
      </c>
      <c r="AL24" s="252" t="n">
        <f aca="false">AK24</f>
        <v>59.1395918367347</v>
      </c>
    </row>
    <row r="25" s="1" customFormat="true" ht="15" hidden="false" customHeight="false" outlineLevel="0" collapsed="false">
      <c r="B25" s="8" t="n">
        <v>6</v>
      </c>
      <c r="C25" s="44" t="s">
        <v>121</v>
      </c>
      <c r="D25" s="25"/>
      <c r="E25" s="253" t="n">
        <f aca="false">'1. Project Summary'!F25</f>
        <v>11.3</v>
      </c>
      <c r="H25" s="252" t="n">
        <f aca="false">E25</f>
        <v>11.3</v>
      </c>
      <c r="I25" s="254" t="n">
        <v>8.38377861823629</v>
      </c>
      <c r="J25" s="254" t="n">
        <v>9.43360439368408</v>
      </c>
      <c r="K25" s="254" t="n">
        <v>10.8791758846658</v>
      </c>
      <c r="L25" s="254" t="n">
        <v>12.5141437184048</v>
      </c>
      <c r="M25" s="254" t="n">
        <v>14.1845202521376</v>
      </c>
      <c r="N25" s="254" t="n">
        <v>15.8752</v>
      </c>
      <c r="O25" s="254" t="n">
        <v>17.4465791424827</v>
      </c>
      <c r="P25" s="254" t="n">
        <v>18.7123709667353</v>
      </c>
      <c r="Q25" s="254" t="n">
        <v>19.7000887224615</v>
      </c>
      <c r="R25" s="254" t="n">
        <v>21.0773455657492</v>
      </c>
      <c r="S25" s="254" t="n">
        <v>22.2550204081633</v>
      </c>
      <c r="T25" s="254" t="n">
        <v>23.8641632653061</v>
      </c>
      <c r="U25" s="254" t="n">
        <v>25.3871020408163</v>
      </c>
      <c r="V25" s="254" t="n">
        <v>26.7879183673469</v>
      </c>
      <c r="W25" s="254" t="n">
        <v>28.0019591836735</v>
      </c>
      <c r="X25" s="254" t="n">
        <v>29.0579591836735</v>
      </c>
      <c r="Y25" s="254" t="n">
        <v>30.0421224489796</v>
      </c>
      <c r="Z25" s="254" t="n">
        <v>31.0406530612245</v>
      </c>
      <c r="AA25" s="254" t="n">
        <v>32.1110204081633</v>
      </c>
      <c r="AB25" s="254" t="n">
        <v>33.264</v>
      </c>
      <c r="AC25" s="254" t="n">
        <v>34.4852244897959</v>
      </c>
      <c r="AD25" s="254" t="n">
        <v>35.7100408163265</v>
      </c>
      <c r="AE25" s="254" t="n">
        <v>36.830693877551</v>
      </c>
      <c r="AF25" s="254" t="n">
        <v>37.7035102040816</v>
      </c>
      <c r="AG25" s="254" t="n">
        <v>38.2889795918367</v>
      </c>
      <c r="AH25" s="254" t="n">
        <v>38.6625306122449</v>
      </c>
      <c r="AI25" s="254" t="n">
        <v>38.8528979591837</v>
      </c>
      <c r="AJ25" s="252" t="n">
        <f aca="false">AI25</f>
        <v>38.8528979591837</v>
      </c>
      <c r="AK25" s="252" t="n">
        <f aca="false">AJ25</f>
        <v>38.8528979591837</v>
      </c>
      <c r="AL25" s="252" t="n">
        <f aca="false">AK25</f>
        <v>38.8528979591837</v>
      </c>
    </row>
    <row r="26" s="1" customFormat="true" ht="15" hidden="false" customHeight="false" outlineLevel="0" collapsed="false">
      <c r="B26" s="8" t="n">
        <v>7</v>
      </c>
      <c r="C26" s="44" t="s">
        <v>122</v>
      </c>
      <c r="D26" s="11"/>
      <c r="E26" s="253" t="n">
        <f aca="false">'1. Project Summary'!F26</f>
        <v>11.9</v>
      </c>
      <c r="H26" s="252" t="n">
        <f aca="false">E26</f>
        <v>11.9</v>
      </c>
      <c r="I26" s="254" t="n">
        <v>12.2661224489796</v>
      </c>
      <c r="J26" s="254" t="n">
        <v>14.6726530612245</v>
      </c>
      <c r="K26" s="254" t="n">
        <v>17.0432653061225</v>
      </c>
      <c r="L26" s="254" t="n">
        <v>19.3384489795918</v>
      </c>
      <c r="M26" s="254" t="n">
        <v>21.5977142857143</v>
      </c>
      <c r="N26" s="254" t="n">
        <v>23.8210612244898</v>
      </c>
      <c r="O26" s="254" t="n">
        <v>26.4035918367347</v>
      </c>
      <c r="P26" s="254" t="n">
        <v>29.3704489795918</v>
      </c>
      <c r="Q26" s="254" t="n">
        <v>32.8078367346939</v>
      </c>
      <c r="R26" s="254" t="n">
        <v>36.7085714285714</v>
      </c>
      <c r="S26" s="254" t="n">
        <v>40.8966530612245</v>
      </c>
      <c r="T26" s="254" t="n">
        <v>45.1924897959184</v>
      </c>
      <c r="U26" s="254" t="n">
        <v>49.4308571428571</v>
      </c>
      <c r="V26" s="254" t="n">
        <v>53.457306122449</v>
      </c>
      <c r="W26" s="254" t="n">
        <v>56.9377959183673</v>
      </c>
      <c r="X26" s="254" t="n">
        <v>59.8040816326531</v>
      </c>
      <c r="Y26" s="254" t="n">
        <v>62.0238367346939</v>
      </c>
      <c r="Z26" s="254" t="n">
        <v>63.7012244897959</v>
      </c>
      <c r="AA26" s="254" t="n">
        <v>64.9404081632653</v>
      </c>
      <c r="AB26" s="254" t="n">
        <v>65.9497142857143</v>
      </c>
      <c r="AC26" s="254" t="n">
        <v>66.9374693877551</v>
      </c>
      <c r="AD26" s="254" t="n">
        <v>67.9719183673469</v>
      </c>
      <c r="AE26" s="254" t="n">
        <v>69.0782040816327</v>
      </c>
      <c r="AF26" s="254" t="n">
        <v>70.1162448979592</v>
      </c>
      <c r="AG26" s="254" t="n">
        <v>70.9639183673469</v>
      </c>
      <c r="AH26" s="254" t="n">
        <v>71.585306122449</v>
      </c>
      <c r="AI26" s="254" t="n">
        <v>71.9804081632653</v>
      </c>
      <c r="AJ26" s="252" t="n">
        <f aca="false">AI26</f>
        <v>71.9804081632653</v>
      </c>
      <c r="AK26" s="252" t="n">
        <f aca="false">AJ26</f>
        <v>71.9804081632653</v>
      </c>
      <c r="AL26" s="252" t="n">
        <f aca="false">AK26</f>
        <v>71.9804081632653</v>
      </c>
    </row>
    <row r="27" s="1" customFormat="true" ht="15" hidden="false" customHeight="false" outlineLevel="0" collapsed="false">
      <c r="B27" s="8"/>
      <c r="C27" s="10" t="s">
        <v>515</v>
      </c>
      <c r="D27" s="11"/>
      <c r="E27" s="255" t="n">
        <f aca="false">H27</f>
        <v>10</v>
      </c>
      <c r="H27" s="256" t="n">
        <f aca="false">CHOOSE($D$17,H20,H21,H22,H23,H24,H25,H26)</f>
        <v>10</v>
      </c>
      <c r="I27" s="256" t="n">
        <f aca="false">CHOOSE($D$17,I20,I21,I22,I23,I24,I25,I26)</f>
        <v>10.2</v>
      </c>
      <c r="J27" s="256" t="n">
        <f aca="false">CHOOSE($D$17,J20,J21,J22,J23,J24,J25,J26)</f>
        <v>10.404</v>
      </c>
      <c r="K27" s="256" t="n">
        <f aca="false">CHOOSE($D$17,K20,K21,K22,K23,K24,K25,K26)</f>
        <v>10.61208</v>
      </c>
      <c r="L27" s="256" t="n">
        <f aca="false">CHOOSE($D$17,L20,L21,L22,L23,L24,L25,L26)</f>
        <v>10.8243216</v>
      </c>
      <c r="M27" s="256" t="n">
        <f aca="false">CHOOSE($D$17,M20,M21,M22,M23,M24,M25,M26)</f>
        <v>11.040808032</v>
      </c>
      <c r="N27" s="256" t="n">
        <f aca="false">CHOOSE($D$17,N20,N21,N22,N23,N24,N25,N26)</f>
        <v>11.26162419264</v>
      </c>
      <c r="O27" s="256" t="n">
        <f aca="false">CHOOSE($D$17,O20,O21,O22,O23,O24,O25,O26)</f>
        <v>11.4868566764928</v>
      </c>
      <c r="P27" s="256" t="n">
        <f aca="false">CHOOSE($D$17,P20,P21,P22,P23,P24,P25,P26)</f>
        <v>11.7165938100227</v>
      </c>
      <c r="Q27" s="256" t="n">
        <f aca="false">CHOOSE($D$17,Q20,Q21,Q22,Q23,Q24,Q25,Q26)</f>
        <v>11.9509256862231</v>
      </c>
      <c r="R27" s="256" t="n">
        <f aca="false">CHOOSE($D$17,R20,R21,R22,R23,R24,R25,R26)</f>
        <v>12.1899441999476</v>
      </c>
      <c r="S27" s="256" t="n">
        <f aca="false">CHOOSE($D$17,S20,S21,S22,S23,S24,S25,S26)</f>
        <v>12.4337430839465</v>
      </c>
      <c r="T27" s="256" t="n">
        <f aca="false">CHOOSE($D$17,T20,T21,T22,T23,T24,T25,T26)</f>
        <v>12.6824179456255</v>
      </c>
      <c r="U27" s="256" t="n">
        <f aca="false">CHOOSE($D$17,U20,U21,U22,U23,U24,U25,U26)</f>
        <v>12.936066304538</v>
      </c>
      <c r="V27" s="256" t="n">
        <f aca="false">CHOOSE($D$17,V20,V21,V22,V23,V24,V25,V26)</f>
        <v>13.1947876306287</v>
      </c>
      <c r="W27" s="256" t="n">
        <f aca="false">CHOOSE($D$17,W20,W21,W22,W23,W24,W25,W26)</f>
        <v>13.4586833832413</v>
      </c>
      <c r="X27" s="256" t="n">
        <f aca="false">CHOOSE($D$17,X20,X21,X22,X23,X24,X25,X26)</f>
        <v>13.7278570509061</v>
      </c>
      <c r="Y27" s="256" t="n">
        <f aca="false">CHOOSE($D$17,Y20,Y21,Y22,Y23,Y24,Y25,Y26)</f>
        <v>14.0024141919242</v>
      </c>
      <c r="Z27" s="256" t="n">
        <f aca="false">CHOOSE($D$17,Z20,Z21,Z22,Z23,Z24,Z25,Z26)</f>
        <v>14.2824624757627</v>
      </c>
      <c r="AA27" s="256" t="n">
        <f aca="false">CHOOSE($D$17,AA20,AA21,AA22,AA23,AA24,AA25,AA26)</f>
        <v>14.568111725278</v>
      </c>
      <c r="AB27" s="256" t="n">
        <f aca="false">CHOOSE($D$17,AB20,AB21,AB22,AB23,AB24,AB25,AB26)</f>
        <v>14.8594739597835</v>
      </c>
      <c r="AC27" s="256" t="n">
        <f aca="false">CHOOSE($D$17,AC20,AC21,AC22,AC23,AC24,AC25,AC26)</f>
        <v>15.1566634389792</v>
      </c>
      <c r="AD27" s="256" t="n">
        <f aca="false">CHOOSE($D$17,AD20,AD21,AD22,AD23,AD24,AD25,AD26)</f>
        <v>15.4597967077588</v>
      </c>
      <c r="AE27" s="256" t="n">
        <f aca="false">CHOOSE($D$17,AE20,AE21,AE22,AE23,AE24,AE25,AE26)</f>
        <v>15.768992641914</v>
      </c>
      <c r="AF27" s="256" t="n">
        <f aca="false">CHOOSE($D$17,AF20,AF21,AF22,AF23,AF24,AF25,AF26)</f>
        <v>16.0843724947523</v>
      </c>
      <c r="AG27" s="256" t="n">
        <f aca="false">CHOOSE($D$17,AG20,AG21,AG22,AG23,AG24,AG25,AG26)</f>
        <v>16.4060599446473</v>
      </c>
      <c r="AH27" s="256" t="n">
        <f aca="false">CHOOSE($D$17,AH20,AH21,AH22,AH23,AH24,AH25,AH26)</f>
        <v>16.7341811435403</v>
      </c>
      <c r="AI27" s="256" t="n">
        <f aca="false">CHOOSE($D$17,AI20,AI21,AI22,AI23,AI24,AI25,AI26)</f>
        <v>17.0688647664111</v>
      </c>
      <c r="AJ27" s="256" t="n">
        <f aca="false">CHOOSE($D$17,AJ20,AJ21,AJ22,AJ23,AJ24,AJ25,AJ26)</f>
        <v>17.4102420617393</v>
      </c>
      <c r="AK27" s="256" t="n">
        <f aca="false">CHOOSE($D$17,AK20,AK21,AK22,AK23,AK24,AK25,AK26)</f>
        <v>17.7584469029741</v>
      </c>
      <c r="AL27" s="256" t="n">
        <f aca="false">CHOOSE($D$17,AL20,AL21,AL22,AL23,AL24,AL25,AL26)</f>
        <v>18.1136158410335</v>
      </c>
    </row>
    <row r="28" s="1" customFormat="true" ht="15" hidden="false" customHeight="false" outlineLevel="0" collapsed="false">
      <c r="F28" s="241"/>
      <c r="G28" s="241"/>
    </row>
    <row r="29" s="1" customFormat="true" ht="24.05" hidden="false" customHeight="false" outlineLevel="0" collapsed="false">
      <c r="C29" s="1" t="s">
        <v>516</v>
      </c>
      <c r="D29" s="249" t="n">
        <f aca="false">MATCH(E29,C32:C34,0)</f>
        <v>2</v>
      </c>
      <c r="E29" s="257" t="str">
        <f aca="false">'1. Project Summary'!F36</f>
        <v>Scenario 2: High Crediting Scenario</v>
      </c>
      <c r="F29" s="241"/>
      <c r="G29" s="241"/>
    </row>
    <row r="30" s="1" customFormat="true" ht="15" hidden="false" customHeight="false" outlineLevel="0" collapsed="false">
      <c r="F30" s="241"/>
      <c r="G30" s="241"/>
    </row>
    <row r="31" s="1" customFormat="true" ht="15" hidden="false" customHeight="false" outlineLevel="0" collapsed="false">
      <c r="B31" s="8"/>
      <c r="C31" s="8" t="s">
        <v>128</v>
      </c>
      <c r="D31" s="25"/>
      <c r="E31" s="50" t="s">
        <v>129</v>
      </c>
      <c r="H31" s="95"/>
    </row>
    <row r="32" s="1" customFormat="true" ht="15" hidden="false" customHeight="false" outlineLevel="0" collapsed="false">
      <c r="B32" s="8" t="n">
        <v>1</v>
      </c>
      <c r="C32" s="11" t="str">
        <f aca="false">'1. Project Summary'!C32</f>
        <v>Scenario 1: Low Crediting Scenario</v>
      </c>
      <c r="D32" s="25" t="s">
        <v>131</v>
      </c>
      <c r="E32" s="258" t="n">
        <f aca="false">SUM(H32:AL32)</f>
        <v>6540628</v>
      </c>
      <c r="H32" s="212" t="n">
        <f aca="false">'12. VCU Volume'!E41</f>
        <v>0</v>
      </c>
      <c r="I32" s="212" t="n">
        <f aca="false">'12. VCU Volume'!F41</f>
        <v>1640</v>
      </c>
      <c r="J32" s="212" t="n">
        <f aca="false">'12. VCU Volume'!G41</f>
        <v>35324</v>
      </c>
      <c r="K32" s="212" t="n">
        <f aca="false">'12. VCU Volume'!H41</f>
        <v>69008</v>
      </c>
      <c r="L32" s="212" t="n">
        <f aca="false">'12. VCU Volume'!I41</f>
        <v>102696</v>
      </c>
      <c r="M32" s="212" t="n">
        <f aca="false">'12. VCU Volume'!J41</f>
        <v>140060</v>
      </c>
      <c r="N32" s="212" t="n">
        <f aca="false">'12. VCU Volume'!K41</f>
        <v>177428</v>
      </c>
      <c r="O32" s="212" t="n">
        <f aca="false">'12. VCU Volume'!L41</f>
        <v>214792</v>
      </c>
      <c r="P32" s="212" t="n">
        <f aca="false">'12. VCU Volume'!M41</f>
        <v>252160</v>
      </c>
      <c r="Q32" s="212" t="n">
        <f aca="false">'12. VCU Volume'!N41</f>
        <v>252160</v>
      </c>
      <c r="R32" s="212" t="n">
        <f aca="false">'12. VCU Volume'!O41</f>
        <v>252160</v>
      </c>
      <c r="S32" s="212" t="n">
        <f aca="false">'12. VCU Volume'!P41</f>
        <v>252160</v>
      </c>
      <c r="T32" s="212" t="n">
        <f aca="false">'12. VCU Volume'!Q41</f>
        <v>252160</v>
      </c>
      <c r="U32" s="212" t="n">
        <f aca="false">'12. VCU Volume'!R41</f>
        <v>252160</v>
      </c>
      <c r="V32" s="212" t="n">
        <f aca="false">'12. VCU Volume'!S41</f>
        <v>252160</v>
      </c>
      <c r="W32" s="212" t="n">
        <f aca="false">'12. VCU Volume'!T41</f>
        <v>252160</v>
      </c>
      <c r="X32" s="212" t="n">
        <f aca="false">'12. VCU Volume'!U41</f>
        <v>252160</v>
      </c>
      <c r="Y32" s="212" t="n">
        <f aca="false">'12. VCU Volume'!V41</f>
        <v>252160</v>
      </c>
      <c r="Z32" s="212" t="n">
        <f aca="false">'12. VCU Volume'!W41</f>
        <v>252160</v>
      </c>
      <c r="AA32" s="212" t="n">
        <f aca="false">'12. VCU Volume'!X41</f>
        <v>252160</v>
      </c>
      <c r="AB32" s="212" t="n">
        <f aca="false">'12. VCU Volume'!Y41</f>
        <v>252160</v>
      </c>
      <c r="AC32" s="212" t="n">
        <f aca="false">'12. VCU Volume'!Z41</f>
        <v>252160</v>
      </c>
      <c r="AD32" s="212" t="n">
        <f aca="false">'12. VCU Volume'!AA41</f>
        <v>252160</v>
      </c>
      <c r="AE32" s="212" t="n">
        <f aca="false">'12. VCU Volume'!AB41</f>
        <v>252160</v>
      </c>
      <c r="AF32" s="212" t="n">
        <f aca="false">'12. VCU Volume'!AC41</f>
        <v>252160</v>
      </c>
      <c r="AG32" s="212" t="n">
        <f aca="false">'12. VCU Volume'!AD41</f>
        <v>252160</v>
      </c>
      <c r="AH32" s="212" t="n">
        <f aca="false">'12. VCU Volume'!AE41</f>
        <v>252160</v>
      </c>
      <c r="AI32" s="212" t="n">
        <f aca="false">'12. VCU Volume'!AF41</f>
        <v>252160</v>
      </c>
      <c r="AJ32" s="212" t="n">
        <f aca="false">'12. VCU Volume'!AG41</f>
        <v>252160</v>
      </c>
      <c r="AK32" s="212" t="n">
        <f aca="false">'12. VCU Volume'!AH41</f>
        <v>252160</v>
      </c>
      <c r="AL32" s="212" t="n">
        <f aca="false">'12. VCU Volume'!AI41</f>
        <v>252160</v>
      </c>
    </row>
    <row r="33" s="1" customFormat="true" ht="15" hidden="false" customHeight="false" outlineLevel="0" collapsed="false">
      <c r="B33" s="8" t="n">
        <v>2</v>
      </c>
      <c r="C33" s="11" t="str">
        <f aca="false">'1. Project Summary'!C33</f>
        <v>Scenario 2: High Crediting Scenario</v>
      </c>
      <c r="D33" s="25" t="s">
        <v>131</v>
      </c>
      <c r="E33" s="258" t="n">
        <f aca="false">SUM(H33:AL33)</f>
        <v>8089676</v>
      </c>
      <c r="F33" s="96"/>
      <c r="H33" s="212" t="n">
        <f aca="false">'12. VCU Volume'!E42</f>
        <v>0</v>
      </c>
      <c r="I33" s="212" t="n">
        <f aca="false">'12. VCU Volume'!F42</f>
        <v>2028</v>
      </c>
      <c r="J33" s="212" t="n">
        <f aca="false">'12. VCU Volume'!G42</f>
        <v>43692</v>
      </c>
      <c r="K33" s="212" t="n">
        <f aca="false">'12. VCU Volume'!H42</f>
        <v>85356</v>
      </c>
      <c r="L33" s="212" t="n">
        <f aca="false">'12. VCU Volume'!I42</f>
        <v>127016</v>
      </c>
      <c r="M33" s="212" t="n">
        <f aca="false">'12. VCU Volume'!J42</f>
        <v>173232</v>
      </c>
      <c r="N33" s="212" t="n">
        <f aca="false">'12. VCU Volume'!K42</f>
        <v>219448</v>
      </c>
      <c r="O33" s="212" t="n">
        <f aca="false">'12. VCU Volume'!L42</f>
        <v>265664</v>
      </c>
      <c r="P33" s="212" t="n">
        <f aca="false">'12. VCU Volume'!M42</f>
        <v>311880</v>
      </c>
      <c r="Q33" s="212" t="n">
        <f aca="false">'12. VCU Volume'!N42</f>
        <v>311880</v>
      </c>
      <c r="R33" s="212" t="n">
        <f aca="false">'12. VCU Volume'!O42</f>
        <v>311880</v>
      </c>
      <c r="S33" s="212" t="n">
        <f aca="false">'12. VCU Volume'!P42</f>
        <v>311880</v>
      </c>
      <c r="T33" s="212" t="n">
        <f aca="false">'12. VCU Volume'!Q42</f>
        <v>311880</v>
      </c>
      <c r="U33" s="212" t="n">
        <f aca="false">'12. VCU Volume'!R42</f>
        <v>311880</v>
      </c>
      <c r="V33" s="212" t="n">
        <f aca="false">'12. VCU Volume'!S42</f>
        <v>311880</v>
      </c>
      <c r="W33" s="212" t="n">
        <f aca="false">'12. VCU Volume'!T42</f>
        <v>311880</v>
      </c>
      <c r="X33" s="212" t="n">
        <f aca="false">'12. VCU Volume'!U42</f>
        <v>311880</v>
      </c>
      <c r="Y33" s="212" t="n">
        <f aca="false">'12. VCU Volume'!V42</f>
        <v>311880</v>
      </c>
      <c r="Z33" s="212" t="n">
        <f aca="false">'12. VCU Volume'!W42</f>
        <v>311880</v>
      </c>
      <c r="AA33" s="212" t="n">
        <f aca="false">'12. VCU Volume'!X42</f>
        <v>311880</v>
      </c>
      <c r="AB33" s="212" t="n">
        <f aca="false">'12. VCU Volume'!Y42</f>
        <v>311880</v>
      </c>
      <c r="AC33" s="212" t="n">
        <f aca="false">'12. VCU Volume'!Z42</f>
        <v>311880</v>
      </c>
      <c r="AD33" s="212" t="n">
        <f aca="false">'12. VCU Volume'!AA42</f>
        <v>311880</v>
      </c>
      <c r="AE33" s="212" t="n">
        <f aca="false">'12. VCU Volume'!AB42</f>
        <v>311880</v>
      </c>
      <c r="AF33" s="212" t="n">
        <f aca="false">'12. VCU Volume'!AC42</f>
        <v>311880</v>
      </c>
      <c r="AG33" s="212" t="n">
        <f aca="false">'12. VCU Volume'!AD42</f>
        <v>311880</v>
      </c>
      <c r="AH33" s="212" t="n">
        <f aca="false">'12. VCU Volume'!AE42</f>
        <v>311880</v>
      </c>
      <c r="AI33" s="212" t="n">
        <f aca="false">'12. VCU Volume'!AF42</f>
        <v>311880</v>
      </c>
      <c r="AJ33" s="212" t="n">
        <f aca="false">'12. VCU Volume'!AG42</f>
        <v>311880</v>
      </c>
      <c r="AK33" s="212" t="n">
        <f aca="false">'12. VCU Volume'!AH42</f>
        <v>311880</v>
      </c>
      <c r="AL33" s="212" t="n">
        <f aca="false">'12. VCU Volume'!AI42</f>
        <v>311880</v>
      </c>
    </row>
    <row r="34" s="1" customFormat="true" ht="15" hidden="false" customHeight="false" outlineLevel="0" collapsed="false">
      <c r="B34" s="8" t="n">
        <v>3</v>
      </c>
      <c r="C34" s="11" t="str">
        <f aca="false">'1. Project Summary'!C34</f>
        <v>Scenario 3: Maximum Mitigation Potential</v>
      </c>
      <c r="D34" s="25" t="s">
        <v>131</v>
      </c>
      <c r="E34" s="258" t="n">
        <f aca="false">SUM(H34:AL34)</f>
        <v>9753568</v>
      </c>
      <c r="F34" s="96"/>
      <c r="H34" s="212" t="n">
        <f aca="false">'12. VCU Volume'!E43</f>
        <v>0</v>
      </c>
      <c r="I34" s="212" t="n">
        <f aca="false">'12. VCU Volume'!F43</f>
        <v>2448</v>
      </c>
      <c r="J34" s="212" t="n">
        <f aca="false">'12. VCU Volume'!G43</f>
        <v>52676</v>
      </c>
      <c r="K34" s="212" t="n">
        <f aca="false">'12. VCU Volume'!H43</f>
        <v>102908</v>
      </c>
      <c r="L34" s="212" t="n">
        <f aca="false">'12. VCU Volume'!I43</f>
        <v>153140</v>
      </c>
      <c r="M34" s="212" t="n">
        <f aca="false">'12. VCU Volume'!J43</f>
        <v>208864</v>
      </c>
      <c r="N34" s="212" t="n">
        <f aca="false">'12. VCU Volume'!K43</f>
        <v>264584</v>
      </c>
      <c r="O34" s="212" t="n">
        <f aca="false">'12. VCU Volume'!L43</f>
        <v>320304</v>
      </c>
      <c r="P34" s="212" t="n">
        <f aca="false">'12. VCU Volume'!M43</f>
        <v>376028</v>
      </c>
      <c r="Q34" s="212" t="n">
        <f aca="false">'12. VCU Volume'!N43</f>
        <v>376028</v>
      </c>
      <c r="R34" s="212" t="n">
        <f aca="false">'12. VCU Volume'!O43</f>
        <v>376028</v>
      </c>
      <c r="S34" s="212" t="n">
        <f aca="false">'12. VCU Volume'!P43</f>
        <v>376028</v>
      </c>
      <c r="T34" s="212" t="n">
        <f aca="false">'12. VCU Volume'!Q43</f>
        <v>376028</v>
      </c>
      <c r="U34" s="212" t="n">
        <f aca="false">'12. VCU Volume'!R43</f>
        <v>376028</v>
      </c>
      <c r="V34" s="212" t="n">
        <f aca="false">'12. VCU Volume'!S43</f>
        <v>376028</v>
      </c>
      <c r="W34" s="212" t="n">
        <f aca="false">'12. VCU Volume'!T43</f>
        <v>376028</v>
      </c>
      <c r="X34" s="212" t="n">
        <f aca="false">'12. VCU Volume'!U43</f>
        <v>376028</v>
      </c>
      <c r="Y34" s="212" t="n">
        <f aca="false">'12. VCU Volume'!V43</f>
        <v>376028</v>
      </c>
      <c r="Z34" s="212" t="n">
        <f aca="false">'12. VCU Volume'!W43</f>
        <v>376028</v>
      </c>
      <c r="AA34" s="212" t="n">
        <f aca="false">'12. VCU Volume'!X43</f>
        <v>376028</v>
      </c>
      <c r="AB34" s="212" t="n">
        <f aca="false">'12. VCU Volume'!Y43</f>
        <v>376028</v>
      </c>
      <c r="AC34" s="212" t="n">
        <f aca="false">'12. VCU Volume'!Z43</f>
        <v>376028</v>
      </c>
      <c r="AD34" s="212" t="n">
        <f aca="false">'12. VCU Volume'!AA43</f>
        <v>376028</v>
      </c>
      <c r="AE34" s="212" t="n">
        <f aca="false">'12. VCU Volume'!AB43</f>
        <v>376028</v>
      </c>
      <c r="AF34" s="212" t="n">
        <f aca="false">'12. VCU Volume'!AC43</f>
        <v>376028</v>
      </c>
      <c r="AG34" s="212" t="n">
        <f aca="false">'12. VCU Volume'!AD43</f>
        <v>376028</v>
      </c>
      <c r="AH34" s="212" t="n">
        <f aca="false">'12. VCU Volume'!AE43</f>
        <v>376028</v>
      </c>
      <c r="AI34" s="212" t="n">
        <f aca="false">'12. VCU Volume'!AF43</f>
        <v>376028</v>
      </c>
      <c r="AJ34" s="212" t="n">
        <f aca="false">'12. VCU Volume'!AG43</f>
        <v>376028</v>
      </c>
      <c r="AK34" s="212" t="n">
        <f aca="false">'12. VCU Volume'!AH43</f>
        <v>376028</v>
      </c>
      <c r="AL34" s="212" t="n">
        <f aca="false">'12. VCU Volume'!AI43</f>
        <v>376028</v>
      </c>
    </row>
    <row r="35" s="1" customFormat="true" ht="15" hidden="false" customHeight="false" outlineLevel="0" collapsed="false">
      <c r="B35" s="8"/>
      <c r="C35" s="19"/>
      <c r="D35" s="25"/>
      <c r="E35" s="27"/>
      <c r="H35" s="259"/>
      <c r="I35" s="259"/>
      <c r="J35" s="259"/>
      <c r="K35" s="259"/>
      <c r="L35" s="259"/>
      <c r="M35" s="259"/>
      <c r="N35" s="259"/>
      <c r="O35" s="259"/>
      <c r="P35" s="259"/>
      <c r="Q35" s="259"/>
      <c r="R35" s="259"/>
      <c r="S35" s="259"/>
      <c r="T35" s="259"/>
      <c r="U35" s="259"/>
      <c r="V35" s="259"/>
      <c r="W35" s="259"/>
      <c r="X35" s="259"/>
      <c r="Y35" s="259"/>
      <c r="Z35" s="259"/>
      <c r="AA35" s="259"/>
      <c r="AB35" s="259"/>
      <c r="AC35" s="259"/>
      <c r="AD35" s="259"/>
      <c r="AE35" s="259"/>
      <c r="AF35" s="259"/>
      <c r="AG35" s="259"/>
      <c r="AH35" s="259"/>
      <c r="AI35" s="259"/>
      <c r="AJ35" s="259"/>
      <c r="AK35" s="259"/>
      <c r="AL35" s="259"/>
    </row>
    <row r="36" s="8" customFormat="true" ht="15" hidden="false" customHeight="false" outlineLevel="0" collapsed="false">
      <c r="C36" s="8" t="s">
        <v>517</v>
      </c>
      <c r="D36" s="25" t="s">
        <v>131</v>
      </c>
      <c r="E36" s="260" t="n">
        <f aca="false">SUM(H36:AL36)</f>
        <v>8089676</v>
      </c>
      <c r="H36" s="260" t="n">
        <f aca="false">CHOOSE($D$29,H32,H33,H34)</f>
        <v>0</v>
      </c>
      <c r="I36" s="260" t="n">
        <f aca="false">CHOOSE($D$29,I32,I33,I34)</f>
        <v>2028</v>
      </c>
      <c r="J36" s="260" t="n">
        <f aca="false">CHOOSE($D$29,J32,J33,J34)</f>
        <v>43692</v>
      </c>
      <c r="K36" s="260" t="n">
        <f aca="false">CHOOSE($D$29,K32,K33,K34)</f>
        <v>85356</v>
      </c>
      <c r="L36" s="260" t="n">
        <f aca="false">CHOOSE($D$29,L32,L33,L34)</f>
        <v>127016</v>
      </c>
      <c r="M36" s="260" t="n">
        <f aca="false">CHOOSE($D$29,M32,M33,M34)</f>
        <v>173232</v>
      </c>
      <c r="N36" s="260" t="n">
        <f aca="false">CHOOSE($D$29,N32,N33,N34)</f>
        <v>219448</v>
      </c>
      <c r="O36" s="260" t="n">
        <f aca="false">CHOOSE($D$29,O32,O33,O34)</f>
        <v>265664</v>
      </c>
      <c r="P36" s="260" t="n">
        <f aca="false">CHOOSE($D$29,P32,P33,P34)</f>
        <v>311880</v>
      </c>
      <c r="Q36" s="260" t="n">
        <f aca="false">CHOOSE($D$29,Q32,Q33,Q34)</f>
        <v>311880</v>
      </c>
      <c r="R36" s="260" t="n">
        <f aca="false">CHOOSE($D$29,R32,R33,R34)</f>
        <v>311880</v>
      </c>
      <c r="S36" s="260" t="n">
        <f aca="false">CHOOSE($D$29,S32,S33,S34)</f>
        <v>311880</v>
      </c>
      <c r="T36" s="260" t="n">
        <f aca="false">CHOOSE($D$29,T32,T33,T34)</f>
        <v>311880</v>
      </c>
      <c r="U36" s="260" t="n">
        <f aca="false">CHOOSE($D$29,U32,U33,U34)</f>
        <v>311880</v>
      </c>
      <c r="V36" s="260" t="n">
        <f aca="false">CHOOSE($D$29,V32,V33,V34)</f>
        <v>311880</v>
      </c>
      <c r="W36" s="260" t="n">
        <f aca="false">CHOOSE($D$29,W32,W33,W34)</f>
        <v>311880</v>
      </c>
      <c r="X36" s="260" t="n">
        <f aca="false">CHOOSE($D$29,X32,X33,X34)</f>
        <v>311880</v>
      </c>
      <c r="Y36" s="260" t="n">
        <f aca="false">CHOOSE($D$29,Y32,Y33,Y34)</f>
        <v>311880</v>
      </c>
      <c r="Z36" s="260" t="n">
        <f aca="false">CHOOSE($D$29,Z32,Z33,Z34)</f>
        <v>311880</v>
      </c>
      <c r="AA36" s="260" t="n">
        <f aca="false">CHOOSE($D$29,AA32,AA33,AA34)</f>
        <v>311880</v>
      </c>
      <c r="AB36" s="260" t="n">
        <f aca="false">CHOOSE($D$29,AB32,AB33,AB34)</f>
        <v>311880</v>
      </c>
      <c r="AC36" s="260" t="n">
        <f aca="false">CHOOSE($D$29,AC32,AC33,AC34)</f>
        <v>311880</v>
      </c>
      <c r="AD36" s="260" t="n">
        <f aca="false">CHOOSE($D$29,AD32,AD33,AD34)</f>
        <v>311880</v>
      </c>
      <c r="AE36" s="260" t="n">
        <f aca="false">CHOOSE($D$29,AE32,AE33,AE34)</f>
        <v>311880</v>
      </c>
      <c r="AF36" s="260" t="n">
        <f aca="false">CHOOSE($D$29,AF32,AF33,AF34)</f>
        <v>311880</v>
      </c>
      <c r="AG36" s="260" t="n">
        <f aca="false">CHOOSE($D$29,AG32,AG33,AG34)</f>
        <v>311880</v>
      </c>
      <c r="AH36" s="260" t="n">
        <f aca="false">CHOOSE($D$29,AH32,AH33,AH34)</f>
        <v>311880</v>
      </c>
      <c r="AI36" s="260" t="n">
        <f aca="false">CHOOSE($D$29,AI32,AI33,AI34)</f>
        <v>311880</v>
      </c>
      <c r="AJ36" s="260" t="n">
        <f aca="false">CHOOSE($D$29,AJ32,AJ33,AJ34)</f>
        <v>311880</v>
      </c>
      <c r="AK36" s="260" t="n">
        <f aca="false">CHOOSE($D$29,AK32,AK33,AK34)</f>
        <v>311880</v>
      </c>
      <c r="AL36" s="260" t="n">
        <f aca="false">CHOOSE($D$29,AL32,AL33,AL34)</f>
        <v>311880</v>
      </c>
    </row>
    <row r="37" s="1" customFormat="true" ht="15" hidden="false" customHeight="false" outlineLevel="0" collapsed="false">
      <c r="C37" s="11"/>
      <c r="E37" s="261"/>
      <c r="H37" s="259"/>
      <c r="I37" s="259"/>
      <c r="J37" s="259"/>
      <c r="K37" s="259"/>
      <c r="L37" s="259"/>
      <c r="M37" s="259"/>
      <c r="N37" s="259"/>
      <c r="O37" s="259"/>
      <c r="P37" s="259"/>
      <c r="Q37" s="259"/>
      <c r="R37" s="259"/>
      <c r="S37" s="259"/>
      <c r="T37" s="259"/>
      <c r="U37" s="259"/>
      <c r="V37" s="259"/>
      <c r="W37" s="259"/>
      <c r="X37" s="259"/>
      <c r="Y37" s="259"/>
      <c r="Z37" s="259"/>
      <c r="AA37" s="259"/>
      <c r="AB37" s="259"/>
      <c r="AC37" s="259"/>
      <c r="AD37" s="259"/>
      <c r="AE37" s="259"/>
      <c r="AF37" s="259"/>
      <c r="AG37" s="259"/>
      <c r="AH37" s="259"/>
      <c r="AI37" s="259"/>
      <c r="AJ37" s="259"/>
      <c r="AK37" s="259"/>
      <c r="AL37" s="259"/>
    </row>
    <row r="38" customFormat="false" ht="15" hidden="false" customHeight="false" outlineLevel="0" collapsed="false">
      <c r="C38" s="1" t="s">
        <v>518</v>
      </c>
      <c r="D38" s="25" t="s">
        <v>131</v>
      </c>
      <c r="E38" s="258"/>
      <c r="F38" s="1"/>
      <c r="G38" s="1"/>
      <c r="H38" s="100" t="n">
        <f aca="false">SUM($H$36:H$36)</f>
        <v>0</v>
      </c>
      <c r="I38" s="100" t="n">
        <f aca="false">SUM($H$36:I$36)</f>
        <v>2028</v>
      </c>
      <c r="J38" s="100" t="n">
        <f aca="false">SUM($H$36:J$36)</f>
        <v>45720</v>
      </c>
      <c r="K38" s="100" t="n">
        <f aca="false">SUM($H$36:K$36)</f>
        <v>131076</v>
      </c>
      <c r="L38" s="100" t="n">
        <f aca="false">SUM($H$36:L$36)</f>
        <v>258092</v>
      </c>
      <c r="M38" s="100" t="n">
        <f aca="false">SUM($H$36:M$36)</f>
        <v>431324</v>
      </c>
      <c r="N38" s="100" t="n">
        <f aca="false">SUM($H$36:N$36)</f>
        <v>650772</v>
      </c>
      <c r="O38" s="100" t="n">
        <f aca="false">SUM($H$36:O$36)</f>
        <v>916436</v>
      </c>
      <c r="P38" s="100" t="n">
        <f aca="false">SUM($H$36:P$36)</f>
        <v>1228316</v>
      </c>
      <c r="Q38" s="100" t="n">
        <f aca="false">SUM($H$36:Q$36)</f>
        <v>1540196</v>
      </c>
      <c r="R38" s="100" t="n">
        <f aca="false">SUM($H$36:R$36)</f>
        <v>1852076</v>
      </c>
      <c r="S38" s="100" t="n">
        <f aca="false">SUM($H$36:S$36)</f>
        <v>2163956</v>
      </c>
      <c r="T38" s="100" t="n">
        <f aca="false">SUM($H$36:T$36)</f>
        <v>2475836</v>
      </c>
      <c r="U38" s="100" t="n">
        <f aca="false">SUM($H$36:U$36)</f>
        <v>2787716</v>
      </c>
      <c r="V38" s="100" t="n">
        <f aca="false">SUM($H$36:V$36)</f>
        <v>3099596</v>
      </c>
      <c r="W38" s="100" t="n">
        <f aca="false">SUM($H$36:W$36)</f>
        <v>3411476</v>
      </c>
      <c r="X38" s="100" t="n">
        <f aca="false">SUM($H$36:X$36)</f>
        <v>3723356</v>
      </c>
      <c r="Y38" s="100" t="n">
        <f aca="false">SUM($H$36:Y$36)</f>
        <v>4035236</v>
      </c>
      <c r="Z38" s="100" t="n">
        <f aca="false">SUM($H$36:Z$36)</f>
        <v>4347116</v>
      </c>
      <c r="AA38" s="100" t="n">
        <f aca="false">SUM($H$36:AA$36)</f>
        <v>4658996</v>
      </c>
      <c r="AB38" s="100" t="n">
        <f aca="false">SUM($H$36:AB$36)</f>
        <v>4970876</v>
      </c>
      <c r="AC38" s="100" t="n">
        <f aca="false">SUM($H$36:AC$36)</f>
        <v>5282756</v>
      </c>
      <c r="AD38" s="100" t="n">
        <f aca="false">SUM($H$36:AD$36)</f>
        <v>5594636</v>
      </c>
      <c r="AE38" s="100" t="n">
        <f aca="false">SUM($H$36:AE$36)</f>
        <v>5906516</v>
      </c>
      <c r="AF38" s="100" t="n">
        <f aca="false">SUM($H$36:AF$36)</f>
        <v>6218396</v>
      </c>
      <c r="AG38" s="100" t="n">
        <f aca="false">SUM($H$36:AG$36)</f>
        <v>6530276</v>
      </c>
      <c r="AH38" s="100" t="n">
        <f aca="false">SUM($H$36:AH$36)</f>
        <v>6842156</v>
      </c>
      <c r="AI38" s="100" t="n">
        <f aca="false">SUM($H$36:AI$36)</f>
        <v>7154036</v>
      </c>
      <c r="AJ38" s="100" t="n">
        <f aca="false">SUM($H$36:AJ$36)</f>
        <v>7465916</v>
      </c>
      <c r="AK38" s="100" t="n">
        <f aca="false">SUM($H$36:AK$36)</f>
        <v>7777796</v>
      </c>
      <c r="AL38" s="100" t="n">
        <f aca="false">SUM($H$36:AL$36)</f>
        <v>8089676</v>
      </c>
    </row>
    <row r="39" customFormat="false" ht="15" hidden="false" customHeight="false" outlineLevel="0" collapsed="false">
      <c r="C39" s="133" t="s">
        <v>519</v>
      </c>
      <c r="D39" s="116" t="s">
        <v>131</v>
      </c>
      <c r="E39" s="262" t="n">
        <f aca="false">SUM(H39:AL39)</f>
        <v>8089676</v>
      </c>
      <c r="F39" s="133"/>
      <c r="G39" s="133"/>
      <c r="H39" s="113" t="n">
        <f aca="false">IF(H$11=0,0,H$38-SUM(#REF!))</f>
        <v>0</v>
      </c>
      <c r="I39" s="113" t="n">
        <f aca="false">IF(I$11=0,0,I$38-SUM($H39:H$39))</f>
        <v>0</v>
      </c>
      <c r="J39" s="113" t="n">
        <f aca="false">IF(J$11=0,0,J$38-SUM($H39:I$39))</f>
        <v>45720</v>
      </c>
      <c r="K39" s="113" t="n">
        <f aca="false">IF(K$11=0,0,K$38-SUM($H39:J$39))</f>
        <v>85356</v>
      </c>
      <c r="L39" s="113" t="n">
        <f aca="false">IF(L$11=0,0,L$38-SUM($H39:K$39))</f>
        <v>127016</v>
      </c>
      <c r="M39" s="113" t="n">
        <f aca="false">IF(M$11=0,0,M$38-SUM($H39:L$39))</f>
        <v>173232</v>
      </c>
      <c r="N39" s="113" t="n">
        <f aca="false">IF(N$11=0,0,N$38-SUM($H39:M$39))</f>
        <v>219448</v>
      </c>
      <c r="O39" s="113" t="n">
        <f aca="false">IF(O$11=0,0,O$38-SUM($H39:N$39))</f>
        <v>265664</v>
      </c>
      <c r="P39" s="113" t="n">
        <f aca="false">IF(P$11=0,0,P$38-SUM($H39:O$39))</f>
        <v>311880</v>
      </c>
      <c r="Q39" s="113" t="n">
        <f aca="false">IF(Q$11=0,0,Q$38-SUM($H39:P$39))</f>
        <v>311880</v>
      </c>
      <c r="R39" s="113" t="n">
        <f aca="false">IF(R$11=0,0,R$38-SUM($H39:Q$39))</f>
        <v>311880</v>
      </c>
      <c r="S39" s="113" t="n">
        <f aca="false">IF(S$11=0,0,S$38-SUM($H39:R$39))</f>
        <v>311880</v>
      </c>
      <c r="T39" s="113" t="n">
        <f aca="false">IF(T$11=0,0,T$38-SUM($H39:S$39))</f>
        <v>311880</v>
      </c>
      <c r="U39" s="113" t="n">
        <f aca="false">IF(U$11=0,0,U$38-SUM($H39:T$39))</f>
        <v>311880</v>
      </c>
      <c r="V39" s="113" t="n">
        <f aca="false">IF(V$11=0,0,V$38-SUM($H39:U$39))</f>
        <v>311880</v>
      </c>
      <c r="W39" s="113" t="n">
        <f aca="false">IF(W$11=0,0,W$38-SUM($H39:V$39))</f>
        <v>311880</v>
      </c>
      <c r="X39" s="113" t="n">
        <f aca="false">IF(X$11=0,0,X$38-SUM($H39:W$39))</f>
        <v>311880</v>
      </c>
      <c r="Y39" s="113" t="n">
        <f aca="false">IF(Y$11=0,0,Y$38-SUM($H39:X$39))</f>
        <v>311880</v>
      </c>
      <c r="Z39" s="113" t="n">
        <f aca="false">IF(Z$11=0,0,Z$38-SUM($H39:Y$39))</f>
        <v>311880</v>
      </c>
      <c r="AA39" s="113" t="n">
        <f aca="false">IF(AA$11=0,0,AA$38-SUM($H39:Z$39))</f>
        <v>311880</v>
      </c>
      <c r="AB39" s="113" t="n">
        <f aca="false">IF(AB$11=0,0,AB$38-SUM($H39:AA$39))</f>
        <v>311880</v>
      </c>
      <c r="AC39" s="113" t="n">
        <f aca="false">IF(AC$11=0,0,AC$38-SUM($H39:AB$39))</f>
        <v>311880</v>
      </c>
      <c r="AD39" s="113" t="n">
        <f aca="false">IF(AD$11=0,0,AD$38-SUM($H39:AC$39))</f>
        <v>311880</v>
      </c>
      <c r="AE39" s="113" t="n">
        <f aca="false">IF(AE$11=0,0,AE$38-SUM($H39:AD$39))</f>
        <v>311880</v>
      </c>
      <c r="AF39" s="113" t="n">
        <f aca="false">IF(AF$11=0,0,AF$38-SUM($H39:AE$39))</f>
        <v>311880</v>
      </c>
      <c r="AG39" s="113" t="n">
        <f aca="false">IF(AG$11=0,0,AG$38-SUM($H39:AF$39))</f>
        <v>311880</v>
      </c>
      <c r="AH39" s="113" t="n">
        <f aca="false">IF(AH$11=0,0,AH$38-SUM($H39:AG$39))</f>
        <v>311880</v>
      </c>
      <c r="AI39" s="113" t="n">
        <f aca="false">IF(AI$11=0,0,AI$38-SUM($H39:AH$39))</f>
        <v>311880</v>
      </c>
      <c r="AJ39" s="113" t="n">
        <f aca="false">IF(AJ$11=0,0,AJ$38-SUM($H39:AI$39))</f>
        <v>311880</v>
      </c>
      <c r="AK39" s="113" t="n">
        <f aca="false">IF(AK$11=0,0,AK$38-SUM($H39:AJ$39))</f>
        <v>311880</v>
      </c>
      <c r="AL39" s="113" t="n">
        <f aca="false">IF(AL$11=0,0,AL$38-SUM($H39:AK$39))</f>
        <v>311880</v>
      </c>
    </row>
    <row r="40" customFormat="false" ht="15" hidden="false" customHeight="false" outlineLevel="0" collapsed="false">
      <c r="C40" s="25" t="s">
        <v>520</v>
      </c>
      <c r="D40" s="25" t="s">
        <v>131</v>
      </c>
      <c r="E40" s="258" t="n">
        <f aca="false">SUM(J40:AL40)</f>
        <v>1000000</v>
      </c>
      <c r="F40" s="1"/>
      <c r="G40" s="1"/>
      <c r="J40" s="55" t="n">
        <f aca="true">MIN(OFFSET(J$54,$E$10,0),J39)</f>
        <v>30000</v>
      </c>
      <c r="K40" s="55" t="n">
        <f aca="true">MIN(OFFSET(K$54,$E$10,0),K39)</f>
        <v>75000</v>
      </c>
      <c r="L40" s="55" t="n">
        <f aca="true">MIN(OFFSET(L$54,$E$10,0),L39)</f>
        <v>112000</v>
      </c>
      <c r="M40" s="55" t="n">
        <f aca="true">MIN(OFFSET(M$54,$E$10,0),M39)</f>
        <v>140000</v>
      </c>
      <c r="N40" s="55" t="n">
        <f aca="true">MIN(OFFSET(N$54,$E$10,0),N39)</f>
        <v>142000</v>
      </c>
      <c r="O40" s="55" t="n">
        <f aca="true">MIN(OFFSET(O$54,$E$10,0),O39)</f>
        <v>200000</v>
      </c>
      <c r="P40" s="55" t="n">
        <f aca="true">MIN(OFFSET(P$54,$E$10,0),P39)</f>
        <v>301000</v>
      </c>
      <c r="Q40" s="263" t="n">
        <f aca="false">IF(Q38&gt;1000000,1000000-SUM($H40:P40),Q39)*Q11</f>
        <v>0</v>
      </c>
      <c r="R40" s="263" t="n">
        <f aca="false">IF(R38&gt;1000000,1000000-SUM($H40:Q40),R39)*R11</f>
        <v>0</v>
      </c>
      <c r="S40" s="263" t="n">
        <f aca="false">IF(S38&gt;1000000,1000000-SUM($H40:R40),S39)*S11</f>
        <v>0</v>
      </c>
      <c r="T40" s="263" t="n">
        <f aca="false">IF(T38&gt;1000000,1000000-SUM($H40:S40),T39)*T11</f>
        <v>0</v>
      </c>
      <c r="U40" s="100" t="n">
        <f aca="false">IF(U38&lt;1000000,U39,0)</f>
        <v>0</v>
      </c>
      <c r="V40" s="100" t="n">
        <f aca="false">IF(V38&lt;1000000,V39,0)</f>
        <v>0</v>
      </c>
      <c r="W40" s="100"/>
      <c r="X40" s="100"/>
      <c r="Y40" s="100"/>
      <c r="Z40" s="100"/>
      <c r="AA40" s="100"/>
      <c r="AB40" s="100"/>
      <c r="AC40" s="100"/>
      <c r="AD40" s="100"/>
      <c r="AE40" s="100"/>
      <c r="AF40" s="100"/>
      <c r="AG40" s="100"/>
      <c r="AH40" s="100"/>
      <c r="AI40" s="100"/>
      <c r="AJ40" s="100"/>
      <c r="AK40" s="100"/>
      <c r="AL40" s="100"/>
    </row>
    <row r="41" customFormat="false" ht="15" hidden="false" customHeight="false" outlineLevel="0" collapsed="false">
      <c r="C41" s="25" t="s">
        <v>521</v>
      </c>
      <c r="D41" s="25" t="s">
        <v>131</v>
      </c>
      <c r="E41" s="258" t="n">
        <f aca="false">SUM(H41:AL41)</f>
        <v>7089676</v>
      </c>
      <c r="F41" s="1"/>
      <c r="G41" s="236"/>
      <c r="H41" s="236" t="n">
        <f aca="false">H39-H40</f>
        <v>0</v>
      </c>
      <c r="I41" s="236" t="n">
        <f aca="false">I39-I40</f>
        <v>0</v>
      </c>
      <c r="J41" s="236" t="n">
        <f aca="false">J39-J40</f>
        <v>15720</v>
      </c>
      <c r="K41" s="236" t="n">
        <f aca="false">K39-K40</f>
        <v>10356</v>
      </c>
      <c r="L41" s="236" t="n">
        <f aca="false">L39-L40</f>
        <v>15016</v>
      </c>
      <c r="M41" s="236" t="n">
        <f aca="false">M39-M40</f>
        <v>33232</v>
      </c>
      <c r="N41" s="236" t="n">
        <f aca="false">N39-N40</f>
        <v>77448</v>
      </c>
      <c r="O41" s="236" t="n">
        <f aca="false">O39-O40</f>
        <v>65664</v>
      </c>
      <c r="P41" s="236" t="n">
        <f aca="false">P39-P40</f>
        <v>10880</v>
      </c>
      <c r="Q41" s="236" t="n">
        <f aca="false">Q39-Q40</f>
        <v>311880</v>
      </c>
      <c r="R41" s="236" t="n">
        <f aca="false">R39-R40</f>
        <v>311880</v>
      </c>
      <c r="S41" s="236" t="n">
        <f aca="false">S39-S40</f>
        <v>311880</v>
      </c>
      <c r="T41" s="236" t="n">
        <f aca="false">T39-T40</f>
        <v>311880</v>
      </c>
      <c r="U41" s="236" t="n">
        <f aca="false">U39-U40</f>
        <v>311880</v>
      </c>
      <c r="V41" s="236" t="n">
        <f aca="false">V39-V40</f>
        <v>311880</v>
      </c>
      <c r="W41" s="236" t="n">
        <f aca="false">W39-W40</f>
        <v>311880</v>
      </c>
      <c r="X41" s="236" t="n">
        <f aca="false">X39-X40</f>
        <v>311880</v>
      </c>
      <c r="Y41" s="236" t="n">
        <f aca="false">Y39-Y40</f>
        <v>311880</v>
      </c>
      <c r="Z41" s="236" t="n">
        <f aca="false">Z39-Z40</f>
        <v>311880</v>
      </c>
      <c r="AA41" s="236" t="n">
        <f aca="false">AA39-AA40</f>
        <v>311880</v>
      </c>
      <c r="AB41" s="236" t="n">
        <f aca="false">AB39-AB40</f>
        <v>311880</v>
      </c>
      <c r="AC41" s="236" t="n">
        <f aca="false">AC39-AC40</f>
        <v>311880</v>
      </c>
      <c r="AD41" s="236" t="n">
        <f aca="false">AD39-AD40</f>
        <v>311880</v>
      </c>
      <c r="AE41" s="236" t="n">
        <f aca="false">AE39-AE40</f>
        <v>311880</v>
      </c>
      <c r="AF41" s="236" t="n">
        <f aca="false">AF39-AF40</f>
        <v>311880</v>
      </c>
      <c r="AG41" s="236" t="n">
        <f aca="false">AG39-AG40</f>
        <v>311880</v>
      </c>
      <c r="AH41" s="236" t="n">
        <f aca="false">AH39-AH40</f>
        <v>311880</v>
      </c>
      <c r="AI41" s="236" t="n">
        <f aca="false">AI39-AI40</f>
        <v>311880</v>
      </c>
      <c r="AJ41" s="236" t="n">
        <f aca="false">AJ39-AJ40</f>
        <v>311880</v>
      </c>
      <c r="AK41" s="236" t="n">
        <f aca="false">AK39-AK40</f>
        <v>311880</v>
      </c>
      <c r="AL41" s="236" t="n">
        <f aca="false">AL39-AL40</f>
        <v>311880</v>
      </c>
    </row>
    <row r="42" customFormat="false" ht="15" hidden="false" customHeight="false" outlineLevel="0" collapsed="false">
      <c r="H42" s="22"/>
      <c r="I42" s="22"/>
      <c r="J42" s="22"/>
      <c r="K42" s="22"/>
    </row>
    <row r="43" customFormat="false" ht="15" hidden="false" customHeight="false" outlineLevel="0" collapsed="false">
      <c r="C43" s="13" t="s">
        <v>522</v>
      </c>
      <c r="H43" s="22"/>
      <c r="I43" s="22"/>
      <c r="J43" s="22"/>
      <c r="K43" s="22"/>
    </row>
    <row r="44" customFormat="false" ht="15" hidden="false" customHeight="false" outlineLevel="0" collapsed="false">
      <c r="C44" s="1" t="s">
        <v>523</v>
      </c>
      <c r="D44" s="25" t="s">
        <v>112</v>
      </c>
      <c r="E44" s="258" t="n">
        <f aca="false">SUM(H44:AL44)</f>
        <v>10000000</v>
      </c>
      <c r="H44" s="22" t="n">
        <f aca="false">H40*$E$21</f>
        <v>0</v>
      </c>
      <c r="I44" s="22" t="n">
        <f aca="false">I40*$E$21</f>
        <v>0</v>
      </c>
      <c r="J44" s="22" t="n">
        <f aca="false">J40*$E$21</f>
        <v>300000</v>
      </c>
      <c r="K44" s="22" t="n">
        <f aca="false">K40*$E$21</f>
        <v>750000</v>
      </c>
      <c r="L44" s="22" t="n">
        <f aca="false">L40*$E$21</f>
        <v>1120000</v>
      </c>
      <c r="M44" s="22" t="n">
        <f aca="false">M40*$E$21</f>
        <v>1400000</v>
      </c>
      <c r="N44" s="22" t="n">
        <f aca="false">N40*$E$21</f>
        <v>1420000</v>
      </c>
      <c r="O44" s="22" t="n">
        <f aca="false">O40*$E$21</f>
        <v>2000000</v>
      </c>
      <c r="P44" s="22" t="n">
        <f aca="false">P40*$E$21</f>
        <v>3010000</v>
      </c>
      <c r="Q44" s="22" t="n">
        <f aca="false">Q40*$E$21</f>
        <v>0</v>
      </c>
      <c r="R44" s="22" t="n">
        <f aca="false">R40*$E$21</f>
        <v>0</v>
      </c>
      <c r="S44" s="22" t="n">
        <f aca="false">S40*$E$21</f>
        <v>0</v>
      </c>
      <c r="T44" s="22" t="n">
        <f aca="false">T40*$E$21</f>
        <v>0</v>
      </c>
      <c r="U44" s="22" t="n">
        <f aca="false">U40*$E$21</f>
        <v>0</v>
      </c>
      <c r="V44" s="22" t="n">
        <f aca="false">V40*$E$21</f>
        <v>0</v>
      </c>
      <c r="W44" s="22" t="n">
        <f aca="false">W40*$E$21</f>
        <v>0</v>
      </c>
      <c r="X44" s="22" t="n">
        <f aca="false">X40*$E$21</f>
        <v>0</v>
      </c>
      <c r="Y44" s="22" t="n">
        <f aca="false">Y40*$E$21</f>
        <v>0</v>
      </c>
      <c r="Z44" s="22" t="n">
        <f aca="false">Z40*$E$21</f>
        <v>0</v>
      </c>
      <c r="AA44" s="22" t="n">
        <f aca="false">AA40*$E$21</f>
        <v>0</v>
      </c>
      <c r="AB44" s="22" t="n">
        <f aca="false">AB40*$E$21</f>
        <v>0</v>
      </c>
      <c r="AC44" s="22" t="n">
        <f aca="false">AC40*$E$21</f>
        <v>0</v>
      </c>
      <c r="AD44" s="22" t="n">
        <f aca="false">AD40*$E$21</f>
        <v>0</v>
      </c>
      <c r="AE44" s="22" t="n">
        <f aca="false">AE40*$E$21</f>
        <v>0</v>
      </c>
      <c r="AF44" s="22" t="n">
        <f aca="false">AF40*$E$21</f>
        <v>0</v>
      </c>
      <c r="AG44" s="22" t="n">
        <f aca="false">AG40*$E$21</f>
        <v>0</v>
      </c>
      <c r="AH44" s="22" t="n">
        <f aca="false">AH40*$E$21</f>
        <v>0</v>
      </c>
      <c r="AI44" s="22" t="n">
        <f aca="false">AI40*$E$21</f>
        <v>0</v>
      </c>
      <c r="AJ44" s="22" t="n">
        <f aca="false">AJ40*$E$21</f>
        <v>0</v>
      </c>
      <c r="AK44" s="22" t="n">
        <f aca="false">AK40*$E$21</f>
        <v>0</v>
      </c>
      <c r="AL44" s="22" t="n">
        <f aca="false">AL40*$E$21</f>
        <v>0</v>
      </c>
    </row>
    <row r="45" customFormat="false" ht="15" hidden="false" customHeight="false" outlineLevel="0" collapsed="false">
      <c r="C45" s="1" t="s">
        <v>524</v>
      </c>
      <c r="D45" s="25" t="s">
        <v>112</v>
      </c>
      <c r="E45" s="258" t="n">
        <f aca="false">SUM(H45:AL45)</f>
        <v>104307100.27669</v>
      </c>
      <c r="H45" s="22" t="n">
        <f aca="false">H41*H27</f>
        <v>0</v>
      </c>
      <c r="I45" s="22" t="n">
        <f aca="false">I41*I27</f>
        <v>0</v>
      </c>
      <c r="J45" s="22" t="n">
        <f aca="false">J41*J27</f>
        <v>163550.88</v>
      </c>
      <c r="K45" s="22" t="n">
        <f aca="false">K41*K27</f>
        <v>109898.70048</v>
      </c>
      <c r="L45" s="22" t="n">
        <f aca="false">L41*L27</f>
        <v>162538.0131456</v>
      </c>
      <c r="M45" s="22" t="n">
        <f aca="false">M41*M27</f>
        <v>366908.132519424</v>
      </c>
      <c r="N45" s="22" t="n">
        <f aca="false">N41*N27</f>
        <v>872190.270471583</v>
      </c>
      <c r="O45" s="22" t="n">
        <f aca="false">O41*O27</f>
        <v>754272.956805223</v>
      </c>
      <c r="P45" s="22" t="n">
        <f aca="false">P41*P27</f>
        <v>127476.540653047</v>
      </c>
      <c r="Q45" s="22" t="n">
        <f aca="false">Q41*Q27</f>
        <v>3727254.70301926</v>
      </c>
      <c r="R45" s="22" t="n">
        <f aca="false">R41*R27</f>
        <v>3801799.79707965</v>
      </c>
      <c r="S45" s="22" t="n">
        <f aca="false">S41*S27</f>
        <v>3877835.79302124</v>
      </c>
      <c r="T45" s="22" t="n">
        <f aca="false">T41*T27</f>
        <v>3955392.50888167</v>
      </c>
      <c r="U45" s="22" t="n">
        <f aca="false">U41*U27</f>
        <v>4034500.3590593</v>
      </c>
      <c r="V45" s="22" t="n">
        <f aca="false">V41*V27</f>
        <v>4115190.36624049</v>
      </c>
      <c r="W45" s="22" t="n">
        <f aca="false">W41*W27</f>
        <v>4197494.1735653</v>
      </c>
      <c r="X45" s="22" t="n">
        <f aca="false">X41*X27</f>
        <v>4281444.0570366</v>
      </c>
      <c r="Y45" s="22" t="n">
        <f aca="false">Y41*Y27</f>
        <v>4367072.93817733</v>
      </c>
      <c r="Z45" s="22" t="n">
        <f aca="false">Z41*Z27</f>
        <v>4454414.39694088</v>
      </c>
      <c r="AA45" s="22" t="n">
        <f aca="false">AA41*AA27</f>
        <v>4543502.6848797</v>
      </c>
      <c r="AB45" s="22" t="n">
        <f aca="false">AB41*AB27</f>
        <v>4634372.73857729</v>
      </c>
      <c r="AC45" s="22" t="n">
        <f aca="false">AC41*AC27</f>
        <v>4727060.19334884</v>
      </c>
      <c r="AD45" s="22" t="n">
        <f aca="false">AD41*AD27</f>
        <v>4821601.39721582</v>
      </c>
      <c r="AE45" s="22" t="n">
        <f aca="false">AE41*AE27</f>
        <v>4918033.42516013</v>
      </c>
      <c r="AF45" s="22" t="n">
        <f aca="false">AF41*AF27</f>
        <v>5016394.09366334</v>
      </c>
      <c r="AG45" s="22" t="n">
        <f aca="false">AG41*AG27</f>
        <v>5116721.9755366</v>
      </c>
      <c r="AH45" s="22" t="n">
        <f aca="false">AH41*AH27</f>
        <v>5219056.41504733</v>
      </c>
      <c r="AI45" s="22" t="n">
        <f aca="false">AI41*AI27</f>
        <v>5323437.54334828</v>
      </c>
      <c r="AJ45" s="22" t="n">
        <f aca="false">AJ41*AJ27</f>
        <v>5429906.29421525</v>
      </c>
      <c r="AK45" s="22" t="n">
        <f aca="false">AK41*AK27</f>
        <v>5538504.42009955</v>
      </c>
      <c r="AL45" s="22" t="n">
        <f aca="false">AL41*AL27</f>
        <v>5649274.50850154</v>
      </c>
    </row>
    <row r="46" customFormat="false" ht="15" hidden="false" customHeight="false" outlineLevel="0" collapsed="false">
      <c r="C46" s="68" t="s">
        <v>525</v>
      </c>
      <c r="D46" s="264" t="s">
        <v>112</v>
      </c>
      <c r="E46" s="265" t="n">
        <f aca="false">SUM(H46:AK46)</f>
        <v>108657825.768189</v>
      </c>
      <c r="F46" s="226"/>
      <c r="G46" s="226"/>
      <c r="H46" s="266" t="n">
        <f aca="false">SUM(H44:H45)</f>
        <v>0</v>
      </c>
      <c r="I46" s="266" t="n">
        <f aca="false">SUM(I44:I45)</f>
        <v>0</v>
      </c>
      <c r="J46" s="266" t="n">
        <f aca="false">SUM(J44:J45)</f>
        <v>463550.88</v>
      </c>
      <c r="K46" s="266" t="n">
        <f aca="false">SUM(K44:K45)</f>
        <v>859898.70048</v>
      </c>
      <c r="L46" s="266" t="n">
        <f aca="false">SUM(L44:L45)</f>
        <v>1282538.0131456</v>
      </c>
      <c r="M46" s="266" t="n">
        <f aca="false">SUM(M44:M45)</f>
        <v>1766908.13251942</v>
      </c>
      <c r="N46" s="266" t="n">
        <f aca="false">SUM(N44:N45)</f>
        <v>2292190.27047158</v>
      </c>
      <c r="O46" s="266" t="n">
        <f aca="false">SUM(O44:O45)</f>
        <v>2754272.95680522</v>
      </c>
      <c r="P46" s="266" t="n">
        <f aca="false">SUM(P44:P45)</f>
        <v>3137476.54065305</v>
      </c>
      <c r="Q46" s="266" t="n">
        <f aca="false">SUM(Q44:Q45)</f>
        <v>3727254.70301926</v>
      </c>
      <c r="R46" s="266" t="n">
        <f aca="false">SUM(R44:R45)</f>
        <v>3801799.79707965</v>
      </c>
      <c r="S46" s="266" t="n">
        <f aca="false">SUM(S44:S45)</f>
        <v>3877835.79302124</v>
      </c>
      <c r="T46" s="266" t="n">
        <f aca="false">SUM(T44:T45)</f>
        <v>3955392.50888167</v>
      </c>
      <c r="U46" s="266" t="n">
        <f aca="false">SUM(U44:U45)</f>
        <v>4034500.3590593</v>
      </c>
      <c r="V46" s="266" t="n">
        <f aca="false">SUM(V44:V45)</f>
        <v>4115190.36624049</v>
      </c>
      <c r="W46" s="266" t="n">
        <f aca="false">SUM(W44:W45)</f>
        <v>4197494.1735653</v>
      </c>
      <c r="X46" s="266" t="n">
        <f aca="false">SUM(X44:X45)</f>
        <v>4281444.0570366</v>
      </c>
      <c r="Y46" s="266" t="n">
        <f aca="false">SUM(Y44:Y45)</f>
        <v>4367072.93817733</v>
      </c>
      <c r="Z46" s="266" t="n">
        <f aca="false">SUM(Z44:Z45)</f>
        <v>4454414.39694088</v>
      </c>
      <c r="AA46" s="266" t="n">
        <f aca="false">SUM(AA44:AA45)</f>
        <v>4543502.6848797</v>
      </c>
      <c r="AB46" s="266" t="n">
        <f aca="false">SUM(AB44:AB45)</f>
        <v>4634372.73857729</v>
      </c>
      <c r="AC46" s="266" t="n">
        <f aca="false">SUM(AC44:AC45)</f>
        <v>4727060.19334884</v>
      </c>
      <c r="AD46" s="266" t="n">
        <f aca="false">SUM(AD44:AD45)</f>
        <v>4821601.39721582</v>
      </c>
      <c r="AE46" s="266" t="n">
        <f aca="false">SUM(AE44:AE45)</f>
        <v>4918033.42516013</v>
      </c>
      <c r="AF46" s="266" t="n">
        <f aca="false">SUM(AF44:AF45)</f>
        <v>5016394.09366334</v>
      </c>
      <c r="AG46" s="266" t="n">
        <f aca="false">SUM(AG44:AG45)</f>
        <v>5116721.9755366</v>
      </c>
      <c r="AH46" s="266" t="n">
        <f aca="false">SUM(AH44:AH45)</f>
        <v>5219056.41504733</v>
      </c>
      <c r="AI46" s="266" t="n">
        <f aca="false">SUM(AI44:AI45)</f>
        <v>5323437.54334828</v>
      </c>
      <c r="AJ46" s="266" t="n">
        <f aca="false">SUM(AJ44:AJ45)</f>
        <v>5429906.29421525</v>
      </c>
      <c r="AK46" s="266" t="n">
        <f aca="false">SUM(AK44:AK45)</f>
        <v>5538504.42009955</v>
      </c>
      <c r="AL46" s="266" t="n">
        <f aca="false">SUM(AL44:AL45)</f>
        <v>5649274.50850154</v>
      </c>
    </row>
    <row r="47" customFormat="false" ht="15" hidden="false" customHeight="false" outlineLevel="0" collapsed="false">
      <c r="H47" s="22"/>
      <c r="I47" s="22"/>
      <c r="J47" s="22"/>
      <c r="K47" s="22"/>
    </row>
    <row r="48" customFormat="false" ht="15" hidden="false" customHeight="false" outlineLevel="0" collapsed="false">
      <c r="C48" s="13" t="s">
        <v>526</v>
      </c>
      <c r="H48" s="22"/>
      <c r="I48" s="22"/>
      <c r="J48" s="22"/>
      <c r="K48" s="22"/>
    </row>
    <row r="49" customFormat="false" ht="15" hidden="false" customHeight="false" outlineLevel="0" collapsed="false">
      <c r="C49" s="0" t="s">
        <v>527</v>
      </c>
      <c r="D49" s="25" t="s">
        <v>112</v>
      </c>
      <c r="E49" s="258" t="n">
        <f aca="false">SUM(H49:AL49)</f>
        <v>8000000</v>
      </c>
      <c r="H49" s="267" t="n">
        <v>3000000</v>
      </c>
      <c r="I49" s="267" t="n">
        <v>2000000</v>
      </c>
      <c r="J49" s="267" t="n">
        <v>2500000</v>
      </c>
      <c r="K49" s="267" t="n">
        <v>500000</v>
      </c>
    </row>
    <row r="50" customFormat="false" ht="15" hidden="false" customHeight="false" outlineLevel="0" collapsed="false">
      <c r="C50" s="56" t="s">
        <v>528</v>
      </c>
      <c r="D50" s="25" t="s">
        <v>112</v>
      </c>
      <c r="E50" s="262" t="n">
        <f aca="false">SUM(H50:AL50)</f>
        <v>104307100.27669</v>
      </c>
      <c r="F50" s="56"/>
      <c r="G50" s="56"/>
      <c r="H50" s="62" t="n">
        <f aca="false">H45</f>
        <v>0</v>
      </c>
      <c r="I50" s="62" t="n">
        <f aca="false">I45</f>
        <v>0</v>
      </c>
      <c r="J50" s="62" t="n">
        <f aca="false">J45</f>
        <v>163550.88</v>
      </c>
      <c r="K50" s="62" t="n">
        <f aca="false">K45</f>
        <v>109898.70048</v>
      </c>
      <c r="L50" s="62" t="n">
        <f aca="false">L45</f>
        <v>162538.0131456</v>
      </c>
      <c r="M50" s="62" t="n">
        <f aca="false">M45</f>
        <v>366908.132519424</v>
      </c>
      <c r="N50" s="62" t="n">
        <f aca="false">N45</f>
        <v>872190.270471583</v>
      </c>
      <c r="O50" s="62" t="n">
        <f aca="false">O45</f>
        <v>754272.956805223</v>
      </c>
      <c r="P50" s="62" t="n">
        <f aca="false">P45</f>
        <v>127476.540653047</v>
      </c>
      <c r="Q50" s="62" t="n">
        <f aca="false">Q45</f>
        <v>3727254.70301926</v>
      </c>
      <c r="R50" s="62" t="n">
        <f aca="false">R45</f>
        <v>3801799.79707965</v>
      </c>
      <c r="S50" s="62" t="n">
        <f aca="false">S45</f>
        <v>3877835.79302124</v>
      </c>
      <c r="T50" s="62" t="n">
        <f aca="false">T45</f>
        <v>3955392.50888167</v>
      </c>
      <c r="U50" s="62" t="n">
        <f aca="false">U45</f>
        <v>4034500.3590593</v>
      </c>
      <c r="V50" s="62" t="n">
        <f aca="false">V45</f>
        <v>4115190.36624049</v>
      </c>
      <c r="W50" s="62" t="n">
        <f aca="false">W45</f>
        <v>4197494.1735653</v>
      </c>
      <c r="X50" s="62" t="n">
        <f aca="false">X45</f>
        <v>4281444.0570366</v>
      </c>
      <c r="Y50" s="62" t="n">
        <f aca="false">Y45</f>
        <v>4367072.93817733</v>
      </c>
      <c r="Z50" s="62" t="n">
        <f aca="false">Z45</f>
        <v>4454414.39694088</v>
      </c>
      <c r="AA50" s="62" t="n">
        <f aca="false">AA45</f>
        <v>4543502.6848797</v>
      </c>
      <c r="AB50" s="62" t="n">
        <f aca="false">AB45</f>
        <v>4634372.73857729</v>
      </c>
      <c r="AC50" s="62" t="n">
        <f aca="false">AC45</f>
        <v>4727060.19334884</v>
      </c>
      <c r="AD50" s="62" t="n">
        <f aca="false">AD45</f>
        <v>4821601.39721582</v>
      </c>
      <c r="AE50" s="62" t="n">
        <f aca="false">AE45</f>
        <v>4918033.42516013</v>
      </c>
      <c r="AF50" s="62" t="n">
        <f aca="false">AF45</f>
        <v>5016394.09366334</v>
      </c>
      <c r="AG50" s="62" t="n">
        <f aca="false">AG45</f>
        <v>5116721.9755366</v>
      </c>
      <c r="AH50" s="62" t="n">
        <f aca="false">AH45</f>
        <v>5219056.41504733</v>
      </c>
      <c r="AI50" s="62" t="n">
        <f aca="false">AI45</f>
        <v>5323437.54334828</v>
      </c>
      <c r="AJ50" s="62" t="n">
        <f aca="false">AJ45</f>
        <v>5429906.29421525</v>
      </c>
      <c r="AK50" s="62" t="n">
        <f aca="false">AK45</f>
        <v>5538504.42009955</v>
      </c>
      <c r="AL50" s="62" t="n">
        <f aca="false">AL45</f>
        <v>5649274.50850154</v>
      </c>
    </row>
    <row r="51" customFormat="false" ht="15" hidden="false" customHeight="false" outlineLevel="0" collapsed="false">
      <c r="C51" s="8" t="s">
        <v>529</v>
      </c>
      <c r="D51" s="264" t="s">
        <v>112</v>
      </c>
      <c r="E51" s="60" t="n">
        <f aca="false">SUM(E49:E50)</f>
        <v>112307100.27669</v>
      </c>
      <c r="F51" s="21"/>
      <c r="G51" s="21"/>
      <c r="H51" s="60" t="n">
        <f aca="false">SUM(H49:H50)</f>
        <v>3000000</v>
      </c>
      <c r="I51" s="60" t="n">
        <f aca="false">SUM(I49:I50)</f>
        <v>2000000</v>
      </c>
      <c r="J51" s="60" t="n">
        <f aca="false">SUM(J49:J50)</f>
        <v>2663550.88</v>
      </c>
      <c r="K51" s="60" t="n">
        <f aca="false">SUM(K49:K50)</f>
        <v>609898.70048</v>
      </c>
      <c r="L51" s="60" t="n">
        <f aca="false">SUM(L49:L50)</f>
        <v>162538.0131456</v>
      </c>
      <c r="M51" s="60" t="n">
        <f aca="false">SUM(M49:M50)</f>
        <v>366908.132519424</v>
      </c>
      <c r="N51" s="60" t="n">
        <f aca="false">SUM(N49:N50)</f>
        <v>872190.270471583</v>
      </c>
      <c r="O51" s="60" t="n">
        <f aca="false">SUM(O49:O50)</f>
        <v>754272.956805223</v>
      </c>
      <c r="P51" s="60" t="n">
        <f aca="false">SUM(P49:P50)</f>
        <v>127476.540653047</v>
      </c>
      <c r="Q51" s="60" t="n">
        <f aca="false">SUM(Q49:Q50)</f>
        <v>3727254.70301926</v>
      </c>
      <c r="R51" s="60" t="n">
        <f aca="false">SUM(R49:R50)</f>
        <v>3801799.79707965</v>
      </c>
      <c r="S51" s="60" t="n">
        <f aca="false">SUM(S49:S50)</f>
        <v>3877835.79302124</v>
      </c>
      <c r="T51" s="60" t="n">
        <f aca="false">SUM(T49:T50)</f>
        <v>3955392.50888167</v>
      </c>
      <c r="U51" s="60" t="n">
        <f aca="false">SUM(U49:U50)</f>
        <v>4034500.3590593</v>
      </c>
      <c r="V51" s="60" t="n">
        <f aca="false">SUM(V49:V50)</f>
        <v>4115190.36624049</v>
      </c>
      <c r="W51" s="60" t="n">
        <f aca="false">SUM(W49:W50)</f>
        <v>4197494.1735653</v>
      </c>
      <c r="X51" s="60" t="n">
        <f aca="false">SUM(X49:X50)</f>
        <v>4281444.0570366</v>
      </c>
      <c r="Y51" s="60" t="n">
        <f aca="false">SUM(Y49:Y50)</f>
        <v>4367072.93817733</v>
      </c>
      <c r="Z51" s="60" t="n">
        <f aca="false">SUM(Z49:Z50)</f>
        <v>4454414.39694088</v>
      </c>
      <c r="AA51" s="60" t="n">
        <f aca="false">SUM(AA49:AA50)</f>
        <v>4543502.6848797</v>
      </c>
      <c r="AB51" s="60" t="n">
        <f aca="false">SUM(AB49:AB50)</f>
        <v>4634372.73857729</v>
      </c>
      <c r="AC51" s="60" t="n">
        <f aca="false">SUM(AC49:AC50)</f>
        <v>4727060.19334884</v>
      </c>
      <c r="AD51" s="60" t="n">
        <f aca="false">SUM(AD49:AD50)</f>
        <v>4821601.39721582</v>
      </c>
      <c r="AE51" s="60" t="n">
        <f aca="false">SUM(AE49:AE50)</f>
        <v>4918033.42516013</v>
      </c>
      <c r="AF51" s="60" t="n">
        <f aca="false">SUM(AF49:AF50)</f>
        <v>5016394.09366334</v>
      </c>
      <c r="AG51" s="60" t="n">
        <f aca="false">SUM(AG49:AG50)</f>
        <v>5116721.9755366</v>
      </c>
      <c r="AH51" s="60" t="n">
        <f aca="false">SUM(AH49:AH50)</f>
        <v>5219056.41504733</v>
      </c>
      <c r="AI51" s="60" t="n">
        <f aca="false">SUM(AI49:AI50)</f>
        <v>5323437.54334828</v>
      </c>
      <c r="AJ51" s="60" t="n">
        <f aca="false">SUM(AJ49:AJ50)</f>
        <v>5429906.29421525</v>
      </c>
      <c r="AK51" s="60" t="n">
        <f aca="false">SUM(AK49:AK50)</f>
        <v>5538504.42009955</v>
      </c>
      <c r="AL51" s="60" t="n">
        <f aca="false">SUM(AL49:AL50)</f>
        <v>5649274.50850154</v>
      </c>
    </row>
    <row r="52" customFormat="false" ht="15" hidden="false" customHeight="false" outlineLevel="0" collapsed="false">
      <c r="H52" s="22"/>
      <c r="I52" s="22"/>
      <c r="J52" s="22"/>
      <c r="K52" s="22"/>
    </row>
    <row r="53" customFormat="false" ht="15" hidden="false" customHeight="false" outlineLevel="0" collapsed="false">
      <c r="S53" s="21"/>
    </row>
    <row r="54" customFormat="false" ht="15" hidden="false" customHeight="false" outlineLevel="1" collapsed="false">
      <c r="D54" s="167" t="s">
        <v>530</v>
      </c>
      <c r="F54" s="199" t="s">
        <v>138</v>
      </c>
    </row>
    <row r="55" customFormat="false" ht="15" hidden="false" customHeight="false" outlineLevel="1" collapsed="false">
      <c r="C55" s="0" t="s">
        <v>531</v>
      </c>
      <c r="D55" s="30" t="s">
        <v>532</v>
      </c>
      <c r="F55" s="258" t="n">
        <f aca="false">SUM(H55:AL55)</f>
        <v>1000000</v>
      </c>
      <c r="H55" s="21"/>
      <c r="J55" s="179" t="n">
        <v>30000</v>
      </c>
      <c r="K55" s="179" t="n">
        <v>75000</v>
      </c>
      <c r="L55" s="179" t="n">
        <v>112000</v>
      </c>
      <c r="M55" s="179" t="n">
        <v>140000</v>
      </c>
      <c r="N55" s="179" t="n">
        <v>142000</v>
      </c>
      <c r="O55" s="179" t="n">
        <v>200000</v>
      </c>
      <c r="P55" s="179" t="n">
        <v>301000</v>
      </c>
    </row>
    <row r="56" customFormat="false" ht="15" hidden="false" customHeight="false" outlineLevel="1" collapsed="false">
      <c r="C56" s="0" t="s">
        <v>531</v>
      </c>
      <c r="D56" s="30" t="s">
        <v>533</v>
      </c>
      <c r="F56" s="258" t="n">
        <f aca="false">SUM(H56:AL56)</f>
        <v>1000000</v>
      </c>
      <c r="J56" s="186" t="n">
        <f aca="false">J55</f>
        <v>30000</v>
      </c>
      <c r="K56" s="186" t="n">
        <f aca="false">0</f>
        <v>0</v>
      </c>
      <c r="L56" s="186" t="n">
        <f aca="false">SUM(K55:L55)</f>
        <v>187000</v>
      </c>
      <c r="M56" s="186" t="n">
        <f aca="false">0</f>
        <v>0</v>
      </c>
      <c r="N56" s="186" t="n">
        <f aca="false">SUM(M55:N55)</f>
        <v>282000</v>
      </c>
      <c r="O56" s="186" t="n">
        <f aca="false">0</f>
        <v>0</v>
      </c>
      <c r="P56" s="186" t="n">
        <f aca="false">SUM(O55:P55)</f>
        <v>501000</v>
      </c>
    </row>
    <row r="57" customFormat="false" ht="15" hidden="false" customHeight="false" outlineLevel="1" collapsed="false">
      <c r="C57" s="0" t="s">
        <v>531</v>
      </c>
      <c r="D57" s="30" t="s">
        <v>534</v>
      </c>
      <c r="F57" s="258" t="n">
        <f aca="false">SUM(H57:AL57)</f>
        <v>1000000</v>
      </c>
      <c r="J57" s="186" t="n">
        <f aca="false">J56</f>
        <v>30000</v>
      </c>
      <c r="K57" s="186" t="n">
        <f aca="false">0</f>
        <v>0</v>
      </c>
      <c r="L57" s="186" t="n">
        <f aca="false">0</f>
        <v>0</v>
      </c>
      <c r="M57" s="186" t="n">
        <f aca="false">SUM(K55:M55)</f>
        <v>327000</v>
      </c>
      <c r="N57" s="186" t="n">
        <f aca="false">0</f>
        <v>0</v>
      </c>
      <c r="O57" s="186" t="n">
        <f aca="false">0</f>
        <v>0</v>
      </c>
      <c r="P57" s="186" t="n">
        <f aca="false">SUM(N55:P55)</f>
        <v>643000</v>
      </c>
    </row>
    <row r="62" customFormat="false" ht="15" hidden="false" customHeight="false" outlineLevel="0" collapsed="false">
      <c r="J62" s="55"/>
      <c r="K62" s="42"/>
    </row>
    <row r="63" customFormat="false" ht="15" hidden="false" customHeight="false" outlineLevel="0" collapsed="false">
      <c r="J63" s="55"/>
      <c r="K63" s="42"/>
    </row>
    <row r="64" customFormat="false" ht="15" hidden="false" customHeight="false" outlineLevel="0" collapsed="false">
      <c r="J64" s="55"/>
      <c r="K64" s="42"/>
    </row>
    <row r="65" customFormat="false" ht="15" hidden="false" customHeight="false" outlineLevel="0" collapsed="false">
      <c r="J65" s="55"/>
      <c r="K65" s="42"/>
    </row>
    <row r="66" customFormat="false" ht="15" hidden="false" customHeight="false" outlineLevel="0" collapsed="false">
      <c r="J66" s="61"/>
      <c r="K66" s="268"/>
    </row>
    <row r="281" customFormat="false" ht="15" hidden="false" customHeight="false" outlineLevel="0" collapsed="false">
      <c r="Q281" s="0" t="n">
        <f aca="false">$F281*Q$5</f>
        <v>0</v>
      </c>
    </row>
  </sheetData>
  <dataValidations count="1">
    <dataValidation allowBlank="true" errorStyle="stop" operator="between" showDropDown="false" showErrorMessage="true" showInputMessage="true" sqref="E37" type="list">
      <formula1>"1,2,3,4"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2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88"/>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H5" activeCellId="0" sqref="H5"/>
    </sheetView>
  </sheetViews>
  <sheetFormatPr defaultColWidth="8.83203125" defaultRowHeight="15" zeroHeight="false" outlineLevelRow="0" outlineLevelCol="1"/>
  <cols>
    <col collapsed="false" customWidth="true" hidden="false" outlineLevel="0" max="2" min="1" style="0" width="3"/>
    <col collapsed="false" customWidth="true" hidden="false" outlineLevel="0" max="3" min="3" style="0" width="24"/>
    <col collapsed="false" customWidth="true" hidden="false" outlineLevel="0" max="4" min="4" style="0" width="19.51"/>
    <col collapsed="false" customWidth="true" hidden="false" outlineLevel="0" max="5" min="5" style="0" width="24"/>
    <col collapsed="false" customWidth="true" hidden="false" outlineLevel="0" max="6" min="6" style="0" width="9.51"/>
    <col collapsed="false" customWidth="true" hidden="false" outlineLevel="0" max="7" min="7" style="0" width="5.51"/>
    <col collapsed="false" customWidth="true" hidden="false" outlineLevel="0" max="8" min="8" style="0" width="6.83"/>
    <col collapsed="false" customWidth="true" hidden="false" outlineLevel="0" max="10" min="9" style="0" width="11.33"/>
    <col collapsed="false" customWidth="true" hidden="false" outlineLevel="0" max="18" min="11" style="0" width="12.33"/>
    <col collapsed="false" customWidth="true" hidden="true" outlineLevel="1" max="36" min="19" style="0" width="12.33"/>
    <col collapsed="false" customWidth="true" hidden="false" outlineLevel="0" max="38" min="37" style="0" width="12.33"/>
    <col collapsed="false" customWidth="true" hidden="false" outlineLevel="0" max="39" min="39" style="0" width="9.51"/>
  </cols>
  <sheetData>
    <row r="1" customFormat="false" ht="15" hidden="false" customHeight="false" outlineLevel="0" collapsed="false">
      <c r="A1" s="55"/>
    </row>
    <row r="2" customFormat="false" ht="17.35" hidden="false" customHeight="false" outlineLevel="0" collapsed="false">
      <c r="B2" s="5" t="str">
        <f aca="false">'1. Project Summary'!B2</f>
        <v>Projections - Serious Shea</v>
      </c>
      <c r="E2" s="22"/>
    </row>
    <row r="3" customFormat="false" ht="15" hidden="false" customHeight="false" outlineLevel="0" collapsed="false">
      <c r="B3" s="1" t="str">
        <f aca="false">'1. Project Summary'!B3</f>
        <v>(in EUR, unless otherwise stated)</v>
      </c>
      <c r="E3" s="95"/>
    </row>
    <row r="5" customFormat="false" ht="15" hidden="false" customHeight="false" outlineLevel="0" collapsed="false">
      <c r="B5" s="6" t="s">
        <v>507</v>
      </c>
      <c r="C5" s="6"/>
      <c r="D5" s="97" t="s">
        <v>87</v>
      </c>
      <c r="E5" s="6"/>
      <c r="F5" s="6"/>
      <c r="G5" s="6"/>
      <c r="H5" s="6" t="n">
        <f aca="false">'2. NPV'!H5</f>
        <v>2024</v>
      </c>
      <c r="I5" s="6" t="n">
        <f aca="false">'2. NPV'!I5</f>
        <v>2025</v>
      </c>
      <c r="J5" s="6" t="n">
        <f aca="false">'2. NPV'!J5</f>
        <v>2026</v>
      </c>
      <c r="K5" s="6" t="n">
        <f aca="false">'2. NPV'!K5</f>
        <v>2027</v>
      </c>
      <c r="L5" s="6" t="n">
        <f aca="false">'2. NPV'!L5</f>
        <v>2028</v>
      </c>
      <c r="M5" s="6" t="n">
        <f aca="false">'2. NPV'!M5</f>
        <v>2029</v>
      </c>
      <c r="N5" s="6" t="n">
        <f aca="false">'2. NPV'!N5</f>
        <v>2030</v>
      </c>
      <c r="O5" s="6" t="n">
        <f aca="false">'2. NPV'!O5</f>
        <v>2031</v>
      </c>
      <c r="P5" s="6" t="n">
        <f aca="false">'2. NPV'!P5</f>
        <v>2032</v>
      </c>
      <c r="Q5" s="6" t="n">
        <f aca="false">'2. NPV'!Q5</f>
        <v>2033</v>
      </c>
      <c r="R5" s="6" t="n">
        <f aca="false">'2. NPV'!R5</f>
        <v>2034</v>
      </c>
      <c r="S5" s="6" t="n">
        <f aca="false">'2. NPV'!S5</f>
        <v>2035</v>
      </c>
      <c r="T5" s="6" t="n">
        <f aca="false">'2. NPV'!T5</f>
        <v>2036</v>
      </c>
      <c r="U5" s="6" t="n">
        <f aca="false">'2. NPV'!U5</f>
        <v>2037</v>
      </c>
      <c r="V5" s="6" t="n">
        <f aca="false">'2. NPV'!V5</f>
        <v>2038</v>
      </c>
      <c r="W5" s="6" t="n">
        <f aca="false">'2. NPV'!W5</f>
        <v>2039</v>
      </c>
      <c r="X5" s="6" t="n">
        <f aca="false">'2. NPV'!X5</f>
        <v>2040</v>
      </c>
      <c r="Y5" s="6" t="n">
        <f aca="false">'2. NPV'!Y5</f>
        <v>2041</v>
      </c>
      <c r="Z5" s="6" t="n">
        <f aca="false">'2. NPV'!Z5</f>
        <v>2042</v>
      </c>
      <c r="AA5" s="6" t="n">
        <f aca="false">'2. NPV'!AA5</f>
        <v>2043</v>
      </c>
      <c r="AB5" s="6" t="n">
        <f aca="false">'2. NPV'!AB5</f>
        <v>2044</v>
      </c>
      <c r="AC5" s="6" t="n">
        <f aca="false">'2. NPV'!AC5</f>
        <v>2045</v>
      </c>
      <c r="AD5" s="6" t="n">
        <f aca="false">'2. NPV'!AD5</f>
        <v>2046</v>
      </c>
      <c r="AE5" s="6" t="n">
        <f aca="false">'2. NPV'!AE5</f>
        <v>2047</v>
      </c>
      <c r="AF5" s="6" t="n">
        <f aca="false">'2. NPV'!AF5</f>
        <v>2048</v>
      </c>
      <c r="AG5" s="6" t="n">
        <f aca="false">'2. NPV'!AG5</f>
        <v>2049</v>
      </c>
      <c r="AH5" s="6" t="n">
        <f aca="false">'2. NPV'!AH5</f>
        <v>2050</v>
      </c>
      <c r="AI5" s="6" t="n">
        <f aca="false">'2. NPV'!AI5</f>
        <v>2051</v>
      </c>
      <c r="AJ5" s="6" t="n">
        <f aca="false">'2. NPV'!AJ5</f>
        <v>2052</v>
      </c>
      <c r="AK5" s="6" t="n">
        <f aca="false">'2. NPV'!AK5</f>
        <v>2053</v>
      </c>
      <c r="AL5" s="6" t="n">
        <f aca="false">'2. NPV'!AL5</f>
        <v>2054</v>
      </c>
    </row>
    <row r="6" s="1" customFormat="true" ht="15" hidden="false" customHeight="false" outlineLevel="0" collapsed="false">
      <c r="B6" s="6"/>
      <c r="C6" s="6"/>
      <c r="D6" s="97"/>
      <c r="E6" s="6"/>
      <c r="F6" s="6"/>
      <c r="G6" s="6"/>
      <c r="H6" s="6" t="n">
        <f aca="false">Period_Start</f>
        <v>1</v>
      </c>
      <c r="I6" s="6" t="n">
        <f aca="false">H6+1</f>
        <v>2</v>
      </c>
      <c r="J6" s="6" t="n">
        <f aca="false">I6+1</f>
        <v>3</v>
      </c>
      <c r="K6" s="6" t="n">
        <f aca="false">J6+1</f>
        <v>4</v>
      </c>
      <c r="L6" s="6" t="n">
        <f aca="false">K6+1</f>
        <v>5</v>
      </c>
      <c r="M6" s="6" t="n">
        <f aca="false">L6+1</f>
        <v>6</v>
      </c>
      <c r="N6" s="6" t="n">
        <f aca="false">M6+1</f>
        <v>7</v>
      </c>
      <c r="O6" s="6" t="n">
        <f aca="false">N6+1</f>
        <v>8</v>
      </c>
      <c r="P6" s="6" t="n">
        <f aca="false">O6+1</f>
        <v>9</v>
      </c>
      <c r="Q6" s="6" t="n">
        <f aca="false">P6+1</f>
        <v>10</v>
      </c>
      <c r="R6" s="6" t="n">
        <f aca="false">Q6+1</f>
        <v>11</v>
      </c>
      <c r="S6" s="6" t="n">
        <f aca="false">R6+1</f>
        <v>12</v>
      </c>
      <c r="T6" s="6" t="n">
        <f aca="false">S6+1</f>
        <v>13</v>
      </c>
      <c r="U6" s="6" t="n">
        <f aca="false">T6+1</f>
        <v>14</v>
      </c>
      <c r="V6" s="6" t="n">
        <f aca="false">U6+1</f>
        <v>15</v>
      </c>
      <c r="W6" s="6" t="n">
        <f aca="false">V6+1</f>
        <v>16</v>
      </c>
      <c r="X6" s="6" t="n">
        <f aca="false">W6+1</f>
        <v>17</v>
      </c>
      <c r="Y6" s="6" t="n">
        <f aca="false">X6+1</f>
        <v>18</v>
      </c>
      <c r="Z6" s="6" t="n">
        <f aca="false">Y6+1</f>
        <v>19</v>
      </c>
      <c r="AA6" s="6" t="n">
        <f aca="false">Z6+1</f>
        <v>20</v>
      </c>
      <c r="AB6" s="6" t="n">
        <f aca="false">AA6+1</f>
        <v>21</v>
      </c>
      <c r="AC6" s="6" t="n">
        <f aca="false">AB6+1</f>
        <v>22</v>
      </c>
      <c r="AD6" s="6" t="n">
        <f aca="false">AC6+1</f>
        <v>23</v>
      </c>
      <c r="AE6" s="6" t="n">
        <f aca="false">AD6+1</f>
        <v>24</v>
      </c>
      <c r="AF6" s="6" t="n">
        <f aca="false">AE6+1</f>
        <v>25</v>
      </c>
      <c r="AG6" s="6" t="n">
        <f aca="false">AF6+1</f>
        <v>26</v>
      </c>
      <c r="AH6" s="6" t="n">
        <f aca="false">AG6+1</f>
        <v>27</v>
      </c>
      <c r="AI6" s="6" t="n">
        <f aca="false">AH6+1</f>
        <v>28</v>
      </c>
      <c r="AJ6" s="6" t="n">
        <f aca="false">AI6+1</f>
        <v>29</v>
      </c>
      <c r="AK6" s="6" t="n">
        <f aca="false">AJ6+1</f>
        <v>30</v>
      </c>
      <c r="AL6" s="6" t="n">
        <f aca="false">AK6+1</f>
        <v>31</v>
      </c>
    </row>
    <row r="7" s="239" customFormat="true" ht="15" hidden="false" customHeight="false" outlineLevel="0" collapsed="false">
      <c r="C7" s="239" t="s">
        <v>508</v>
      </c>
      <c r="H7" s="239" t="n">
        <v>1</v>
      </c>
      <c r="I7" s="239" t="n">
        <f aca="false">+H7+1</f>
        <v>2</v>
      </c>
      <c r="J7" s="239" t="n">
        <f aca="false">+I7+1</f>
        <v>3</v>
      </c>
      <c r="K7" s="239" t="n">
        <f aca="false">+J7+1</f>
        <v>4</v>
      </c>
      <c r="L7" s="239" t="n">
        <f aca="false">+K7+1</f>
        <v>5</v>
      </c>
      <c r="M7" s="239" t="n">
        <f aca="false">+L7+1</f>
        <v>6</v>
      </c>
      <c r="N7" s="239" t="n">
        <f aca="false">+M7+1</f>
        <v>7</v>
      </c>
      <c r="O7" s="239" t="n">
        <f aca="false">+N7+1</f>
        <v>8</v>
      </c>
      <c r="P7" s="239" t="n">
        <f aca="false">+O7+1</f>
        <v>9</v>
      </c>
      <c r="Q7" s="239" t="n">
        <f aca="false">+P7+1</f>
        <v>10</v>
      </c>
      <c r="R7" s="239" t="n">
        <f aca="false">+Q7+1</f>
        <v>11</v>
      </c>
      <c r="S7" s="239" t="n">
        <f aca="false">+R7+1</f>
        <v>12</v>
      </c>
      <c r="T7" s="239" t="n">
        <f aca="false">+S7+1</f>
        <v>13</v>
      </c>
      <c r="U7" s="239" t="n">
        <f aca="false">+T7+1</f>
        <v>14</v>
      </c>
      <c r="V7" s="239" t="n">
        <f aca="false">+U7+1</f>
        <v>15</v>
      </c>
      <c r="W7" s="239" t="n">
        <f aca="false">+V7+1</f>
        <v>16</v>
      </c>
      <c r="X7" s="239" t="n">
        <f aca="false">+W7+1</f>
        <v>17</v>
      </c>
      <c r="Y7" s="239" t="n">
        <f aca="false">+X7+1</f>
        <v>18</v>
      </c>
      <c r="Z7" s="239" t="n">
        <f aca="false">+Y7+1</f>
        <v>19</v>
      </c>
      <c r="AA7" s="239" t="n">
        <f aca="false">+Z7+1</f>
        <v>20</v>
      </c>
      <c r="AB7" s="239" t="n">
        <f aca="false">+AA7+1</f>
        <v>21</v>
      </c>
      <c r="AC7" s="239" t="n">
        <f aca="false">+AB7+1</f>
        <v>22</v>
      </c>
      <c r="AD7" s="239" t="n">
        <f aca="false">+AC7+1</f>
        <v>23</v>
      </c>
      <c r="AE7" s="239" t="n">
        <f aca="false">+AD7+1</f>
        <v>24</v>
      </c>
      <c r="AF7" s="239" t="n">
        <f aca="false">+AE7+1</f>
        <v>25</v>
      </c>
      <c r="AG7" s="239" t="n">
        <f aca="false">+AF7+1</f>
        <v>26</v>
      </c>
      <c r="AH7" s="239" t="n">
        <f aca="false">+AG7+1</f>
        <v>27</v>
      </c>
      <c r="AI7" s="239" t="n">
        <f aca="false">+AH7+1</f>
        <v>28</v>
      </c>
      <c r="AJ7" s="239" t="n">
        <f aca="false">+AI7+1</f>
        <v>29</v>
      </c>
      <c r="AK7" s="239" t="n">
        <f aca="false">+AJ7+1</f>
        <v>30</v>
      </c>
      <c r="AL7" s="239" t="n">
        <f aca="false">+AK7+1</f>
        <v>31</v>
      </c>
    </row>
    <row r="8" s="239" customFormat="true" ht="15" hidden="false" customHeight="false" outlineLevel="0" collapsed="false"/>
    <row r="9" s="239" customFormat="true" ht="15" hidden="false" customHeight="false" outlineLevel="0" collapsed="false">
      <c r="B9" s="269" t="s">
        <v>535</v>
      </c>
    </row>
    <row r="10" s="239" customFormat="true" ht="15" hidden="false" customHeight="false" outlineLevel="0" collapsed="false">
      <c r="B10" s="1" t="n">
        <v>1</v>
      </c>
      <c r="C10" s="1" t="str">
        <f aca="false">'3. Assumptions'!C8</f>
        <v>Refined Oil</v>
      </c>
      <c r="D10" s="270" t="str">
        <f aca="false">'3. Assumptions'!D8</f>
        <v>EUR per metric ton</v>
      </c>
      <c r="E10" s="271" t="n">
        <f aca="false">'3. Assumptions'!E8</f>
        <v>30000</v>
      </c>
      <c r="F10" s="243" t="n">
        <f aca="false">IF('1. Project Summary'!$F$13="Real",0,'3. Assumptions'!F8)</f>
        <v>0.025</v>
      </c>
      <c r="H10" s="272"/>
    </row>
    <row r="11" s="239" customFormat="true" ht="15" hidden="false" customHeight="false" outlineLevel="0" collapsed="false">
      <c r="B11" s="1" t="n">
        <f aca="false">'3. Assumptions'!B9</f>
        <v>2</v>
      </c>
      <c r="C11" s="1" t="str">
        <f aca="false">'3. Assumptions'!C9</f>
        <v>Moringa Leaves</v>
      </c>
      <c r="D11" s="270" t="str">
        <f aca="false">'3. Assumptions'!D9</f>
        <v>EUR per metric ton</v>
      </c>
      <c r="E11" s="271" t="n">
        <f aca="false">'3. Assumptions'!E9</f>
        <v>5000</v>
      </c>
      <c r="F11" s="243" t="n">
        <f aca="false">IF('1. Project Summary'!$F$13="Real",0,'3. Assumptions'!F9)</f>
        <v>0.025</v>
      </c>
    </row>
    <row r="12" s="239" customFormat="true" ht="15" hidden="false" customHeight="false" outlineLevel="0" collapsed="false">
      <c r="B12" s="1" t="n">
        <f aca="false">'3. Assumptions'!B10</f>
        <v>3</v>
      </c>
      <c r="C12" s="1" t="str">
        <f aca="false">'3. Assumptions'!C10</f>
        <v>Dry Mangos</v>
      </c>
      <c r="D12" s="270" t="str">
        <f aca="false">'3. Assumptions'!D10</f>
        <v>EUR per metric ton</v>
      </c>
      <c r="E12" s="271" t="n">
        <f aca="false">'3. Assumptions'!E10</f>
        <v>3500</v>
      </c>
      <c r="F12" s="243" t="n">
        <f aca="false">IF('1. Project Summary'!$F$13="Real",0,'3. Assumptions'!F10)</f>
        <v>0.025</v>
      </c>
    </row>
    <row r="13" s="239" customFormat="true" ht="15" hidden="false" customHeight="false" outlineLevel="0" collapsed="false">
      <c r="B13" s="1" t="n">
        <f aca="false">'3. Assumptions'!B11</f>
        <v>4</v>
      </c>
      <c r="C13" s="1" t="str">
        <f aca="false">'3. Assumptions'!C11</f>
        <v>Shea Butter</v>
      </c>
      <c r="D13" s="270" t="str">
        <f aca="false">'3. Assumptions'!D11</f>
        <v>EUR per metric ton</v>
      </c>
      <c r="E13" s="271" t="n">
        <f aca="false">'3. Assumptions'!E11</f>
        <v>2000</v>
      </c>
      <c r="F13" s="243" t="n">
        <f aca="false">IF('1. Project Summary'!$F$13="Real",0,'3. Assumptions'!F11)</f>
        <v>0.025</v>
      </c>
    </row>
    <row r="14" s="239" customFormat="true" ht="15" hidden="false" customHeight="false" outlineLevel="0" collapsed="false">
      <c r="B14" s="1" t="n">
        <f aca="false">'3. Assumptions'!B12</f>
        <v>5</v>
      </c>
      <c r="C14" s="1" t="str">
        <f aca="false">'3. Assumptions'!C12</f>
        <v>Fertilisers Compost</v>
      </c>
      <c r="D14" s="270" t="str">
        <f aca="false">'3. Assumptions'!D12</f>
        <v>EUR per metric ton</v>
      </c>
      <c r="E14" s="271" t="n">
        <f aca="false">'3. Assumptions'!E12</f>
        <v>100</v>
      </c>
      <c r="F14" s="243" t="n">
        <f aca="false">IF('1. Project Summary'!$F$13="Real",0,'3. Assumptions'!F12)</f>
        <v>0.025</v>
      </c>
    </row>
    <row r="15" s="239" customFormat="true" ht="15" hidden="false" customHeight="false" outlineLevel="0" collapsed="false">
      <c r="B15" s="1" t="n">
        <f aca="false">'3. Assumptions'!B13</f>
        <v>6</v>
      </c>
      <c r="C15" s="1" t="str">
        <f aca="false">'3. Assumptions'!C13</f>
        <v>Biochar</v>
      </c>
      <c r="D15" s="270" t="str">
        <f aca="false">'3. Assumptions'!D13</f>
        <v>EUR per metric ton</v>
      </c>
      <c r="E15" s="271" t="n">
        <f aca="false">'3. Assumptions'!E13</f>
        <v>0</v>
      </c>
      <c r="F15" s="243" t="n">
        <f aca="false">IF('1. Project Summary'!$F$13="Real",0,'3. Assumptions'!F13)</f>
        <v>0</v>
      </c>
    </row>
    <row r="16" customFormat="false" ht="15" hidden="false" customHeight="false" outlineLevel="0" collapsed="false">
      <c r="C16" s="1"/>
      <c r="D16" s="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customFormat="false" ht="15" hidden="false" customHeight="false" outlineLevel="0" collapsed="false">
      <c r="B17" s="13" t="s">
        <v>536</v>
      </c>
      <c r="D17" s="25"/>
      <c r="E17" s="1"/>
      <c r="F17" s="25" t="s">
        <v>537</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customFormat="false" ht="15" hidden="false" customHeight="false" outlineLevel="0" collapsed="false">
      <c r="B18" s="0" t="n">
        <f aca="false">B10</f>
        <v>1</v>
      </c>
      <c r="C18" s="0" t="str">
        <f aca="false">C10</f>
        <v>Refined Oil</v>
      </c>
      <c r="D18" s="25" t="s">
        <v>538</v>
      </c>
      <c r="E18" s="1"/>
      <c r="F18" s="147" t="n">
        <f aca="false">AVERAGE(J18:AL18)</f>
        <v>461.110344827586</v>
      </c>
      <c r="G18" s="1"/>
      <c r="H18" s="130" t="n">
        <f aca="false">'3. Assumptions'!F166/1000</f>
        <v>0</v>
      </c>
      <c r="I18" s="130" t="n">
        <f aca="false">'3. Assumptions'!G166/1000</f>
        <v>0</v>
      </c>
      <c r="J18" s="130" t="n">
        <f aca="false">'3. Assumptions'!H166/1000</f>
        <v>161.5</v>
      </c>
      <c r="K18" s="130" t="n">
        <f aca="false">'3. Assumptions'!I166/1000</f>
        <v>290.7</v>
      </c>
      <c r="L18" s="130" t="n">
        <f aca="false">'3. Assumptions'!J166/1000</f>
        <v>323</v>
      </c>
      <c r="M18" s="130" t="n">
        <f aca="false">'3. Assumptions'!K166/1000</f>
        <v>484.5</v>
      </c>
      <c r="N18" s="130" t="n">
        <f aca="false">'3. Assumptions'!L166/1000</f>
        <v>484.5</v>
      </c>
      <c r="O18" s="130" t="n">
        <f aca="false">'3. Assumptions'!M166/1000</f>
        <v>484.5</v>
      </c>
      <c r="P18" s="130" t="n">
        <f aca="false">'3. Assumptions'!N166/1000</f>
        <v>484.5</v>
      </c>
      <c r="Q18" s="130" t="n">
        <f aca="false">'3. Assumptions'!O166/1000</f>
        <v>484.5</v>
      </c>
      <c r="R18" s="212" t="n">
        <f aca="false">Q18</f>
        <v>484.5</v>
      </c>
      <c r="S18" s="258" t="n">
        <f aca="false">R18</f>
        <v>484.5</v>
      </c>
      <c r="T18" s="258" t="n">
        <f aca="false">S18</f>
        <v>484.5</v>
      </c>
      <c r="U18" s="258" t="n">
        <f aca="false">T18</f>
        <v>484.5</v>
      </c>
      <c r="V18" s="258" t="n">
        <f aca="false">U18</f>
        <v>484.5</v>
      </c>
      <c r="W18" s="258" t="n">
        <f aca="false">V18</f>
        <v>484.5</v>
      </c>
      <c r="X18" s="258" t="n">
        <f aca="false">W18</f>
        <v>484.5</v>
      </c>
      <c r="Y18" s="258" t="n">
        <f aca="false">X18</f>
        <v>484.5</v>
      </c>
      <c r="Z18" s="258" t="n">
        <f aca="false">Y18</f>
        <v>484.5</v>
      </c>
      <c r="AA18" s="258" t="n">
        <f aca="false">Z18</f>
        <v>484.5</v>
      </c>
      <c r="AB18" s="258" t="n">
        <f aca="false">AA18</f>
        <v>484.5</v>
      </c>
      <c r="AC18" s="258" t="n">
        <f aca="false">AB18</f>
        <v>484.5</v>
      </c>
      <c r="AD18" s="258" t="n">
        <f aca="false">AC18</f>
        <v>484.5</v>
      </c>
      <c r="AE18" s="258" t="n">
        <f aca="false">AD18</f>
        <v>484.5</v>
      </c>
      <c r="AF18" s="258" t="n">
        <f aca="false">AE18</f>
        <v>484.5</v>
      </c>
      <c r="AG18" s="258" t="n">
        <f aca="false">AF18</f>
        <v>484.5</v>
      </c>
      <c r="AH18" s="258" t="n">
        <f aca="false">AG18</f>
        <v>484.5</v>
      </c>
      <c r="AI18" s="258" t="n">
        <f aca="false">AH18</f>
        <v>484.5</v>
      </c>
      <c r="AJ18" s="258" t="n">
        <f aca="false">AI18</f>
        <v>484.5</v>
      </c>
      <c r="AK18" s="258" t="n">
        <f aca="false">AJ18</f>
        <v>484.5</v>
      </c>
      <c r="AL18" s="258" t="n">
        <f aca="false">AK18</f>
        <v>484.5</v>
      </c>
    </row>
    <row r="19" customFormat="false" ht="15" hidden="false" customHeight="false" outlineLevel="0" collapsed="false">
      <c r="B19" s="0" t="n">
        <f aca="false">B11</f>
        <v>2</v>
      </c>
      <c r="C19" s="0" t="str">
        <f aca="false">C11</f>
        <v>Moringa Leaves</v>
      </c>
      <c r="D19" s="25" t="s">
        <v>538</v>
      </c>
      <c r="E19" s="1"/>
      <c r="F19" s="147" t="n">
        <f aca="false">AVERAGE(I19:AL19)</f>
        <v>94.3160000000001</v>
      </c>
      <c r="G19" s="1"/>
      <c r="H19" s="130" t="n">
        <f aca="false">'3. Assumptions'!F167/1000</f>
        <v>0</v>
      </c>
      <c r="I19" s="130" t="n">
        <f aca="false">'3. Assumptions'!G167/1000</f>
        <v>58.14</v>
      </c>
      <c r="J19" s="130" t="n">
        <f aca="false">'3. Assumptions'!H167/1000</f>
        <v>58.14</v>
      </c>
      <c r="K19" s="130" t="n">
        <f aca="false">'3. Assumptions'!I167/1000</f>
        <v>96.9</v>
      </c>
      <c r="L19" s="130" t="n">
        <f aca="false">'3. Assumptions'!J167/1000</f>
        <v>96.9</v>
      </c>
      <c r="M19" s="130" t="n">
        <f aca="false">'3. Assumptions'!K167/1000</f>
        <v>96.9</v>
      </c>
      <c r="N19" s="130" t="n">
        <f aca="false">'3. Assumptions'!L167/1000</f>
        <v>96.9</v>
      </c>
      <c r="O19" s="130" t="n">
        <f aca="false">'3. Assumptions'!M167/1000</f>
        <v>96.9</v>
      </c>
      <c r="P19" s="130" t="n">
        <f aca="false">'3. Assumptions'!N167/1000</f>
        <v>96.9</v>
      </c>
      <c r="Q19" s="130" t="n">
        <f aca="false">'3. Assumptions'!O167/1000</f>
        <v>96.9</v>
      </c>
      <c r="R19" s="212" t="n">
        <f aca="false">Q19</f>
        <v>96.9</v>
      </c>
      <c r="S19" s="258" t="n">
        <f aca="false">R19</f>
        <v>96.9</v>
      </c>
      <c r="T19" s="258" t="n">
        <f aca="false">S19</f>
        <v>96.9</v>
      </c>
      <c r="U19" s="258" t="n">
        <f aca="false">T19</f>
        <v>96.9</v>
      </c>
      <c r="V19" s="258" t="n">
        <f aca="false">U19</f>
        <v>96.9</v>
      </c>
      <c r="W19" s="258" t="n">
        <f aca="false">V19</f>
        <v>96.9</v>
      </c>
      <c r="X19" s="258" t="n">
        <f aca="false">W19</f>
        <v>96.9</v>
      </c>
      <c r="Y19" s="258" t="n">
        <f aca="false">X19</f>
        <v>96.9</v>
      </c>
      <c r="Z19" s="258" t="n">
        <f aca="false">Y19</f>
        <v>96.9</v>
      </c>
      <c r="AA19" s="258" t="n">
        <f aca="false">Z19</f>
        <v>96.9</v>
      </c>
      <c r="AB19" s="258" t="n">
        <f aca="false">AA19</f>
        <v>96.9</v>
      </c>
      <c r="AC19" s="258" t="n">
        <f aca="false">AB19</f>
        <v>96.9</v>
      </c>
      <c r="AD19" s="258" t="n">
        <f aca="false">AC19</f>
        <v>96.9</v>
      </c>
      <c r="AE19" s="258" t="n">
        <f aca="false">AD19</f>
        <v>96.9</v>
      </c>
      <c r="AF19" s="258" t="n">
        <f aca="false">AE19</f>
        <v>96.9</v>
      </c>
      <c r="AG19" s="258" t="n">
        <f aca="false">AF19</f>
        <v>96.9</v>
      </c>
      <c r="AH19" s="258" t="n">
        <f aca="false">AG19</f>
        <v>96.9</v>
      </c>
      <c r="AI19" s="258" t="n">
        <f aca="false">AH19</f>
        <v>96.9</v>
      </c>
      <c r="AJ19" s="258" t="n">
        <f aca="false">AI19</f>
        <v>96.9</v>
      </c>
      <c r="AK19" s="258" t="n">
        <f aca="false">AJ19</f>
        <v>96.9</v>
      </c>
      <c r="AL19" s="258" t="n">
        <f aca="false">AK19</f>
        <v>96.9</v>
      </c>
    </row>
    <row r="20" customFormat="false" ht="15" hidden="false" customHeight="false" outlineLevel="0" collapsed="false">
      <c r="B20" s="0" t="n">
        <f aca="false">B12</f>
        <v>3</v>
      </c>
      <c r="C20" s="0" t="str">
        <f aca="false">C12</f>
        <v>Dry Mangos</v>
      </c>
      <c r="D20" s="25" t="s">
        <v>538</v>
      </c>
      <c r="E20" s="1"/>
      <c r="F20" s="147" t="n">
        <f aca="false">AVERAGE(I20:AL20)</f>
        <v>1349.4</v>
      </c>
      <c r="G20" s="1"/>
      <c r="H20" s="130" t="n">
        <f aca="false">'3. Assumptions'!F168/1000</f>
        <v>0</v>
      </c>
      <c r="I20" s="130" t="n">
        <f aca="false">'3. Assumptions'!G168/1000</f>
        <v>173</v>
      </c>
      <c r="J20" s="130" t="n">
        <f aca="false">'3. Assumptions'!H168/1000</f>
        <v>346</v>
      </c>
      <c r="K20" s="130" t="n">
        <f aca="false">'3. Assumptions'!I168/1000</f>
        <v>519</v>
      </c>
      <c r="L20" s="130" t="n">
        <f aca="false">'3. Assumptions'!J168/1000</f>
        <v>692</v>
      </c>
      <c r="M20" s="130" t="n">
        <f aca="false">'3. Assumptions'!K168/1000</f>
        <v>865</v>
      </c>
      <c r="N20" s="130" t="n">
        <f aca="false">'3. Assumptions'!L168/1000</f>
        <v>1038</v>
      </c>
      <c r="O20" s="130" t="n">
        <f aca="false">'3. Assumptions'!M168/1000</f>
        <v>1211</v>
      </c>
      <c r="P20" s="130" t="n">
        <f aca="false">'3. Assumptions'!N168/1000</f>
        <v>1384</v>
      </c>
      <c r="Q20" s="130" t="n">
        <f aca="false">'3. Assumptions'!O168/1000</f>
        <v>1557</v>
      </c>
      <c r="R20" s="212" t="n">
        <f aca="false">Q20</f>
        <v>1557</v>
      </c>
      <c r="S20" s="258" t="n">
        <f aca="false">R20</f>
        <v>1557</v>
      </c>
      <c r="T20" s="258" t="n">
        <f aca="false">S20</f>
        <v>1557</v>
      </c>
      <c r="U20" s="258" t="n">
        <f aca="false">T20</f>
        <v>1557</v>
      </c>
      <c r="V20" s="258" t="n">
        <f aca="false">U20</f>
        <v>1557</v>
      </c>
      <c r="W20" s="258" t="n">
        <f aca="false">V20</f>
        <v>1557</v>
      </c>
      <c r="X20" s="258" t="n">
        <f aca="false">W20</f>
        <v>1557</v>
      </c>
      <c r="Y20" s="258" t="n">
        <f aca="false">X20</f>
        <v>1557</v>
      </c>
      <c r="Z20" s="258" t="n">
        <f aca="false">Y20</f>
        <v>1557</v>
      </c>
      <c r="AA20" s="258" t="n">
        <f aca="false">Z20</f>
        <v>1557</v>
      </c>
      <c r="AB20" s="258" t="n">
        <f aca="false">AA20</f>
        <v>1557</v>
      </c>
      <c r="AC20" s="258" t="n">
        <f aca="false">AB20</f>
        <v>1557</v>
      </c>
      <c r="AD20" s="258" t="n">
        <f aca="false">AC20</f>
        <v>1557</v>
      </c>
      <c r="AE20" s="258" t="n">
        <f aca="false">AD20</f>
        <v>1557</v>
      </c>
      <c r="AF20" s="258" t="n">
        <f aca="false">AE20</f>
        <v>1557</v>
      </c>
      <c r="AG20" s="258" t="n">
        <f aca="false">AF20</f>
        <v>1557</v>
      </c>
      <c r="AH20" s="258" t="n">
        <f aca="false">AG20</f>
        <v>1557</v>
      </c>
      <c r="AI20" s="258" t="n">
        <f aca="false">AH20</f>
        <v>1557</v>
      </c>
      <c r="AJ20" s="258" t="n">
        <f aca="false">AI20</f>
        <v>1557</v>
      </c>
      <c r="AK20" s="258" t="n">
        <f aca="false">AJ20</f>
        <v>1557</v>
      </c>
      <c r="AL20" s="258" t="n">
        <f aca="false">AK20</f>
        <v>1557</v>
      </c>
    </row>
    <row r="21" customFormat="false" ht="15" hidden="false" customHeight="false" outlineLevel="0" collapsed="false">
      <c r="B21" s="0" t="n">
        <f aca="false">B13</f>
        <v>4</v>
      </c>
      <c r="C21" s="0" t="str">
        <f aca="false">C13</f>
        <v>Shea Butter</v>
      </c>
      <c r="D21" s="25" t="s">
        <v>538</v>
      </c>
      <c r="E21" s="1"/>
      <c r="F21" s="147" t="n">
        <f aca="false">AVERAGE(J21:AL21)</f>
        <v>0</v>
      </c>
      <c r="G21" s="1"/>
      <c r="H21" s="130" t="n">
        <f aca="false">'3. Assumptions'!F169/1000</f>
        <v>0</v>
      </c>
      <c r="I21" s="130" t="n">
        <f aca="false">'3. Assumptions'!G169/1000</f>
        <v>0</v>
      </c>
      <c r="J21" s="130" t="n">
        <f aca="false">'3. Assumptions'!H169/1000</f>
        <v>0</v>
      </c>
      <c r="K21" s="130" t="n">
        <f aca="false">'3. Assumptions'!I169/1000</f>
        <v>0</v>
      </c>
      <c r="L21" s="130" t="n">
        <f aca="false">'3. Assumptions'!J169/1000</f>
        <v>0</v>
      </c>
      <c r="M21" s="130" t="n">
        <f aca="false">'3. Assumptions'!K169/1000</f>
        <v>0</v>
      </c>
      <c r="N21" s="130" t="n">
        <f aca="false">'3. Assumptions'!L169/1000</f>
        <v>0</v>
      </c>
      <c r="O21" s="130" t="n">
        <f aca="false">'3. Assumptions'!M169/1000</f>
        <v>0</v>
      </c>
      <c r="P21" s="130" t="n">
        <f aca="false">'3. Assumptions'!N169/1000</f>
        <v>0</v>
      </c>
      <c r="Q21" s="130" t="n">
        <f aca="false">'3. Assumptions'!O169/1000</f>
        <v>0</v>
      </c>
      <c r="R21" s="212" t="n">
        <f aca="false">Q21</f>
        <v>0</v>
      </c>
      <c r="S21" s="258" t="n">
        <f aca="false">R21</f>
        <v>0</v>
      </c>
      <c r="T21" s="258" t="n">
        <f aca="false">S21</f>
        <v>0</v>
      </c>
      <c r="U21" s="258" t="n">
        <f aca="false">T21</f>
        <v>0</v>
      </c>
      <c r="V21" s="258" t="n">
        <f aca="false">U21</f>
        <v>0</v>
      </c>
      <c r="W21" s="258" t="n">
        <f aca="false">V21</f>
        <v>0</v>
      </c>
      <c r="X21" s="258" t="n">
        <f aca="false">W21</f>
        <v>0</v>
      </c>
      <c r="Y21" s="258" t="n">
        <f aca="false">X21</f>
        <v>0</v>
      </c>
      <c r="Z21" s="258" t="n">
        <f aca="false">Y21</f>
        <v>0</v>
      </c>
      <c r="AA21" s="258" t="n">
        <f aca="false">Z21</f>
        <v>0</v>
      </c>
      <c r="AB21" s="258" t="n">
        <f aca="false">AA21</f>
        <v>0</v>
      </c>
      <c r="AC21" s="258" t="n">
        <f aca="false">AB21</f>
        <v>0</v>
      </c>
      <c r="AD21" s="258" t="n">
        <f aca="false">AC21</f>
        <v>0</v>
      </c>
      <c r="AE21" s="258" t="n">
        <f aca="false">AD21</f>
        <v>0</v>
      </c>
      <c r="AF21" s="258" t="n">
        <f aca="false">AE21</f>
        <v>0</v>
      </c>
      <c r="AG21" s="258" t="n">
        <f aca="false">AF21</f>
        <v>0</v>
      </c>
      <c r="AH21" s="258" t="n">
        <f aca="false">AG21</f>
        <v>0</v>
      </c>
      <c r="AI21" s="258" t="n">
        <f aca="false">AH21</f>
        <v>0</v>
      </c>
      <c r="AJ21" s="258" t="n">
        <f aca="false">AI21</f>
        <v>0</v>
      </c>
      <c r="AK21" s="258" t="n">
        <f aca="false">AJ21</f>
        <v>0</v>
      </c>
      <c r="AL21" s="258" t="n">
        <f aca="false">AK21</f>
        <v>0</v>
      </c>
    </row>
    <row r="22" customFormat="false" ht="15" hidden="false" customHeight="false" outlineLevel="0" collapsed="false">
      <c r="B22" s="0" t="n">
        <f aca="false">B14</f>
        <v>5</v>
      </c>
      <c r="C22" s="0" t="str">
        <f aca="false">C14</f>
        <v>Fertilisers Compost</v>
      </c>
      <c r="D22" s="25" t="s">
        <v>538</v>
      </c>
      <c r="E22" s="1"/>
      <c r="F22" s="147" t="n">
        <f aca="false">AVERAGE(I22:AL22)</f>
        <v>9360</v>
      </c>
      <c r="G22" s="1"/>
      <c r="H22" s="130" t="n">
        <f aca="false">'3. Assumptions'!F170/1000</f>
        <v>0</v>
      </c>
      <c r="I22" s="130" t="n">
        <f aca="false">'3. Assumptions'!G170/1000</f>
        <v>1200</v>
      </c>
      <c r="J22" s="130" t="n">
        <f aca="false">'3. Assumptions'!H170/1000</f>
        <v>2400</v>
      </c>
      <c r="K22" s="130" t="n">
        <f aca="false">'3. Assumptions'!I170/1000</f>
        <v>3600</v>
      </c>
      <c r="L22" s="130" t="n">
        <f aca="false">'3. Assumptions'!J170/1000</f>
        <v>4800</v>
      </c>
      <c r="M22" s="130" t="n">
        <f aca="false">'3. Assumptions'!K170/1000</f>
        <v>6000</v>
      </c>
      <c r="N22" s="130" t="n">
        <f aca="false">'3. Assumptions'!L170/1000</f>
        <v>7200</v>
      </c>
      <c r="O22" s="130" t="n">
        <f aca="false">'3. Assumptions'!M170/1000</f>
        <v>8400</v>
      </c>
      <c r="P22" s="130" t="n">
        <f aca="false">'3. Assumptions'!N170/1000</f>
        <v>9600</v>
      </c>
      <c r="Q22" s="130" t="n">
        <f aca="false">'3. Assumptions'!O170/1000</f>
        <v>10800</v>
      </c>
      <c r="R22" s="212" t="n">
        <f aca="false">Q22</f>
        <v>10800</v>
      </c>
      <c r="S22" s="258" t="n">
        <f aca="false">R22</f>
        <v>10800</v>
      </c>
      <c r="T22" s="258" t="n">
        <f aca="false">S22</f>
        <v>10800</v>
      </c>
      <c r="U22" s="258" t="n">
        <f aca="false">T22</f>
        <v>10800</v>
      </c>
      <c r="V22" s="258" t="n">
        <f aca="false">U22</f>
        <v>10800</v>
      </c>
      <c r="W22" s="258" t="n">
        <f aca="false">V22</f>
        <v>10800</v>
      </c>
      <c r="X22" s="258" t="n">
        <f aca="false">W22</f>
        <v>10800</v>
      </c>
      <c r="Y22" s="258" t="n">
        <f aca="false">X22</f>
        <v>10800</v>
      </c>
      <c r="Z22" s="258" t="n">
        <f aca="false">Y22</f>
        <v>10800</v>
      </c>
      <c r="AA22" s="258" t="n">
        <f aca="false">Z22</f>
        <v>10800</v>
      </c>
      <c r="AB22" s="258" t="n">
        <f aca="false">AA22</f>
        <v>10800</v>
      </c>
      <c r="AC22" s="258" t="n">
        <f aca="false">AB22</f>
        <v>10800</v>
      </c>
      <c r="AD22" s="258" t="n">
        <f aca="false">AC22</f>
        <v>10800</v>
      </c>
      <c r="AE22" s="258" t="n">
        <f aca="false">AD22</f>
        <v>10800</v>
      </c>
      <c r="AF22" s="258" t="n">
        <f aca="false">AE22</f>
        <v>10800</v>
      </c>
      <c r="AG22" s="258" t="n">
        <f aca="false">AF22</f>
        <v>10800</v>
      </c>
      <c r="AH22" s="258" t="n">
        <f aca="false">AG22</f>
        <v>10800</v>
      </c>
      <c r="AI22" s="258" t="n">
        <f aca="false">AH22</f>
        <v>10800</v>
      </c>
      <c r="AJ22" s="258" t="n">
        <f aca="false">AI22</f>
        <v>10800</v>
      </c>
      <c r="AK22" s="258" t="n">
        <f aca="false">AJ22</f>
        <v>10800</v>
      </c>
      <c r="AL22" s="258" t="n">
        <f aca="false">AK22</f>
        <v>10800</v>
      </c>
    </row>
    <row r="23" customFormat="false" ht="15" hidden="false" customHeight="false" outlineLevel="0" collapsed="false">
      <c r="B23" s="0" t="n">
        <f aca="false">B15</f>
        <v>6</v>
      </c>
      <c r="C23" s="0" t="str">
        <f aca="false">C15</f>
        <v>Biochar</v>
      </c>
      <c r="D23" s="25" t="s">
        <v>538</v>
      </c>
      <c r="E23" s="1"/>
      <c r="F23" s="147" t="n">
        <f aca="false">AVERAGE(J23:AL23)</f>
        <v>0</v>
      </c>
      <c r="G23" s="1"/>
      <c r="H23" s="130" t="n">
        <f aca="false">'3. Assumptions'!F171/1000</f>
        <v>0</v>
      </c>
      <c r="I23" s="130" t="n">
        <f aca="false">'3. Assumptions'!G171/1000</f>
        <v>0</v>
      </c>
      <c r="J23" s="130" t="n">
        <f aca="false">'3. Assumptions'!H171/1000</f>
        <v>0</v>
      </c>
      <c r="K23" s="130" t="n">
        <f aca="false">'3. Assumptions'!I171/1000</f>
        <v>0</v>
      </c>
      <c r="L23" s="130" t="n">
        <f aca="false">'3. Assumptions'!J171/1000</f>
        <v>0</v>
      </c>
      <c r="M23" s="130" t="n">
        <f aca="false">'3. Assumptions'!K171/1000</f>
        <v>0</v>
      </c>
      <c r="N23" s="130" t="n">
        <f aca="false">'3. Assumptions'!L171/1000</f>
        <v>0</v>
      </c>
      <c r="O23" s="130" t="n">
        <f aca="false">'3. Assumptions'!M171/1000</f>
        <v>0</v>
      </c>
      <c r="P23" s="130" t="n">
        <f aca="false">'3. Assumptions'!N171/1000</f>
        <v>0</v>
      </c>
      <c r="Q23" s="130" t="n">
        <f aca="false">'3. Assumptions'!O171/1000</f>
        <v>0</v>
      </c>
      <c r="R23" s="212" t="n">
        <f aca="false">Q23</f>
        <v>0</v>
      </c>
      <c r="S23" s="258" t="n">
        <f aca="false">R23</f>
        <v>0</v>
      </c>
      <c r="T23" s="258" t="n">
        <f aca="false">S23</f>
        <v>0</v>
      </c>
      <c r="U23" s="258" t="n">
        <f aca="false">T23</f>
        <v>0</v>
      </c>
      <c r="V23" s="258" t="n">
        <f aca="false">U23</f>
        <v>0</v>
      </c>
      <c r="W23" s="258" t="n">
        <f aca="false">V23</f>
        <v>0</v>
      </c>
      <c r="X23" s="258" t="n">
        <f aca="false">W23</f>
        <v>0</v>
      </c>
      <c r="Y23" s="258" t="n">
        <f aca="false">X23</f>
        <v>0</v>
      </c>
      <c r="Z23" s="258" t="n">
        <f aca="false">Y23</f>
        <v>0</v>
      </c>
      <c r="AA23" s="258" t="n">
        <f aca="false">Z23</f>
        <v>0</v>
      </c>
      <c r="AB23" s="258" t="n">
        <f aca="false">AA23</f>
        <v>0</v>
      </c>
      <c r="AC23" s="258" t="n">
        <f aca="false">AB23</f>
        <v>0</v>
      </c>
      <c r="AD23" s="258" t="n">
        <f aca="false">AC23</f>
        <v>0</v>
      </c>
      <c r="AE23" s="258" t="n">
        <f aca="false">AD23</f>
        <v>0</v>
      </c>
      <c r="AF23" s="258" t="n">
        <f aca="false">AE23</f>
        <v>0</v>
      </c>
      <c r="AG23" s="258" t="n">
        <f aca="false">AF23</f>
        <v>0</v>
      </c>
      <c r="AH23" s="258" t="n">
        <f aca="false">AG23</f>
        <v>0</v>
      </c>
      <c r="AI23" s="258" t="n">
        <f aca="false">AH23</f>
        <v>0</v>
      </c>
      <c r="AJ23" s="258" t="n">
        <f aca="false">AI23</f>
        <v>0</v>
      </c>
      <c r="AK23" s="258" t="n">
        <f aca="false">AJ23</f>
        <v>0</v>
      </c>
      <c r="AL23" s="258" t="n">
        <f aca="false">AK23</f>
        <v>0</v>
      </c>
    </row>
    <row r="24" customFormat="false" ht="15" hidden="false" customHeight="false" outlineLevel="0" collapsed="false">
      <c r="D24" s="25"/>
      <c r="E24" s="1"/>
      <c r="F24" s="1"/>
      <c r="G24" s="1"/>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row>
    <row r="25" customFormat="false" ht="15" hidden="false" customHeight="false" outlineLevel="0" collapsed="false">
      <c r="B25" s="13" t="s">
        <v>181</v>
      </c>
      <c r="D25" s="25"/>
      <c r="E25" s="1"/>
      <c r="F25" s="1"/>
      <c r="G25" s="1"/>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row>
    <row r="26" customFormat="false" ht="15" hidden="false" customHeight="false" outlineLevel="0" collapsed="false">
      <c r="B26" s="30" t="s">
        <v>539</v>
      </c>
      <c r="D26" s="25"/>
      <c r="E26" s="1"/>
      <c r="F26" s="1"/>
      <c r="G26" s="1"/>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row>
    <row r="27" customFormat="false" ht="15" hidden="false" customHeight="false" outlineLevel="0" collapsed="false">
      <c r="B27" s="0" t="n">
        <f aca="false">B18</f>
        <v>1</v>
      </c>
      <c r="C27" s="0" t="str">
        <f aca="false">C18</f>
        <v>Refined Oil</v>
      </c>
      <c r="D27" s="25" t="s">
        <v>112</v>
      </c>
      <c r="E27" s="243" t="n">
        <f aca="false">'3. Assumptions'!G8</f>
        <v>1</v>
      </c>
      <c r="F27" s="1"/>
      <c r="G27" s="1"/>
      <c r="H27" s="130" t="n">
        <f aca="false">H18*$E10*(1+$F10)^H$6*$E27</f>
        <v>0</v>
      </c>
      <c r="I27" s="130" t="n">
        <f aca="false">I18*$E10*(1+$F10)^I$6*$E27</f>
        <v>0</v>
      </c>
      <c r="J27" s="130" t="n">
        <f aca="false">J18*$E10*(1+$F10)^J$6*$E27</f>
        <v>5217535.078125</v>
      </c>
      <c r="K27" s="130" t="n">
        <f aca="false">K18*$E10*(1+$F10)^K$6*$E27</f>
        <v>9626352.21914062</v>
      </c>
      <c r="L27" s="130" t="n">
        <f aca="false">L18*$E10*(1+$F10)^L$6*$E27</f>
        <v>10963345.5829102</v>
      </c>
      <c r="M27" s="130" t="n">
        <f aca="false">M18*$E10*(1+$F10)^M$6*$E27</f>
        <v>16856143.8337244</v>
      </c>
      <c r="N27" s="130" t="n">
        <f aca="false">N18*$E10*(1+$F10)^N$6*$E27</f>
        <v>17277547.4295675</v>
      </c>
      <c r="O27" s="130" t="n">
        <f aca="false">O18*$E10*(1+$F10)^O$6*$E27</f>
        <v>17709486.1153066</v>
      </c>
      <c r="P27" s="130" t="n">
        <f aca="false">P18*$E10*(1+$F10)^P$6*$E27</f>
        <v>18152223.2681893</v>
      </c>
      <c r="Q27" s="130" t="n">
        <f aca="false">Q18*$E10*(1+$F10)^Q$6*$E27</f>
        <v>18606028.849894</v>
      </c>
      <c r="R27" s="130" t="n">
        <f aca="false">R18*$E10*(1+$F10)^R$6*$E27</f>
        <v>19071179.5711414</v>
      </c>
      <c r="S27" s="130" t="n">
        <f aca="false">S18*$E10*(1+$F10)^S$6*$E27</f>
        <v>19547959.0604199</v>
      </c>
      <c r="T27" s="130" t="n">
        <f aca="false">T18*$E10*(1+$F10)^T$6*$E27</f>
        <v>20036658.0369304</v>
      </c>
      <c r="U27" s="130" t="n">
        <f aca="false">U18*$E10*(1+$F10)^U$6*$E27</f>
        <v>20537574.4878537</v>
      </c>
      <c r="V27" s="130" t="n">
        <f aca="false">V18*$E10*(1+$F10)^V$6*$E27</f>
        <v>21051013.85005</v>
      </c>
      <c r="W27" s="130" t="n">
        <f aca="false">W18*$E10*(1+$F10)^W$6*$E27</f>
        <v>21577289.1963013</v>
      </c>
      <c r="X27" s="130" t="n">
        <f aca="false">X18*$E10*(1+$F10)^X$6*$E27</f>
        <v>22116721.4262088</v>
      </c>
      <c r="Y27" s="130" t="n">
        <f aca="false">Y18*$E10*(1+$F10)^Y$6*$E27</f>
        <v>22669639.461864</v>
      </c>
      <c r="Z27" s="130" t="n">
        <f aca="false">Z18*$E10*(1+$F10)^Z$6*$E27</f>
        <v>23236380.4484106</v>
      </c>
      <c r="AA27" s="130" t="n">
        <f aca="false">AA18*$E10*(1+$F10)^AA$6*$E27</f>
        <v>23817289.9596209</v>
      </c>
      <c r="AB27" s="130" t="n">
        <f aca="false">AB18*$E10*(1+$F10)^AB$6*$E27</f>
        <v>24412722.2086114</v>
      </c>
      <c r="AC27" s="130" t="n">
        <f aca="false">AC18*$E10*(1+$F10)^AC$6*$E27</f>
        <v>25023040.2638267</v>
      </c>
      <c r="AD27" s="130" t="n">
        <f aca="false">AD18*$E10*(1+$F10)^AD$6*$E27</f>
        <v>25648616.2704224</v>
      </c>
      <c r="AE27" s="130" t="n">
        <f aca="false">AE18*$E10*(1+$F10)^AE$6*$E27</f>
        <v>26289831.6771829</v>
      </c>
      <c r="AF27" s="130" t="n">
        <f aca="false">AF18*$E10*(1+$F10)^AF$6*$E27</f>
        <v>26947077.4691125</v>
      </c>
      <c r="AG27" s="130" t="n">
        <f aca="false">AG18*$E10*(1+$F10)^AG$6*$E27</f>
        <v>27620754.4058403</v>
      </c>
      <c r="AH27" s="130" t="n">
        <f aca="false">AH18*$E10*(1+$F10)^AH$6*$E27</f>
        <v>28311273.2659863</v>
      </c>
      <c r="AI27" s="130" t="n">
        <f aca="false">AI18*$E10*(1+$F10)^AI$6*$E27</f>
        <v>29019055.0976359</v>
      </c>
      <c r="AJ27" s="130" t="n">
        <f aca="false">AJ18*$E10*(1+$F10)^AJ$6*$E27</f>
        <v>29744531.4750768</v>
      </c>
      <c r="AK27" s="130" t="n">
        <f aca="false">AK18*$E10*(1+$F10)^AK$6*$E27</f>
        <v>30488144.7619538</v>
      </c>
      <c r="AL27" s="130" t="n">
        <f aca="false">AL18*$E10*(1+$F10)^AL$6*$E27</f>
        <v>31250348.3810026</v>
      </c>
      <c r="AN27" s="95"/>
    </row>
    <row r="28" customFormat="false" ht="15" hidden="false" customHeight="false" outlineLevel="0" collapsed="false">
      <c r="B28" s="0" t="n">
        <f aca="false">B19</f>
        <v>2</v>
      </c>
      <c r="C28" s="0" t="str">
        <f aca="false">C19</f>
        <v>Moringa Leaves</v>
      </c>
      <c r="D28" s="25" t="s">
        <v>112</v>
      </c>
      <c r="E28" s="243" t="n">
        <f aca="false">'3. Assumptions'!G9</f>
        <v>1</v>
      </c>
      <c r="F28" s="1"/>
      <c r="G28" s="1"/>
      <c r="H28" s="130" t="n">
        <f aca="false">H19*$E11*(1+$F11)^H$6*$E28</f>
        <v>0</v>
      </c>
      <c r="I28" s="130" t="n">
        <f aca="false">I19*$E11*(1+$F11)^I$6*$E28</f>
        <v>305416.6875</v>
      </c>
      <c r="J28" s="130" t="n">
        <f aca="false">J19*$E11*(1+$F11)^J$6*$E28</f>
        <v>313052.1046875</v>
      </c>
      <c r="K28" s="130" t="n">
        <f aca="false">K19*$E11*(1+$F11)^K$6*$E28</f>
        <v>534797.345507812</v>
      </c>
      <c r="L28" s="130" t="n">
        <f aca="false">L19*$E11*(1+$F11)^L$6*$E28</f>
        <v>548167.279145508</v>
      </c>
      <c r="M28" s="130" t="n">
        <f aca="false">M19*$E11*(1+$F11)^M$6*$E28</f>
        <v>561871.461124145</v>
      </c>
      <c r="N28" s="130" t="n">
        <f aca="false">N19*$E11*(1+$F11)^N$6*$E28</f>
        <v>575918.247652249</v>
      </c>
      <c r="O28" s="130" t="n">
        <f aca="false">O19*$E11*(1+$F11)^O$6*$E28</f>
        <v>590316.203843555</v>
      </c>
      <c r="P28" s="130" t="n">
        <f aca="false">P19*$E11*(1+$F11)^P$6*$E28</f>
        <v>605074.108939644</v>
      </c>
      <c r="Q28" s="130" t="n">
        <f aca="false">Q19*$E11*(1+$F11)^Q$6*$E28</f>
        <v>620200.961663135</v>
      </c>
      <c r="R28" s="130" t="n">
        <f aca="false">R19*$E11*(1+$F11)^R$6*$E28</f>
        <v>635705.985704713</v>
      </c>
      <c r="S28" s="130" t="n">
        <f aca="false">S19*$E11*(1+$F11)^S$6*$E28</f>
        <v>651598.635347331</v>
      </c>
      <c r="T28" s="130" t="n">
        <f aca="false">T19*$E11*(1+$F11)^T$6*$E28</f>
        <v>667888.601231014</v>
      </c>
      <c r="U28" s="130" t="n">
        <f aca="false">U19*$E11*(1+$F11)^U$6*$E28</f>
        <v>684585.816261789</v>
      </c>
      <c r="V28" s="130" t="n">
        <f aca="false">V19*$E11*(1+$F11)^V$6*$E28</f>
        <v>701700.461668334</v>
      </c>
      <c r="W28" s="130" t="n">
        <f aca="false">W19*$E11*(1+$F11)^W$6*$E28</f>
        <v>719242.973210043</v>
      </c>
      <c r="X28" s="130" t="n">
        <f aca="false">X19*$E11*(1+$F11)^X$6*$E28</f>
        <v>737224.047540293</v>
      </c>
      <c r="Y28" s="130" t="n">
        <f aca="false">Y19*$E11*(1+$F11)^Y$6*$E28</f>
        <v>755654.648728801</v>
      </c>
      <c r="Z28" s="130" t="n">
        <f aca="false">Z19*$E11*(1+$F11)^Z$6*$E28</f>
        <v>774546.014947021</v>
      </c>
      <c r="AA28" s="130" t="n">
        <f aca="false">AA19*$E11*(1+$F11)^AA$6*$E28</f>
        <v>793909.665320696</v>
      </c>
      <c r="AB28" s="130" t="n">
        <f aca="false">AB19*$E11*(1+$F11)^AB$6*$E28</f>
        <v>813757.406953713</v>
      </c>
      <c r="AC28" s="130" t="n">
        <f aca="false">AC19*$E11*(1+$F11)^AC$6*$E28</f>
        <v>834101.342127556</v>
      </c>
      <c r="AD28" s="130" t="n">
        <f aca="false">AD19*$E11*(1+$F11)^AD$6*$E28</f>
        <v>854953.875680745</v>
      </c>
      <c r="AE28" s="130" t="n">
        <f aca="false">AE19*$E11*(1+$F11)^AE$6*$E28</f>
        <v>876327.722572764</v>
      </c>
      <c r="AF28" s="130" t="n">
        <f aca="false">AF19*$E11*(1+$F11)^AF$6*$E28</f>
        <v>898235.915637083</v>
      </c>
      <c r="AG28" s="130" t="n">
        <f aca="false">AG19*$E11*(1+$F11)^AG$6*$E28</f>
        <v>920691.81352801</v>
      </c>
      <c r="AH28" s="130" t="n">
        <f aca="false">AH19*$E11*(1+$F11)^AH$6*$E28</f>
        <v>943709.10886621</v>
      </c>
      <c r="AI28" s="130" t="n">
        <f aca="false">AI19*$E11*(1+$F11)^AI$6*$E28</f>
        <v>967301.836587865</v>
      </c>
      <c r="AJ28" s="130" t="n">
        <f aca="false">AJ19*$E11*(1+$F11)^AJ$6*$E28</f>
        <v>991484.382502561</v>
      </c>
      <c r="AK28" s="130" t="n">
        <f aca="false">AK19*$E11*(1+$F11)^AK$6*$E28</f>
        <v>1016271.49206513</v>
      </c>
      <c r="AL28" s="130" t="n">
        <f aca="false">AL19*$E11*(1+$F11)^AL$6*$E28</f>
        <v>1041678.27936675</v>
      </c>
      <c r="AN28" s="95"/>
    </row>
    <row r="29" customFormat="false" ht="15" hidden="false" customHeight="false" outlineLevel="0" collapsed="false">
      <c r="B29" s="0" t="n">
        <f aca="false">B20</f>
        <v>3</v>
      </c>
      <c r="C29" s="0" t="str">
        <f aca="false">C20</f>
        <v>Dry Mangos</v>
      </c>
      <c r="D29" s="25" t="s">
        <v>112</v>
      </c>
      <c r="E29" s="243" t="n">
        <f aca="false">'3. Assumptions'!G10</f>
        <v>0.3</v>
      </c>
      <c r="F29" s="1"/>
      <c r="G29" s="1"/>
      <c r="H29" s="130" t="n">
        <f aca="false">H20*$E12*(1+$F12)^H$6*$E29</f>
        <v>0</v>
      </c>
      <c r="I29" s="130" t="n">
        <f aca="false">I20*$E12*(1+$F12)^I$6*$E29</f>
        <v>190846.03125</v>
      </c>
      <c r="J29" s="130" t="n">
        <f aca="false">J20*$E12*(1+$F12)^J$6*$E29</f>
        <v>391234.3640625</v>
      </c>
      <c r="K29" s="130" t="n">
        <f aca="false">K20*$E12*(1+$F12)^K$6*$E29</f>
        <v>601522.834746094</v>
      </c>
      <c r="L29" s="130" t="n">
        <f aca="false">L20*$E12*(1+$F12)^L$6*$E29</f>
        <v>822081.207486328</v>
      </c>
      <c r="M29" s="130" t="n">
        <f aca="false">M20*$E12*(1+$F12)^M$6*$E29</f>
        <v>1053291.54709186</v>
      </c>
      <c r="N29" s="130" t="n">
        <f aca="false">N20*$E12*(1+$F12)^N$6*$E29</f>
        <v>1295548.60292298</v>
      </c>
      <c r="O29" s="130" t="n">
        <f aca="false">O20*$E12*(1+$F12)^O$6*$E29</f>
        <v>1549260.20432874</v>
      </c>
      <c r="P29" s="130" t="n">
        <f aca="false">P20*$E12*(1+$F12)^P$6*$E29</f>
        <v>1814847.66792795</v>
      </c>
      <c r="Q29" s="130" t="n">
        <f aca="false">Q20*$E12*(1+$F12)^Q$6*$E29</f>
        <v>2092746.21707941</v>
      </c>
      <c r="R29" s="130" t="n">
        <f aca="false">R20*$E12*(1+$F12)^R$6*$E29</f>
        <v>2145064.8725064</v>
      </c>
      <c r="S29" s="130" t="n">
        <f aca="false">S20*$E12*(1+$F12)^S$6*$E29</f>
        <v>2198691.49431906</v>
      </c>
      <c r="T29" s="130" t="n">
        <f aca="false">T20*$E12*(1+$F12)^T$6*$E29</f>
        <v>2253658.78167703</v>
      </c>
      <c r="U29" s="130" t="n">
        <f aca="false">U20*$E12*(1+$F12)^U$6*$E29</f>
        <v>2310000.25121896</v>
      </c>
      <c r="V29" s="130" t="n">
        <f aca="false">V20*$E12*(1+$F12)^V$6*$E29</f>
        <v>2367750.25749943</v>
      </c>
      <c r="W29" s="130" t="n">
        <f aca="false">W20*$E12*(1+$F12)^W$6*$E29</f>
        <v>2426944.01393692</v>
      </c>
      <c r="X29" s="130" t="n">
        <f aca="false">X20*$E12*(1+$F12)^X$6*$E29</f>
        <v>2487617.61428534</v>
      </c>
      <c r="Y29" s="130" t="n">
        <f aca="false">Y20*$E12*(1+$F12)^Y$6*$E29</f>
        <v>2549808.05464248</v>
      </c>
      <c r="Z29" s="130" t="n">
        <f aca="false">Z20*$E12*(1+$F12)^Z$6*$E29</f>
        <v>2613553.25600854</v>
      </c>
      <c r="AA29" s="130" t="n">
        <f aca="false">AA20*$E12*(1+$F12)^AA$6*$E29</f>
        <v>2678892.08740875</v>
      </c>
      <c r="AB29" s="130" t="n">
        <f aca="false">AB20*$E12*(1+$F12)^AB$6*$E29</f>
        <v>2745864.38959397</v>
      </c>
      <c r="AC29" s="130" t="n">
        <f aca="false">AC20*$E12*(1+$F12)^AC$6*$E29</f>
        <v>2814510.99933382</v>
      </c>
      <c r="AD29" s="130" t="n">
        <f aca="false">AD20*$E12*(1+$F12)^AD$6*$E29</f>
        <v>2884873.77431716</v>
      </c>
      <c r="AE29" s="130" t="n">
        <f aca="false">AE20*$E12*(1+$F12)^AE$6*$E29</f>
        <v>2956995.61867509</v>
      </c>
      <c r="AF29" s="130" t="n">
        <f aca="false">AF20*$E12*(1+$F12)^AF$6*$E29</f>
        <v>3030920.50914197</v>
      </c>
      <c r="AG29" s="130" t="n">
        <f aca="false">AG20*$E12*(1+$F12)^AG$6*$E29</f>
        <v>3106693.52187052</v>
      </c>
      <c r="AH29" s="130" t="n">
        <f aca="false">AH20*$E12*(1+$F12)^AH$6*$E29</f>
        <v>3184360.85991728</v>
      </c>
      <c r="AI29" s="130" t="n">
        <f aca="false">AI20*$E12*(1+$F12)^AI$6*$E29</f>
        <v>3263969.88141521</v>
      </c>
      <c r="AJ29" s="130" t="n">
        <f aca="false">AJ20*$E12*(1+$F12)^AJ$6*$E29</f>
        <v>3345569.12845059</v>
      </c>
      <c r="AK29" s="130" t="n">
        <f aca="false">AK20*$E12*(1+$F12)^AK$6*$E29</f>
        <v>3429208.35666186</v>
      </c>
      <c r="AL29" s="130" t="n">
        <f aca="false">AL20*$E12*(1+$F12)^AL$6*$E29</f>
        <v>3514938.5655784</v>
      </c>
      <c r="AN29" s="95"/>
    </row>
    <row r="30" customFormat="false" ht="15" hidden="false" customHeight="false" outlineLevel="0" collapsed="false">
      <c r="B30" s="0" t="n">
        <f aca="false">B21</f>
        <v>4</v>
      </c>
      <c r="C30" s="0" t="str">
        <f aca="false">C21</f>
        <v>Shea Butter</v>
      </c>
      <c r="D30" s="25" t="s">
        <v>112</v>
      </c>
      <c r="E30" s="243" t="n">
        <f aca="false">'3. Assumptions'!G11</f>
        <v>0.3</v>
      </c>
      <c r="F30" s="1"/>
      <c r="G30" s="1"/>
      <c r="H30" s="130" t="n">
        <f aca="false">H21*$E13*(1+$F13)^H$6*$E30</f>
        <v>0</v>
      </c>
      <c r="I30" s="130" t="n">
        <f aca="false">I21*$E13*(1+$F13)^I$6*$E30</f>
        <v>0</v>
      </c>
      <c r="J30" s="130" t="n">
        <f aca="false">J21*$E13*(1+$F13)^J$6*$E30</f>
        <v>0</v>
      </c>
      <c r="K30" s="130" t="n">
        <f aca="false">K21*$E13*(1+$F13)^K$6*$E30</f>
        <v>0</v>
      </c>
      <c r="L30" s="130" t="n">
        <f aca="false">L21*$E13*(1+$F13)^L$6*$E30</f>
        <v>0</v>
      </c>
      <c r="M30" s="130" t="n">
        <f aca="false">M21*$E13*(1+$F13)^M$6*$E30</f>
        <v>0</v>
      </c>
      <c r="N30" s="130" t="n">
        <f aca="false">N21*$E13*(1+$F13)^N$6*$E30</f>
        <v>0</v>
      </c>
      <c r="O30" s="130" t="n">
        <f aca="false">O21*$E13*(1+$F13)^O$6*$E30</f>
        <v>0</v>
      </c>
      <c r="P30" s="130" t="n">
        <f aca="false">P21*$E13*(1+$F13)^P$6*$E30</f>
        <v>0</v>
      </c>
      <c r="Q30" s="130" t="n">
        <f aca="false">Q21*$E13*(1+$F13)^Q$6*$E30</f>
        <v>0</v>
      </c>
      <c r="R30" s="130" t="n">
        <f aca="false">R21*$E13*(1+$F13)^R$6*$E30</f>
        <v>0</v>
      </c>
      <c r="S30" s="130" t="n">
        <f aca="false">S21*$E13*(1+$F13)^S$6*$E30</f>
        <v>0</v>
      </c>
      <c r="T30" s="130" t="n">
        <f aca="false">T21*$E13*(1+$F13)^T$6*$E30</f>
        <v>0</v>
      </c>
      <c r="U30" s="130" t="n">
        <f aca="false">U21*$E13*(1+$F13)^U$6*$E30</f>
        <v>0</v>
      </c>
      <c r="V30" s="130" t="n">
        <f aca="false">V21*$E13*(1+$F13)^V$6*$E30</f>
        <v>0</v>
      </c>
      <c r="W30" s="130" t="n">
        <f aca="false">W21*$E13*(1+$F13)^W$6*$E30</f>
        <v>0</v>
      </c>
      <c r="X30" s="130" t="n">
        <f aca="false">X21*$E13*(1+$F13)^X$6*$E30</f>
        <v>0</v>
      </c>
      <c r="Y30" s="130" t="n">
        <f aca="false">Y21*$E13*(1+$F13)^Y$6*$E30</f>
        <v>0</v>
      </c>
      <c r="Z30" s="130" t="n">
        <f aca="false">Z21*$E13*(1+$F13)^Z$6*$E30</f>
        <v>0</v>
      </c>
      <c r="AA30" s="130" t="n">
        <f aca="false">AA21*$E13*(1+$F13)^AA$6*$E30</f>
        <v>0</v>
      </c>
      <c r="AB30" s="130" t="n">
        <f aca="false">AB21*$E13*(1+$F13)^AB$6*$E30</f>
        <v>0</v>
      </c>
      <c r="AC30" s="130" t="n">
        <f aca="false">AC21*$E13*(1+$F13)^AC$6*$E30</f>
        <v>0</v>
      </c>
      <c r="AD30" s="130" t="n">
        <f aca="false">AD21*$E13*(1+$F13)^AD$6*$E30</f>
        <v>0</v>
      </c>
      <c r="AE30" s="130" t="n">
        <f aca="false">AE21*$E13*(1+$F13)^AE$6*$E30</f>
        <v>0</v>
      </c>
      <c r="AF30" s="130" t="n">
        <f aca="false">AF21*$E13*(1+$F13)^AF$6*$E30</f>
        <v>0</v>
      </c>
      <c r="AG30" s="130" t="n">
        <f aca="false">AG21*$E13*(1+$F13)^AG$6*$E30</f>
        <v>0</v>
      </c>
      <c r="AH30" s="130" t="n">
        <f aca="false">AH21*$E13*(1+$F13)^AH$6*$E30</f>
        <v>0</v>
      </c>
      <c r="AI30" s="130" t="n">
        <f aca="false">AI21*$E13*(1+$F13)^AI$6*$E30</f>
        <v>0</v>
      </c>
      <c r="AJ30" s="130" t="n">
        <f aca="false">AJ21*$E13*(1+$F13)^AJ$6*$E30</f>
        <v>0</v>
      </c>
      <c r="AK30" s="130" t="n">
        <f aca="false">AK21*$E13*(1+$F13)^AK$6*$E30</f>
        <v>0</v>
      </c>
      <c r="AL30" s="130" t="n">
        <f aca="false">AL21*$E13*(1+$F13)^AL$6*$E30</f>
        <v>0</v>
      </c>
      <c r="AN30" s="95"/>
    </row>
    <row r="31" customFormat="false" ht="15" hidden="false" customHeight="false" outlineLevel="0" collapsed="false">
      <c r="B31" s="0" t="n">
        <f aca="false">B22</f>
        <v>5</v>
      </c>
      <c r="C31" s="0" t="str">
        <f aca="false">C22</f>
        <v>Fertilisers Compost</v>
      </c>
      <c r="D31" s="25" t="s">
        <v>112</v>
      </c>
      <c r="E31" s="243" t="n">
        <f aca="false">'3. Assumptions'!G12</f>
        <v>1</v>
      </c>
      <c r="F31" s="1"/>
      <c r="G31" s="1"/>
      <c r="H31" s="130" t="n">
        <f aca="false">H22*$E14*(1+$F14)^H$6*$E31</f>
        <v>0</v>
      </c>
      <c r="I31" s="130" t="n">
        <f aca="false">I22*$E14*(1+$F14)^I$6*$E31</f>
        <v>126075</v>
      </c>
      <c r="J31" s="130" t="n">
        <f aca="false">J22*$E14*(1+$F14)^J$6*$E31</f>
        <v>258453.75</v>
      </c>
      <c r="K31" s="130" t="n">
        <f aca="false">K22*$E14*(1+$F14)^K$6*$E31</f>
        <v>397372.640625</v>
      </c>
      <c r="L31" s="130" t="n">
        <f aca="false">L22*$E14*(1+$F14)^L$6*$E31</f>
        <v>543075.9421875</v>
      </c>
      <c r="M31" s="130" t="n">
        <f aca="false">M22*$E14*(1+$F14)^M$6*$E31</f>
        <v>695816.050927734</v>
      </c>
      <c r="N31" s="130" t="n">
        <f aca="false">N22*$E14*(1+$F14)^N$6*$E31</f>
        <v>855853.742641113</v>
      </c>
      <c r="O31" s="130" t="n">
        <f aca="false">O22*$E14*(1+$F14)^O$6*$E31</f>
        <v>1023458.43390833</v>
      </c>
      <c r="P31" s="130" t="n">
        <f aca="false">P22*$E14*(1+$F14)^P$6*$E31</f>
        <v>1198908.45114976</v>
      </c>
      <c r="Q31" s="130" t="n">
        <f aca="false">Q22*$E14*(1+$F14)^Q$6*$E31</f>
        <v>1382491.30773207</v>
      </c>
      <c r="R31" s="130" t="n">
        <f aca="false">R22*$E14*(1+$F14)^R$6*$E31</f>
        <v>1417053.59042537</v>
      </c>
      <c r="S31" s="130" t="n">
        <f aca="false">S22*$E14*(1+$F14)^S$6*$E31</f>
        <v>1452479.930186</v>
      </c>
      <c r="T31" s="130" t="n">
        <f aca="false">T22*$E14*(1+$F14)^T$6*$E31</f>
        <v>1488791.92844065</v>
      </c>
      <c r="U31" s="130" t="n">
        <f aca="false">U22*$E14*(1+$F14)^U$6*$E31</f>
        <v>1526011.72665167</v>
      </c>
      <c r="V31" s="130" t="n">
        <f aca="false">V22*$E14*(1+$F14)^V$6*$E31</f>
        <v>1564162.01981796</v>
      </c>
      <c r="W31" s="130" t="n">
        <f aca="false">W22*$E14*(1+$F14)^W$6*$E31</f>
        <v>1603266.07031341</v>
      </c>
      <c r="X31" s="130" t="n">
        <f aca="false">X22*$E14*(1+$F14)^X$6*$E31</f>
        <v>1643347.72207124</v>
      </c>
      <c r="Y31" s="130" t="n">
        <f aca="false">Y22*$E14*(1+$F14)^Y$6*$E31</f>
        <v>1684431.41512302</v>
      </c>
      <c r="Z31" s="130" t="n">
        <f aca="false">Z22*$E14*(1+$F14)^Z$6*$E31</f>
        <v>1726542.2005011</v>
      </c>
      <c r="AA31" s="130" t="n">
        <f aca="false">AA22*$E14*(1+$F14)^AA$6*$E31</f>
        <v>1769705.75551363</v>
      </c>
      <c r="AB31" s="130" t="n">
        <f aca="false">AB22*$E14*(1+$F14)^AB$6*$E31</f>
        <v>1813948.39940147</v>
      </c>
      <c r="AC31" s="130" t="n">
        <f aca="false">AC22*$E14*(1+$F14)^AC$6*$E31</f>
        <v>1859297.1093865</v>
      </c>
      <c r="AD31" s="130" t="n">
        <f aca="false">AD22*$E14*(1+$F14)^AD$6*$E31</f>
        <v>1905779.53712117</v>
      </c>
      <c r="AE31" s="130" t="n">
        <f aca="false">AE22*$E14*(1+$F14)^AE$6*$E31</f>
        <v>1953424.02554919</v>
      </c>
      <c r="AF31" s="130" t="n">
        <f aca="false">AF22*$E14*(1+$F14)^AF$6*$E31</f>
        <v>2002259.62618792</v>
      </c>
      <c r="AG31" s="130" t="n">
        <f aca="false">AG22*$E14*(1+$F14)^AG$6*$E31</f>
        <v>2052316.11684262</v>
      </c>
      <c r="AH31" s="130" t="n">
        <f aca="false">AH22*$E14*(1+$F14)^AH$6*$E31</f>
        <v>2103624.01976369</v>
      </c>
      <c r="AI31" s="130" t="n">
        <f aca="false">AI22*$E14*(1+$F14)^AI$6*$E31</f>
        <v>2156214.62025778</v>
      </c>
      <c r="AJ31" s="130" t="n">
        <f aca="false">AJ22*$E14*(1+$F14)^AJ$6*$E31</f>
        <v>2210119.98576422</v>
      </c>
      <c r="AK31" s="130" t="n">
        <f aca="false">AK22*$E14*(1+$F14)^AK$6*$E31</f>
        <v>2265372.98540833</v>
      </c>
      <c r="AL31" s="130" t="n">
        <f aca="false">AL22*$E14*(1+$F14)^AL$6*$E31</f>
        <v>2322007.31004354</v>
      </c>
      <c r="AN31" s="95"/>
    </row>
    <row r="32" customFormat="false" ht="15" hidden="false" customHeight="false" outlineLevel="0" collapsed="false">
      <c r="B32" s="0" t="n">
        <f aca="false">B23</f>
        <v>6</v>
      </c>
      <c r="C32" s="0" t="str">
        <f aca="false">C23</f>
        <v>Biochar</v>
      </c>
      <c r="D32" s="25" t="s">
        <v>112</v>
      </c>
      <c r="E32" s="273" t="n">
        <f aca="false">'3. Assumptions'!G13</f>
        <v>0</v>
      </c>
      <c r="F32" s="1"/>
      <c r="G32" s="1"/>
      <c r="H32" s="130" t="n">
        <f aca="false">H23*$E15*(1+$F15)^H$6*$E32</f>
        <v>0</v>
      </c>
      <c r="I32" s="130" t="n">
        <f aca="false">I23*$E15*(1+$F15)^I$6*$E32</f>
        <v>0</v>
      </c>
      <c r="J32" s="130" t="n">
        <f aca="false">J23*$E15*(1+$F15)^J$6*$E32</f>
        <v>0</v>
      </c>
      <c r="K32" s="130" t="n">
        <f aca="false">K23*$E15*(1+$F15)^K$6*$E32</f>
        <v>0</v>
      </c>
      <c r="L32" s="130" t="n">
        <f aca="false">L23*$E15*(1+$F15)^L$6*$E32</f>
        <v>0</v>
      </c>
      <c r="M32" s="130" t="n">
        <f aca="false">M23*$E15*(1+$F15)^M$6*$E32</f>
        <v>0</v>
      </c>
      <c r="N32" s="130" t="n">
        <f aca="false">N23*$E15*(1+$F15)^N$6*$E32</f>
        <v>0</v>
      </c>
      <c r="O32" s="130" t="n">
        <f aca="false">O23*$E15*(1+$F15)^O$6*$E32</f>
        <v>0</v>
      </c>
      <c r="P32" s="130" t="n">
        <f aca="false">P23*$E15*(1+$F15)^P$6*$E32</f>
        <v>0</v>
      </c>
      <c r="Q32" s="130" t="n">
        <f aca="false">Q23*$E15*(1+$F15)^Q$6*$E32</f>
        <v>0</v>
      </c>
      <c r="R32" s="130" t="n">
        <f aca="false">R23*$E15*(1+$F15)^R$6*$E32</f>
        <v>0</v>
      </c>
      <c r="S32" s="130" t="n">
        <f aca="false">S23*$E15*(1+$F15)^S$6*$E32</f>
        <v>0</v>
      </c>
      <c r="T32" s="130" t="n">
        <f aca="false">T23*$E15*(1+$F15)^T$6*$E32</f>
        <v>0</v>
      </c>
      <c r="U32" s="130" t="n">
        <f aca="false">U23*$E15*(1+$F15)^U$6*$E32</f>
        <v>0</v>
      </c>
      <c r="V32" s="130" t="n">
        <f aca="false">V23*$E15*(1+$F15)^V$6*$E32</f>
        <v>0</v>
      </c>
      <c r="W32" s="130" t="n">
        <f aca="false">W23*$E15*(1+$F15)^W$6*$E32</f>
        <v>0</v>
      </c>
      <c r="X32" s="130" t="n">
        <f aca="false">X23*$E15*(1+$F15)^X$6*$E32</f>
        <v>0</v>
      </c>
      <c r="Y32" s="130" t="n">
        <f aca="false">Y23*$E15*(1+$F15)^Y$6*$E32</f>
        <v>0</v>
      </c>
      <c r="Z32" s="130" t="n">
        <f aca="false">Z23*$E15*(1+$F15)^Z$6*$E32</f>
        <v>0</v>
      </c>
      <c r="AA32" s="130" t="n">
        <f aca="false">AA23*$E15*(1+$F15)^AA$6*$E32</f>
        <v>0</v>
      </c>
      <c r="AB32" s="130" t="n">
        <f aca="false">AB23*$E15*(1+$F15)^AB$6*$E32</f>
        <v>0</v>
      </c>
      <c r="AC32" s="130" t="n">
        <f aca="false">AC23*$E15*(1+$F15)^AC$6*$E32</f>
        <v>0</v>
      </c>
      <c r="AD32" s="130" t="n">
        <f aca="false">AD23*$E15*(1+$F15)^AD$6*$E32</f>
        <v>0</v>
      </c>
      <c r="AE32" s="130" t="n">
        <f aca="false">AE23*$E15*(1+$F15)^AE$6*$E32</f>
        <v>0</v>
      </c>
      <c r="AF32" s="130" t="n">
        <f aca="false">AF23*$E15*(1+$F15)^AF$6*$E32</f>
        <v>0</v>
      </c>
      <c r="AG32" s="130" t="n">
        <f aca="false">AG23*$E15*(1+$F15)^AG$6*$E32</f>
        <v>0</v>
      </c>
      <c r="AH32" s="130" t="n">
        <f aca="false">AH23*$E15*(1+$F15)^AH$6*$E32</f>
        <v>0</v>
      </c>
      <c r="AI32" s="130" t="n">
        <f aca="false">AI23*$E15*(1+$F15)^AI$6*$E32</f>
        <v>0</v>
      </c>
      <c r="AJ32" s="130" t="n">
        <f aca="false">AJ23*$E15*(1+$F15)^AJ$6*$E32</f>
        <v>0</v>
      </c>
      <c r="AK32" s="130" t="n">
        <f aca="false">AK23*$E15*(1+$F15)^AK$6*$E32</f>
        <v>0</v>
      </c>
      <c r="AL32" s="130" t="n">
        <f aca="false">AL23*$E15*(1+$F15)^AL$6*$E32</f>
        <v>0</v>
      </c>
      <c r="AN32" s="95"/>
    </row>
    <row r="33" customFormat="false" ht="15" hidden="false" customHeight="false" outlineLevel="0" collapsed="false">
      <c r="B33" s="226" t="str">
        <f aca="false">"Total "&amp;B26</f>
        <v>Total Revenue from products</v>
      </c>
      <c r="C33" s="227"/>
      <c r="D33" s="274"/>
      <c r="E33" s="275"/>
      <c r="F33" s="276"/>
      <c r="G33" s="276"/>
      <c r="H33" s="277" t="n">
        <f aca="false">SUM(H27:H32)</f>
        <v>0</v>
      </c>
      <c r="I33" s="277" t="n">
        <f aca="false">SUM(I27:I32)</f>
        <v>622337.71875</v>
      </c>
      <c r="J33" s="277" t="n">
        <f aca="false">SUM(J27:J32)</f>
        <v>6180275.296875</v>
      </c>
      <c r="K33" s="277" t="n">
        <f aca="false">SUM(K27:K32)</f>
        <v>11160045.0400195</v>
      </c>
      <c r="L33" s="277" t="n">
        <f aca="false">SUM(L27:L32)</f>
        <v>12876670.0117295</v>
      </c>
      <c r="M33" s="277" t="n">
        <f aca="false">SUM(M27:M32)</f>
        <v>19167122.8928681</v>
      </c>
      <c r="N33" s="277" t="n">
        <f aca="false">SUM(N27:N32)</f>
        <v>20004868.0227838</v>
      </c>
      <c r="O33" s="277" t="n">
        <f aca="false">SUM(O27:O32)</f>
        <v>20872520.9573873</v>
      </c>
      <c r="P33" s="277" t="n">
        <f aca="false">SUM(P27:P32)</f>
        <v>21771053.4962067</v>
      </c>
      <c r="Q33" s="277" t="n">
        <f aca="false">SUM(Q27:Q32)</f>
        <v>22701467.3363687</v>
      </c>
      <c r="R33" s="277" t="n">
        <f aca="false">SUM(R27:R32)</f>
        <v>23269004.0197779</v>
      </c>
      <c r="S33" s="277" t="n">
        <f aca="false">SUM(S27:S32)</f>
        <v>23850729.1202723</v>
      </c>
      <c r="T33" s="277" t="n">
        <f aca="false">SUM(T27:T32)</f>
        <v>24446997.3482791</v>
      </c>
      <c r="U33" s="277" t="n">
        <f aca="false">SUM(U27:U32)</f>
        <v>25058172.2819861</v>
      </c>
      <c r="V33" s="277" t="n">
        <f aca="false">SUM(V27:V32)</f>
        <v>25684626.5890358</v>
      </c>
      <c r="W33" s="277" t="n">
        <f aca="false">SUM(W27:W32)</f>
        <v>26326742.2537616</v>
      </c>
      <c r="X33" s="277" t="n">
        <f aca="false">SUM(X27:X32)</f>
        <v>26984910.8101057</v>
      </c>
      <c r="Y33" s="277" t="n">
        <f aca="false">SUM(Y27:Y32)</f>
        <v>27659533.5803583</v>
      </c>
      <c r="Z33" s="277" t="n">
        <f aca="false">SUM(Z27:Z32)</f>
        <v>28351021.9198673</v>
      </c>
      <c r="AA33" s="277" t="n">
        <f aca="false">SUM(AA27:AA32)</f>
        <v>29059797.467864</v>
      </c>
      <c r="AB33" s="277" t="n">
        <f aca="false">SUM(AB27:AB32)</f>
        <v>29786292.4045606</v>
      </c>
      <c r="AC33" s="277" t="n">
        <f aca="false">SUM(AC27:AC32)</f>
        <v>30530949.7146746</v>
      </c>
      <c r="AD33" s="277" t="n">
        <f aca="false">SUM(AD27:AD32)</f>
        <v>31294223.4575414</v>
      </c>
      <c r="AE33" s="277" t="n">
        <f aca="false">SUM(AE27:AE32)</f>
        <v>32076579.04398</v>
      </c>
      <c r="AF33" s="277" t="n">
        <f aca="false">SUM(AF27:AF32)</f>
        <v>32878493.5200795</v>
      </c>
      <c r="AG33" s="277" t="n">
        <f aca="false">SUM(AG27:AG32)</f>
        <v>33700455.8580814</v>
      </c>
      <c r="AH33" s="277" t="n">
        <f aca="false">SUM(AH27:AH32)</f>
        <v>34542967.2545335</v>
      </c>
      <c r="AI33" s="277" t="n">
        <f aca="false">SUM(AI27:AI32)</f>
        <v>35406541.4358968</v>
      </c>
      <c r="AJ33" s="277" t="n">
        <f aca="false">SUM(AJ27:AJ32)</f>
        <v>36291704.9717942</v>
      </c>
      <c r="AK33" s="277" t="n">
        <f aca="false">SUM(AK27:AK32)</f>
        <v>37198997.5960891</v>
      </c>
      <c r="AL33" s="277" t="n">
        <f aca="false">SUM(AL27:AL32)</f>
        <v>38128972.5359913</v>
      </c>
      <c r="AN33" s="95"/>
    </row>
    <row r="34" customFormat="false" ht="15" hidden="false" customHeight="false" outlineLevel="0" collapsed="false">
      <c r="D34" s="25"/>
      <c r="E34" s="25"/>
      <c r="F34" s="1"/>
      <c r="G34" s="1"/>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N34" s="95"/>
    </row>
    <row r="35" customFormat="false" ht="15" hidden="false" customHeight="false" outlineLevel="0" collapsed="false">
      <c r="B35" s="30" t="s">
        <v>540</v>
      </c>
      <c r="D35" s="25"/>
      <c r="E35" s="1"/>
      <c r="F35" s="1"/>
      <c r="G35" s="1"/>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N35" s="95"/>
    </row>
    <row r="36" customFormat="false" ht="15" hidden="false" customHeight="false" outlineLevel="0" collapsed="false">
      <c r="B36" s="0" t="n">
        <f aca="false">B29</f>
        <v>3</v>
      </c>
      <c r="C36" s="0" t="str">
        <f aca="false">C29</f>
        <v>Dry Mangos</v>
      </c>
      <c r="D36" s="25" t="s">
        <v>112</v>
      </c>
      <c r="E36" s="271" t="n">
        <f aca="false">'3. Assumptions'!E16</f>
        <v>100</v>
      </c>
      <c r="F36" s="243" t="n">
        <f aca="false">IF('1. Project Summary'!$F$13="Real",0,'3. Assumptions'!F16)</f>
        <v>0.025</v>
      </c>
      <c r="G36" s="1"/>
      <c r="H36" s="130" t="n">
        <f aca="false">H20*$E36*(1+$F36)^H$6</f>
        <v>0</v>
      </c>
      <c r="I36" s="130" t="n">
        <f aca="false">I20*$E36*(1+$F36)^I$6</f>
        <v>18175.8125</v>
      </c>
      <c r="J36" s="130" t="n">
        <f aca="false">J20*$E36*(1+$F36)^J$6</f>
        <v>37260.415625</v>
      </c>
      <c r="K36" s="130" t="n">
        <f aca="false">K20*$E36*(1+$F36)^K$6</f>
        <v>57287.8890234375</v>
      </c>
      <c r="L36" s="130" t="n">
        <f aca="false">L20*$E36*(1+$F36)^L$6</f>
        <v>78293.4483320312</v>
      </c>
      <c r="M36" s="130" t="n">
        <f aca="false">M20*$E36*(1+$F36)^M$6</f>
        <v>100313.480675415</v>
      </c>
      <c r="N36" s="130" t="n">
        <f aca="false">N20*$E36*(1+$F36)^N$6</f>
        <v>123385.58123076</v>
      </c>
      <c r="O36" s="130" t="n">
        <f aca="false">O20*$E36*(1+$F36)^O$6</f>
        <v>147548.590888451</v>
      </c>
      <c r="P36" s="130" t="n">
        <f aca="false">P20*$E36*(1+$F36)^P$6</f>
        <v>172842.635040757</v>
      </c>
      <c r="Q36" s="130" t="n">
        <f aca="false">Q20*$E36*(1+$F36)^Q$6</f>
        <v>199309.163531373</v>
      </c>
      <c r="R36" s="130" t="n">
        <f aca="false">R20*$E36*(1+$F36)^R$6</f>
        <v>204291.892619657</v>
      </c>
      <c r="S36" s="130" t="n">
        <f aca="false">S20*$E36*(1+$F36)^S$6</f>
        <v>209399.189935148</v>
      </c>
      <c r="T36" s="130" t="n">
        <f aca="false">T20*$E36*(1+$F36)^T$6</f>
        <v>214634.169683527</v>
      </c>
      <c r="U36" s="130" t="n">
        <f aca="false">U20*$E36*(1+$F36)^U$6</f>
        <v>220000.023925615</v>
      </c>
      <c r="V36" s="130" t="n">
        <f aca="false">V20*$E36*(1+$F36)^V$6</f>
        <v>225500.024523756</v>
      </c>
      <c r="W36" s="130" t="n">
        <f aca="false">W20*$E36*(1+$F36)^W$6</f>
        <v>231137.52513685</v>
      </c>
      <c r="X36" s="130" t="n">
        <f aca="false">X20*$E36*(1+$F36)^X$6</f>
        <v>236915.963265271</v>
      </c>
      <c r="Y36" s="130" t="n">
        <f aca="false">Y20*$E36*(1+$F36)^Y$6</f>
        <v>242838.862346903</v>
      </c>
      <c r="Z36" s="130" t="n">
        <f aca="false">Z20*$E36*(1+$F36)^Z$6</f>
        <v>248909.833905575</v>
      </c>
      <c r="AA36" s="130" t="n">
        <f aca="false">AA20*$E36*(1+$F36)^AA$6</f>
        <v>255132.579753214</v>
      </c>
      <c r="AB36" s="130" t="n">
        <f aca="false">AB20*$E36*(1+$F36)^AB$6</f>
        <v>261510.894247045</v>
      </c>
      <c r="AC36" s="130" t="n">
        <f aca="false">AC20*$E36*(1+$F36)^AC$6</f>
        <v>268048.666603221</v>
      </c>
      <c r="AD36" s="130" t="n">
        <f aca="false">AD20*$E36*(1+$F36)^AD$6</f>
        <v>274749.883268301</v>
      </c>
      <c r="AE36" s="130" t="n">
        <f aca="false">AE20*$E36*(1+$F36)^AE$6</f>
        <v>281618.630350009</v>
      </c>
      <c r="AF36" s="130" t="n">
        <f aca="false">AF20*$E36*(1+$F36)^AF$6</f>
        <v>288659.096108759</v>
      </c>
      <c r="AG36" s="130" t="n">
        <f aca="false">AG20*$E36*(1+$F36)^AG$6</f>
        <v>295875.573511478</v>
      </c>
      <c r="AH36" s="130" t="n">
        <f aca="false">AH20*$E36*(1+$F36)^AH$6</f>
        <v>303272.462849265</v>
      </c>
      <c r="AI36" s="130" t="n">
        <f aca="false">AI20*$E36*(1+$F36)^AI$6</f>
        <v>310854.274420497</v>
      </c>
      <c r="AJ36" s="130" t="n">
        <f aca="false">AJ20*$E36*(1+$F36)^AJ$6</f>
        <v>318625.631281009</v>
      </c>
      <c r="AK36" s="130" t="n">
        <f aca="false">AK20*$E36*(1+$F36)^AK$6</f>
        <v>326591.272063034</v>
      </c>
      <c r="AL36" s="130" t="n">
        <f aca="false">AL20*$E36*(1+$F36)^AL$6</f>
        <v>334756.05386461</v>
      </c>
      <c r="AN36" s="95"/>
    </row>
    <row r="37" customFormat="false" ht="15" hidden="false" customHeight="false" outlineLevel="0" collapsed="false">
      <c r="B37" s="56" t="n">
        <f aca="false">B30</f>
        <v>4</v>
      </c>
      <c r="C37" s="56" t="str">
        <f aca="false">C30</f>
        <v>Shea Butter</v>
      </c>
      <c r="D37" s="116" t="s">
        <v>112</v>
      </c>
      <c r="E37" s="271" t="n">
        <f aca="false">'3. Assumptions'!E17</f>
        <v>200</v>
      </c>
      <c r="F37" s="243" t="n">
        <f aca="false">IF('1. Project Summary'!$F$13="Real",0,'3. Assumptions'!F17)</f>
        <v>0.025</v>
      </c>
      <c r="G37" s="133"/>
      <c r="H37" s="278" t="n">
        <f aca="false">H21*$E37*(1+$F37)^H$6</f>
        <v>0</v>
      </c>
      <c r="I37" s="278" t="n">
        <f aca="false">I21*$E37*(1+$F37)^I$6</f>
        <v>0</v>
      </c>
      <c r="J37" s="278" t="n">
        <f aca="false">J21*$E37*(1+$F37)^J$6</f>
        <v>0</v>
      </c>
      <c r="K37" s="278" t="n">
        <f aca="false">K21*$E37*(1+$F37)^K$6</f>
        <v>0</v>
      </c>
      <c r="L37" s="278" t="n">
        <f aca="false">L21*$E37*(1+$F37)^L$6</f>
        <v>0</v>
      </c>
      <c r="M37" s="278" t="n">
        <f aca="false">M21*$E37*(1+$F37)^M$6</f>
        <v>0</v>
      </c>
      <c r="N37" s="278" t="n">
        <f aca="false">N21*$E37*(1+$F37)^N$6</f>
        <v>0</v>
      </c>
      <c r="O37" s="278" t="n">
        <f aca="false">O21*$E37*(1+$F37)^O$6</f>
        <v>0</v>
      </c>
      <c r="P37" s="278" t="n">
        <f aca="false">P21*$E37*(1+$F37)^P$6</f>
        <v>0</v>
      </c>
      <c r="Q37" s="278" t="n">
        <f aca="false">Q21*$E37*(1+$F37)^Q$6</f>
        <v>0</v>
      </c>
      <c r="R37" s="278" t="n">
        <f aca="false">R21*$E37*(1+$F37)^R$6</f>
        <v>0</v>
      </c>
      <c r="S37" s="278" t="n">
        <f aca="false">S21*$E37*(1+$F37)^S$6</f>
        <v>0</v>
      </c>
      <c r="T37" s="278" t="n">
        <f aca="false">T21*$E37*(1+$F37)^T$6</f>
        <v>0</v>
      </c>
      <c r="U37" s="278" t="n">
        <f aca="false">U21*$E37*(1+$F37)^U$6</f>
        <v>0</v>
      </c>
      <c r="V37" s="278" t="n">
        <f aca="false">V21*$E37*(1+$F37)^V$6</f>
        <v>0</v>
      </c>
      <c r="W37" s="278" t="n">
        <f aca="false">W21*$E37*(1+$F37)^W$6</f>
        <v>0</v>
      </c>
      <c r="X37" s="278" t="n">
        <f aca="false">X21*$E37*(1+$F37)^X$6</f>
        <v>0</v>
      </c>
      <c r="Y37" s="278" t="n">
        <f aca="false">Y21*$E37*(1+$F37)^Y$6</f>
        <v>0</v>
      </c>
      <c r="Z37" s="278" t="n">
        <f aca="false">Z21*$E37*(1+$F37)^Z$6</f>
        <v>0</v>
      </c>
      <c r="AA37" s="278" t="n">
        <f aca="false">AA21*$E37*(1+$F37)^AA$6</f>
        <v>0</v>
      </c>
      <c r="AB37" s="278" t="n">
        <f aca="false">AB21*$E37*(1+$F37)^AB$6</f>
        <v>0</v>
      </c>
      <c r="AC37" s="278" t="n">
        <f aca="false">AC21*$E37*(1+$F37)^AC$6</f>
        <v>0</v>
      </c>
      <c r="AD37" s="278" t="n">
        <f aca="false">AD21*$E37*(1+$F37)^AD$6</f>
        <v>0</v>
      </c>
      <c r="AE37" s="278" t="n">
        <f aca="false">AE21*$E37*(1+$F37)^AE$6</f>
        <v>0</v>
      </c>
      <c r="AF37" s="278" t="n">
        <f aca="false">AF21*$E37*(1+$F37)^AF$6</f>
        <v>0</v>
      </c>
      <c r="AG37" s="278" t="n">
        <f aca="false">AG21*$E37*(1+$F37)^AG$6</f>
        <v>0</v>
      </c>
      <c r="AH37" s="278" t="n">
        <f aca="false">AH21*$E37*(1+$F37)^AH$6</f>
        <v>0</v>
      </c>
      <c r="AI37" s="278" t="n">
        <f aca="false">AI21*$E37*(1+$F37)^AI$6</f>
        <v>0</v>
      </c>
      <c r="AJ37" s="278" t="n">
        <f aca="false">AJ21*$E37*(1+$F37)^AJ$6</f>
        <v>0</v>
      </c>
      <c r="AK37" s="278" t="n">
        <f aca="false">AK21*$E37*(1+$F37)^AK$6</f>
        <v>0</v>
      </c>
      <c r="AL37" s="278" t="n">
        <f aca="false">AL21*$E37*(1+$F37)^AL$6</f>
        <v>0</v>
      </c>
      <c r="AN37" s="95"/>
    </row>
    <row r="38" customFormat="false" ht="15" hidden="false" customHeight="false" outlineLevel="0" collapsed="false">
      <c r="B38" s="226" t="str">
        <f aca="false">"Total "&amp;B35</f>
        <v>Total Revenue from processing fee</v>
      </c>
      <c r="D38" s="13"/>
      <c r="E38" s="61"/>
      <c r="F38" s="13"/>
      <c r="G38" s="13"/>
      <c r="H38" s="55" t="n">
        <f aca="false">SUM(H36:H37)</f>
        <v>0</v>
      </c>
      <c r="I38" s="55" t="n">
        <f aca="false">SUM(I36:I37)</f>
        <v>18175.8125</v>
      </c>
      <c r="J38" s="55" t="n">
        <f aca="false">SUM(J36:J37)</f>
        <v>37260.415625</v>
      </c>
      <c r="K38" s="55" t="n">
        <f aca="false">SUM(K36:K37)</f>
        <v>57287.8890234375</v>
      </c>
      <c r="L38" s="55" t="n">
        <f aca="false">SUM(L36:L37)</f>
        <v>78293.4483320312</v>
      </c>
      <c r="M38" s="55" t="n">
        <f aca="false">SUM(M36:M37)</f>
        <v>100313.480675415</v>
      </c>
      <c r="N38" s="55" t="n">
        <f aca="false">SUM(N36:N37)</f>
        <v>123385.58123076</v>
      </c>
      <c r="O38" s="55" t="n">
        <f aca="false">SUM(O36:O37)</f>
        <v>147548.590888451</v>
      </c>
      <c r="P38" s="55" t="n">
        <f aca="false">SUM(P36:P37)</f>
        <v>172842.635040757</v>
      </c>
      <c r="Q38" s="55" t="n">
        <f aca="false">SUM(Q36:Q37)</f>
        <v>199309.163531373</v>
      </c>
      <c r="R38" s="55" t="n">
        <f aca="false">SUM(R36:R37)</f>
        <v>204291.892619657</v>
      </c>
      <c r="S38" s="55" t="n">
        <f aca="false">SUM(S36:S37)</f>
        <v>209399.189935148</v>
      </c>
      <c r="T38" s="55" t="n">
        <f aca="false">SUM(T36:T37)</f>
        <v>214634.169683527</v>
      </c>
      <c r="U38" s="55" t="n">
        <f aca="false">SUM(U36:U37)</f>
        <v>220000.023925615</v>
      </c>
      <c r="V38" s="55" t="n">
        <f aca="false">SUM(V36:V37)</f>
        <v>225500.024523756</v>
      </c>
      <c r="W38" s="55" t="n">
        <f aca="false">SUM(W36:W37)</f>
        <v>231137.52513685</v>
      </c>
      <c r="X38" s="55" t="n">
        <f aca="false">SUM(X36:X37)</f>
        <v>236915.963265271</v>
      </c>
      <c r="Y38" s="55" t="n">
        <f aca="false">SUM(Y36:Y37)</f>
        <v>242838.862346903</v>
      </c>
      <c r="Z38" s="55" t="n">
        <f aca="false">SUM(Z36:Z37)</f>
        <v>248909.833905575</v>
      </c>
      <c r="AA38" s="55" t="n">
        <f aca="false">SUM(AA36:AA37)</f>
        <v>255132.579753214</v>
      </c>
      <c r="AB38" s="55" t="n">
        <f aca="false">SUM(AB36:AB37)</f>
        <v>261510.894247045</v>
      </c>
      <c r="AC38" s="55" t="n">
        <f aca="false">SUM(AC36:AC37)</f>
        <v>268048.666603221</v>
      </c>
      <c r="AD38" s="55" t="n">
        <f aca="false">SUM(AD36:AD37)</f>
        <v>274749.883268301</v>
      </c>
      <c r="AE38" s="55" t="n">
        <f aca="false">SUM(AE36:AE37)</f>
        <v>281618.630350009</v>
      </c>
      <c r="AF38" s="55" t="n">
        <f aca="false">SUM(AF36:AF37)</f>
        <v>288659.096108759</v>
      </c>
      <c r="AG38" s="55" t="n">
        <f aca="false">SUM(AG36:AG37)</f>
        <v>295875.573511478</v>
      </c>
      <c r="AH38" s="55" t="n">
        <f aca="false">SUM(AH36:AH37)</f>
        <v>303272.462849265</v>
      </c>
      <c r="AI38" s="55" t="n">
        <f aca="false">SUM(AI36:AI37)</f>
        <v>310854.274420497</v>
      </c>
      <c r="AJ38" s="55" t="n">
        <f aca="false">SUM(AJ36:AJ37)</f>
        <v>318625.631281009</v>
      </c>
      <c r="AK38" s="55" t="n">
        <f aca="false">SUM(AK36:AK37)</f>
        <v>326591.272063034</v>
      </c>
      <c r="AL38" s="55" t="n">
        <f aca="false">SUM(AL36:AL37)</f>
        <v>334756.05386461</v>
      </c>
      <c r="AN38" s="95"/>
    </row>
    <row r="39" customFormat="false" ht="15" hidden="false" customHeight="false" outlineLevel="0" collapsed="false">
      <c r="B39" s="13"/>
      <c r="D39" s="13"/>
      <c r="E39" s="61"/>
      <c r="F39" s="13"/>
      <c r="G39" s="13"/>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row>
    <row r="40" customFormat="false" ht="15" hidden="false" customHeight="false" outlineLevel="0" collapsed="false">
      <c r="B40" s="279" t="str">
        <f aca="false">"Total "&amp;B25</f>
        <v>Total Revenue</v>
      </c>
      <c r="C40" s="280"/>
      <c r="D40" s="279"/>
      <c r="E40" s="281"/>
      <c r="F40" s="279"/>
      <c r="G40" s="279"/>
      <c r="H40" s="281" t="n">
        <f aca="false">H33+H38</f>
        <v>0</v>
      </c>
      <c r="I40" s="281" t="n">
        <f aca="false">I33+I38</f>
        <v>640513.53125</v>
      </c>
      <c r="J40" s="281" t="n">
        <f aca="false">J33+J38</f>
        <v>6217535.7125</v>
      </c>
      <c r="K40" s="281" t="n">
        <f aca="false">K33+K38</f>
        <v>11217332.929043</v>
      </c>
      <c r="L40" s="281" t="n">
        <f aca="false">L33+L38</f>
        <v>12954963.4600615</v>
      </c>
      <c r="M40" s="281" t="n">
        <f aca="false">M33+M38</f>
        <v>19267436.3735435</v>
      </c>
      <c r="N40" s="281" t="n">
        <f aca="false">N33+N38</f>
        <v>20128253.6040146</v>
      </c>
      <c r="O40" s="281" t="n">
        <f aca="false">O33+O38</f>
        <v>21020069.5482757</v>
      </c>
      <c r="P40" s="281" t="n">
        <f aca="false">P33+P38</f>
        <v>21943896.1312474</v>
      </c>
      <c r="Q40" s="281" t="n">
        <f aca="false">Q33+Q38</f>
        <v>22900776.4999</v>
      </c>
      <c r="R40" s="281" t="n">
        <f aca="false">R33+R38</f>
        <v>23473295.9123975</v>
      </c>
      <c r="S40" s="281" t="n">
        <f aca="false">S33+S38</f>
        <v>24060128.3102075</v>
      </c>
      <c r="T40" s="281" t="n">
        <f aca="false">T33+T38</f>
        <v>24661631.5179627</v>
      </c>
      <c r="U40" s="281" t="n">
        <f aca="false">U33+U38</f>
        <v>25278172.3059117</v>
      </c>
      <c r="V40" s="281" t="n">
        <f aca="false">V33+V38</f>
        <v>25910126.6135595</v>
      </c>
      <c r="W40" s="281" t="n">
        <f aca="false">W33+W38</f>
        <v>26557879.7788985</v>
      </c>
      <c r="X40" s="281" t="n">
        <f aca="false">X33+X38</f>
        <v>27221826.7733709</v>
      </c>
      <c r="Y40" s="281" t="n">
        <f aca="false">Y33+Y38</f>
        <v>27902372.4427052</v>
      </c>
      <c r="Z40" s="281" t="n">
        <f aca="false">Z33+Z38</f>
        <v>28599931.7537729</v>
      </c>
      <c r="AA40" s="281" t="n">
        <f aca="false">AA33+AA38</f>
        <v>29314930.0476172</v>
      </c>
      <c r="AB40" s="281" t="n">
        <f aca="false">AB33+AB38</f>
        <v>30047803.2988076</v>
      </c>
      <c r="AC40" s="281" t="n">
        <f aca="false">AC33+AC38</f>
        <v>30798998.3812778</v>
      </c>
      <c r="AD40" s="281" t="n">
        <f aca="false">AD33+AD38</f>
        <v>31568973.3408097</v>
      </c>
      <c r="AE40" s="281" t="n">
        <f aca="false">AE33+AE38</f>
        <v>32358197.67433</v>
      </c>
      <c r="AF40" s="281" t="n">
        <f aca="false">AF33+AF38</f>
        <v>33167152.6161882</v>
      </c>
      <c r="AG40" s="281" t="n">
        <f aca="false">AG33+AG38</f>
        <v>33996331.4315929</v>
      </c>
      <c r="AH40" s="281" t="n">
        <f aca="false">AH33+AH38</f>
        <v>34846239.7173827</v>
      </c>
      <c r="AI40" s="281" t="n">
        <f aca="false">AI33+AI38</f>
        <v>35717395.7103173</v>
      </c>
      <c r="AJ40" s="281" t="n">
        <f aca="false">AJ33+AJ38</f>
        <v>36610330.6030752</v>
      </c>
      <c r="AK40" s="281" t="n">
        <f aca="false">AK33+AK38</f>
        <v>37525588.8681521</v>
      </c>
      <c r="AL40" s="281" t="n">
        <f aca="false">AL33+AL38</f>
        <v>38463728.5898559</v>
      </c>
    </row>
    <row r="41" customFormat="false" ht="15" hidden="false" customHeight="false" outlineLevel="0" collapsed="false">
      <c r="C41" s="19"/>
    </row>
    <row r="42" customFormat="false" ht="15" hidden="false" customHeight="false" outlineLevel="0" collapsed="false">
      <c r="B42" s="237"/>
      <c r="C42" s="282"/>
      <c r="D42" s="237"/>
      <c r="E42" s="237"/>
      <c r="F42" s="237"/>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row>
    <row r="43" customFormat="false" ht="15" hidden="false" customHeight="false" outlineLevel="0" collapsed="false">
      <c r="B43" s="0" t="s">
        <v>541</v>
      </c>
    </row>
    <row r="44" customFormat="false" ht="15" hidden="false" customHeight="false" outlineLevel="0" collapsed="false">
      <c r="B44" s="0" t="n">
        <f aca="false">B27</f>
        <v>1</v>
      </c>
      <c r="C44" s="0" t="str">
        <f aca="false">C27</f>
        <v>Refined Oil</v>
      </c>
      <c r="D44" s="25" t="s">
        <v>112</v>
      </c>
      <c r="E44" s="1"/>
      <c r="F44" s="1"/>
      <c r="G44" s="1"/>
      <c r="H44" s="130" t="n">
        <f aca="false">H27/$E27*100%</f>
        <v>0</v>
      </c>
      <c r="I44" s="130" t="n">
        <f aca="false">I27/$E27*100%</f>
        <v>0</v>
      </c>
      <c r="J44" s="130" t="n">
        <f aca="false">J27/$E27*100%</f>
        <v>5217535.078125</v>
      </c>
      <c r="K44" s="130" t="n">
        <f aca="false">K27/$E27*100%</f>
        <v>9626352.21914062</v>
      </c>
      <c r="L44" s="130" t="n">
        <f aca="false">L27/$E27*100%</f>
        <v>10963345.5829102</v>
      </c>
      <c r="M44" s="130" t="n">
        <f aca="false">M27/$E27*100%</f>
        <v>16856143.8337244</v>
      </c>
      <c r="N44" s="130" t="n">
        <f aca="false">N27/$E27*100%</f>
        <v>17277547.4295675</v>
      </c>
      <c r="O44" s="130" t="n">
        <f aca="false">O27/$E27*100%</f>
        <v>17709486.1153066</v>
      </c>
      <c r="P44" s="130" t="n">
        <f aca="false">P27/$E27*100%</f>
        <v>18152223.2681893</v>
      </c>
      <c r="Q44" s="130" t="n">
        <f aca="false">Q27/$E27*100%</f>
        <v>18606028.849894</v>
      </c>
      <c r="R44" s="130" t="n">
        <f aca="false">R27/$E27*100%</f>
        <v>19071179.5711414</v>
      </c>
      <c r="S44" s="130" t="n">
        <f aca="false">S27/$E27*100%</f>
        <v>19547959.0604199</v>
      </c>
      <c r="T44" s="130" t="n">
        <f aca="false">T27/$E27*100%</f>
        <v>20036658.0369304</v>
      </c>
      <c r="U44" s="130" t="n">
        <f aca="false">U27/$E27*100%</f>
        <v>20537574.4878537</v>
      </c>
      <c r="V44" s="130" t="n">
        <f aca="false">V27/$E27*100%</f>
        <v>21051013.85005</v>
      </c>
      <c r="W44" s="130" t="n">
        <f aca="false">W27/$E27*100%</f>
        <v>21577289.1963013</v>
      </c>
      <c r="X44" s="130" t="n">
        <f aca="false">X27/$E27*100%</f>
        <v>22116721.4262088</v>
      </c>
      <c r="Y44" s="130" t="n">
        <f aca="false">Y27/$E27*100%</f>
        <v>22669639.461864</v>
      </c>
      <c r="Z44" s="130" t="n">
        <f aca="false">Z27/$E27*100%</f>
        <v>23236380.4484106</v>
      </c>
      <c r="AA44" s="130" t="n">
        <f aca="false">AA27/$E27*100%</f>
        <v>23817289.9596209</v>
      </c>
      <c r="AB44" s="130" t="n">
        <f aca="false">AB27/$E27*100%</f>
        <v>24412722.2086114</v>
      </c>
      <c r="AC44" s="130" t="n">
        <f aca="false">AC27/$E27*100%</f>
        <v>25023040.2638267</v>
      </c>
      <c r="AD44" s="130" t="n">
        <f aca="false">AD27/$E27*100%</f>
        <v>25648616.2704224</v>
      </c>
      <c r="AE44" s="130" t="n">
        <f aca="false">AE27/$E27*100%</f>
        <v>26289831.6771829</v>
      </c>
      <c r="AF44" s="130" t="n">
        <f aca="false">AF27/$E27*100%</f>
        <v>26947077.4691125</v>
      </c>
      <c r="AG44" s="130" t="n">
        <f aca="false">AG27/$E27*100%</f>
        <v>27620754.4058403</v>
      </c>
      <c r="AH44" s="130" t="n">
        <f aca="false">AH27/$E27*100%</f>
        <v>28311273.2659863</v>
      </c>
      <c r="AI44" s="130" t="n">
        <f aca="false">AI27/$E27*100%</f>
        <v>29019055.0976359</v>
      </c>
      <c r="AJ44" s="130" t="n">
        <f aca="false">AJ27/$E27*100%</f>
        <v>29744531.4750768</v>
      </c>
      <c r="AK44" s="130" t="n">
        <f aca="false">AK27/$E27*100%</f>
        <v>30488144.7619538</v>
      </c>
      <c r="AL44" s="130" t="n">
        <f aca="false">AL27/$E27*100%</f>
        <v>31250348.3810026</v>
      </c>
    </row>
    <row r="45" customFormat="false" ht="15" hidden="false" customHeight="false" outlineLevel="0" collapsed="false">
      <c r="B45" s="0" t="n">
        <f aca="false">B28</f>
        <v>2</v>
      </c>
      <c r="C45" s="0" t="str">
        <f aca="false">C28</f>
        <v>Moringa Leaves</v>
      </c>
      <c r="D45" s="25" t="s">
        <v>112</v>
      </c>
      <c r="E45" s="1"/>
      <c r="F45" s="1"/>
      <c r="G45" s="1"/>
      <c r="H45" s="130" t="n">
        <f aca="false">H28/$E28*100%</f>
        <v>0</v>
      </c>
      <c r="I45" s="130" t="n">
        <f aca="false">I28/$E28*100%</f>
        <v>305416.6875</v>
      </c>
      <c r="J45" s="130" t="n">
        <f aca="false">J28/$E28*100%</f>
        <v>313052.1046875</v>
      </c>
      <c r="K45" s="130" t="n">
        <f aca="false">K28/$E28*100%</f>
        <v>534797.345507812</v>
      </c>
      <c r="L45" s="130" t="n">
        <f aca="false">L28/$E28*100%</f>
        <v>548167.279145508</v>
      </c>
      <c r="M45" s="130" t="n">
        <f aca="false">M28/$E28*100%</f>
        <v>561871.461124145</v>
      </c>
      <c r="N45" s="130" t="n">
        <f aca="false">N28/$E28*100%</f>
        <v>575918.247652249</v>
      </c>
      <c r="O45" s="130" t="n">
        <f aca="false">O28/$E28*100%</f>
        <v>590316.203843555</v>
      </c>
      <c r="P45" s="130" t="n">
        <f aca="false">P28/$E28*100%</f>
        <v>605074.108939644</v>
      </c>
      <c r="Q45" s="130" t="n">
        <f aca="false">Q28/$E28*100%</f>
        <v>620200.961663135</v>
      </c>
      <c r="R45" s="130" t="n">
        <f aca="false">R28/$E28*100%</f>
        <v>635705.985704713</v>
      </c>
      <c r="S45" s="130" t="n">
        <f aca="false">S28/$E28*100%</f>
        <v>651598.635347331</v>
      </c>
      <c r="T45" s="130" t="n">
        <f aca="false">T28/$E28*100%</f>
        <v>667888.601231014</v>
      </c>
      <c r="U45" s="130" t="n">
        <f aca="false">U28/$E28*100%</f>
        <v>684585.816261789</v>
      </c>
      <c r="V45" s="130" t="n">
        <f aca="false">V28/$E28*100%</f>
        <v>701700.461668334</v>
      </c>
      <c r="W45" s="130" t="n">
        <f aca="false">W28/$E28*100%</f>
        <v>719242.973210043</v>
      </c>
      <c r="X45" s="130" t="n">
        <f aca="false">X28/$E28*100%</f>
        <v>737224.047540293</v>
      </c>
      <c r="Y45" s="130" t="n">
        <f aca="false">Y28/$E28*100%</f>
        <v>755654.648728801</v>
      </c>
      <c r="Z45" s="130" t="n">
        <f aca="false">Z28/$E28*100%</f>
        <v>774546.014947021</v>
      </c>
      <c r="AA45" s="130" t="n">
        <f aca="false">AA28/$E28*100%</f>
        <v>793909.665320696</v>
      </c>
      <c r="AB45" s="130" t="n">
        <f aca="false">AB28/$E28*100%</f>
        <v>813757.406953713</v>
      </c>
      <c r="AC45" s="130" t="n">
        <f aca="false">AC28/$E28*100%</f>
        <v>834101.342127556</v>
      </c>
      <c r="AD45" s="130" t="n">
        <f aca="false">AD28/$E28*100%</f>
        <v>854953.875680745</v>
      </c>
      <c r="AE45" s="130" t="n">
        <f aca="false">AE28/$E28*100%</f>
        <v>876327.722572764</v>
      </c>
      <c r="AF45" s="130" t="n">
        <f aca="false">AF28/$E28*100%</f>
        <v>898235.915637083</v>
      </c>
      <c r="AG45" s="130" t="n">
        <f aca="false">AG28/$E28*100%</f>
        <v>920691.81352801</v>
      </c>
      <c r="AH45" s="130" t="n">
        <f aca="false">AH28/$E28*100%</f>
        <v>943709.10886621</v>
      </c>
      <c r="AI45" s="130" t="n">
        <f aca="false">AI28/$E28*100%</f>
        <v>967301.836587865</v>
      </c>
      <c r="AJ45" s="130" t="n">
        <f aca="false">AJ28/$E28*100%</f>
        <v>991484.382502561</v>
      </c>
      <c r="AK45" s="130" t="n">
        <f aca="false">AK28/$E28*100%</f>
        <v>1016271.49206513</v>
      </c>
      <c r="AL45" s="130" t="n">
        <f aca="false">AL28/$E28*100%</f>
        <v>1041678.27936675</v>
      </c>
    </row>
    <row r="46" customFormat="false" ht="15" hidden="false" customHeight="false" outlineLevel="0" collapsed="false">
      <c r="B46" s="0" t="n">
        <f aca="false">B29</f>
        <v>3</v>
      </c>
      <c r="C46" s="0" t="str">
        <f aca="false">C29</f>
        <v>Dry Mangos</v>
      </c>
      <c r="D46" s="25" t="s">
        <v>112</v>
      </c>
      <c r="E46" s="1"/>
      <c r="F46" s="1"/>
      <c r="G46" s="1"/>
      <c r="H46" s="130" t="n">
        <f aca="false">H29/$E29*100%</f>
        <v>0</v>
      </c>
      <c r="I46" s="130" t="n">
        <f aca="false">I29/$E29*100%</f>
        <v>636153.4375</v>
      </c>
      <c r="J46" s="130" t="n">
        <f aca="false">J29/$E29*100%</f>
        <v>1304114.546875</v>
      </c>
      <c r="K46" s="130" t="n">
        <f aca="false">K29/$E29*100%</f>
        <v>2005076.11582031</v>
      </c>
      <c r="L46" s="130" t="n">
        <f aca="false">L29/$E29*100%</f>
        <v>2740270.69162109</v>
      </c>
      <c r="M46" s="130" t="n">
        <f aca="false">M29/$E29*100%</f>
        <v>3510971.82363952</v>
      </c>
      <c r="N46" s="130" t="n">
        <f aca="false">N29/$E29*100%</f>
        <v>4318495.34307662</v>
      </c>
      <c r="O46" s="130" t="n">
        <f aca="false">O29/$E29*100%</f>
        <v>5164200.68109578</v>
      </c>
      <c r="P46" s="130" t="n">
        <f aca="false">P29/$E29*100%</f>
        <v>6049492.22642649</v>
      </c>
      <c r="Q46" s="130" t="n">
        <f aca="false">Q29/$E29*100%</f>
        <v>6975820.72359805</v>
      </c>
      <c r="R46" s="130" t="n">
        <f aca="false">R29/$E29*100%</f>
        <v>7150216.241688</v>
      </c>
      <c r="S46" s="130" t="n">
        <f aca="false">S29/$E29*100%</f>
        <v>7328971.6477302</v>
      </c>
      <c r="T46" s="130" t="n">
        <f aca="false">T29/$E29*100%</f>
        <v>7512195.93892345</v>
      </c>
      <c r="U46" s="130" t="n">
        <f aca="false">U29/$E29*100%</f>
        <v>7700000.83739654</v>
      </c>
      <c r="V46" s="130" t="n">
        <f aca="false">V29/$E29*100%</f>
        <v>7892500.85833145</v>
      </c>
      <c r="W46" s="130" t="n">
        <f aca="false">W29/$E29*100%</f>
        <v>8089813.37978973</v>
      </c>
      <c r="X46" s="130" t="n">
        <f aca="false">X29/$E29*100%</f>
        <v>8292058.71428448</v>
      </c>
      <c r="Y46" s="130" t="n">
        <f aca="false">Y29/$E29*100%</f>
        <v>8499360.18214159</v>
      </c>
      <c r="Z46" s="130" t="n">
        <f aca="false">Z29/$E29*100%</f>
        <v>8711844.18669513</v>
      </c>
      <c r="AA46" s="130" t="n">
        <f aca="false">AA29/$E29*100%</f>
        <v>8929640.2913625</v>
      </c>
      <c r="AB46" s="130" t="n">
        <f aca="false">AB29/$E29*100%</f>
        <v>9152881.29864657</v>
      </c>
      <c r="AC46" s="130" t="n">
        <f aca="false">AC29/$E29*100%</f>
        <v>9381703.33111273</v>
      </c>
      <c r="AD46" s="130" t="n">
        <f aca="false">AD29/$E29*100%</f>
        <v>9616245.91439055</v>
      </c>
      <c r="AE46" s="130" t="n">
        <f aca="false">AE29/$E29*100%</f>
        <v>9856652.06225031</v>
      </c>
      <c r="AF46" s="130" t="n">
        <f aca="false">AF29/$E29*100%</f>
        <v>10103068.3638066</v>
      </c>
      <c r="AG46" s="130" t="n">
        <f aca="false">AG29/$E29*100%</f>
        <v>10355645.0729017</v>
      </c>
      <c r="AH46" s="130" t="n">
        <f aca="false">AH29/$E29*100%</f>
        <v>10614536.1997243</v>
      </c>
      <c r="AI46" s="130" t="n">
        <f aca="false">AI29/$E29*100%</f>
        <v>10879899.6047174</v>
      </c>
      <c r="AJ46" s="130" t="n">
        <f aca="false">AJ29/$E29*100%</f>
        <v>11151897.0948353</v>
      </c>
      <c r="AK46" s="130" t="n">
        <f aca="false">AK29/$E29*100%</f>
        <v>11430694.5222062</v>
      </c>
      <c r="AL46" s="130" t="n">
        <f aca="false">AL29/$E29*100%</f>
        <v>11716461.8852613</v>
      </c>
    </row>
    <row r="47" customFormat="false" ht="15" hidden="false" customHeight="false" outlineLevel="0" collapsed="false">
      <c r="B47" s="0" t="n">
        <f aca="false">B30</f>
        <v>4</v>
      </c>
      <c r="C47" s="0" t="str">
        <f aca="false">C30</f>
        <v>Shea Butter</v>
      </c>
      <c r="D47" s="25" t="s">
        <v>112</v>
      </c>
      <c r="E47" s="1"/>
      <c r="F47" s="1"/>
      <c r="G47" s="1"/>
      <c r="H47" s="130" t="n">
        <f aca="false">H30/$E30*100%</f>
        <v>0</v>
      </c>
      <c r="I47" s="130" t="n">
        <f aca="false">I30/$E30*100%</f>
        <v>0</v>
      </c>
      <c r="J47" s="130" t="n">
        <f aca="false">J30/$E30*100%</f>
        <v>0</v>
      </c>
      <c r="K47" s="130" t="n">
        <f aca="false">K30/$E30*100%</f>
        <v>0</v>
      </c>
      <c r="L47" s="130" t="n">
        <f aca="false">L30/$E30*100%</f>
        <v>0</v>
      </c>
      <c r="M47" s="130" t="n">
        <f aca="false">M30/$E30*100%</f>
        <v>0</v>
      </c>
      <c r="N47" s="130" t="n">
        <f aca="false">N30/$E30*100%</f>
        <v>0</v>
      </c>
      <c r="O47" s="130" t="n">
        <f aca="false">O30/$E30*100%</f>
        <v>0</v>
      </c>
      <c r="P47" s="130" t="n">
        <f aca="false">P30/$E30*100%</f>
        <v>0</v>
      </c>
      <c r="Q47" s="130" t="n">
        <f aca="false">Q30/$E30*100%</f>
        <v>0</v>
      </c>
      <c r="R47" s="130" t="n">
        <f aca="false">R30/$E30*100%</f>
        <v>0</v>
      </c>
      <c r="S47" s="130" t="n">
        <f aca="false">S30/$E30*100%</f>
        <v>0</v>
      </c>
      <c r="T47" s="130" t="n">
        <f aca="false">T30/$E30*100%</f>
        <v>0</v>
      </c>
      <c r="U47" s="130" t="n">
        <f aca="false">U30/$E30*100%</f>
        <v>0</v>
      </c>
      <c r="V47" s="130" t="n">
        <f aca="false">V30/$E30*100%</f>
        <v>0</v>
      </c>
      <c r="W47" s="130" t="n">
        <f aca="false">W30/$E30*100%</f>
        <v>0</v>
      </c>
      <c r="X47" s="130" t="n">
        <f aca="false">X30/$E30*100%</f>
        <v>0</v>
      </c>
      <c r="Y47" s="130" t="n">
        <f aca="false">Y30/$E30*100%</f>
        <v>0</v>
      </c>
      <c r="Z47" s="130" t="n">
        <f aca="false">Z30/$E30*100%</f>
        <v>0</v>
      </c>
      <c r="AA47" s="130" t="n">
        <f aca="false">AA30/$E30*100%</f>
        <v>0</v>
      </c>
      <c r="AB47" s="130" t="n">
        <f aca="false">AB30/$E30*100%</f>
        <v>0</v>
      </c>
      <c r="AC47" s="130" t="n">
        <f aca="false">AC30/$E30*100%</f>
        <v>0</v>
      </c>
      <c r="AD47" s="130" t="n">
        <f aca="false">AD30/$E30*100%</f>
        <v>0</v>
      </c>
      <c r="AE47" s="130" t="n">
        <f aca="false">AE30/$E30*100%</f>
        <v>0</v>
      </c>
      <c r="AF47" s="130" t="n">
        <f aca="false">AF30/$E30*100%</f>
        <v>0</v>
      </c>
      <c r="AG47" s="130" t="n">
        <f aca="false">AG30/$E30*100%</f>
        <v>0</v>
      </c>
      <c r="AH47" s="130" t="n">
        <f aca="false">AH30/$E30*100%</f>
        <v>0</v>
      </c>
      <c r="AI47" s="130" t="n">
        <f aca="false">AI30/$E30*100%</f>
        <v>0</v>
      </c>
      <c r="AJ47" s="130" t="n">
        <f aca="false">AJ30/$E30*100%</f>
        <v>0</v>
      </c>
      <c r="AK47" s="130" t="n">
        <f aca="false">AK30/$E30*100%</f>
        <v>0</v>
      </c>
      <c r="AL47" s="130" t="n">
        <f aca="false">AL30/$E30*100%</f>
        <v>0</v>
      </c>
    </row>
    <row r="48" customFormat="false" ht="15" hidden="false" customHeight="false" outlineLevel="0" collapsed="false">
      <c r="B48" s="0" t="n">
        <f aca="false">B31</f>
        <v>5</v>
      </c>
      <c r="C48" s="0" t="str">
        <f aca="false">C31</f>
        <v>Fertilisers Compost</v>
      </c>
      <c r="D48" s="25" t="s">
        <v>112</v>
      </c>
      <c r="E48" s="1"/>
      <c r="F48" s="1"/>
      <c r="G48" s="1"/>
      <c r="H48" s="130" t="n">
        <f aca="false">H31/$E31*100%</f>
        <v>0</v>
      </c>
      <c r="I48" s="130" t="n">
        <f aca="false">I31/$E31*100%</f>
        <v>126075</v>
      </c>
      <c r="J48" s="130" t="n">
        <f aca="false">J31/$E31*100%</f>
        <v>258453.75</v>
      </c>
      <c r="K48" s="130" t="n">
        <f aca="false">K31/$E31*100%</f>
        <v>397372.640625</v>
      </c>
      <c r="L48" s="130" t="n">
        <f aca="false">L31/$E31*100%</f>
        <v>543075.9421875</v>
      </c>
      <c r="M48" s="130" t="n">
        <f aca="false">M31/$E31*100%</f>
        <v>695816.050927734</v>
      </c>
      <c r="N48" s="130" t="n">
        <f aca="false">N31/$E31*100%</f>
        <v>855853.742641113</v>
      </c>
      <c r="O48" s="130" t="n">
        <f aca="false">O31/$E31*100%</f>
        <v>1023458.43390833</v>
      </c>
      <c r="P48" s="130" t="n">
        <f aca="false">P31/$E31*100%</f>
        <v>1198908.45114976</v>
      </c>
      <c r="Q48" s="130" t="n">
        <f aca="false">Q31/$E31*100%</f>
        <v>1382491.30773207</v>
      </c>
      <c r="R48" s="130" t="n">
        <f aca="false">R31/$E31*100%</f>
        <v>1417053.59042537</v>
      </c>
      <c r="S48" s="130" t="n">
        <f aca="false">S31/$E31*100%</f>
        <v>1452479.930186</v>
      </c>
      <c r="T48" s="130" t="n">
        <f aca="false">T31/$E31*100%</f>
        <v>1488791.92844065</v>
      </c>
      <c r="U48" s="130" t="n">
        <f aca="false">U31/$E31*100%</f>
        <v>1526011.72665167</v>
      </c>
      <c r="V48" s="130" t="n">
        <f aca="false">V31/$E31*100%</f>
        <v>1564162.01981796</v>
      </c>
      <c r="W48" s="130" t="n">
        <f aca="false">W31/$E31*100%</f>
        <v>1603266.07031341</v>
      </c>
      <c r="X48" s="130" t="n">
        <f aca="false">X31/$E31*100%</f>
        <v>1643347.72207124</v>
      </c>
      <c r="Y48" s="130" t="n">
        <f aca="false">Y31/$E31*100%</f>
        <v>1684431.41512302</v>
      </c>
      <c r="Z48" s="130" t="n">
        <f aca="false">Z31/$E31*100%</f>
        <v>1726542.2005011</v>
      </c>
      <c r="AA48" s="130" t="n">
        <f aca="false">AA31/$E31*100%</f>
        <v>1769705.75551363</v>
      </c>
      <c r="AB48" s="130" t="n">
        <f aca="false">AB31/$E31*100%</f>
        <v>1813948.39940147</v>
      </c>
      <c r="AC48" s="130" t="n">
        <f aca="false">AC31/$E31*100%</f>
        <v>1859297.1093865</v>
      </c>
      <c r="AD48" s="130" t="n">
        <f aca="false">AD31/$E31*100%</f>
        <v>1905779.53712117</v>
      </c>
      <c r="AE48" s="130" t="n">
        <f aca="false">AE31/$E31*100%</f>
        <v>1953424.02554919</v>
      </c>
      <c r="AF48" s="130" t="n">
        <f aca="false">AF31/$E31*100%</f>
        <v>2002259.62618792</v>
      </c>
      <c r="AG48" s="130" t="n">
        <f aca="false">AG31/$E31*100%</f>
        <v>2052316.11684262</v>
      </c>
      <c r="AH48" s="130" t="n">
        <f aca="false">AH31/$E31*100%</f>
        <v>2103624.01976369</v>
      </c>
      <c r="AI48" s="130" t="n">
        <f aca="false">AI31/$E31*100%</f>
        <v>2156214.62025778</v>
      </c>
      <c r="AJ48" s="130" t="n">
        <f aca="false">AJ31/$E31*100%</f>
        <v>2210119.98576422</v>
      </c>
      <c r="AK48" s="130" t="n">
        <f aca="false">AK31/$E31*100%</f>
        <v>2265372.98540833</v>
      </c>
      <c r="AL48" s="130" t="n">
        <f aca="false">AL31/$E31*100%</f>
        <v>2322007.31004354</v>
      </c>
    </row>
    <row r="49" customFormat="false" ht="15" hidden="false" customHeight="false" outlineLevel="0" collapsed="false">
      <c r="B49" s="56" t="n">
        <f aca="false">B32</f>
        <v>6</v>
      </c>
      <c r="C49" s="56" t="str">
        <f aca="false">C32</f>
        <v>Biochar</v>
      </c>
      <c r="D49" s="116" t="s">
        <v>112</v>
      </c>
      <c r="E49" s="133"/>
      <c r="F49" s="133"/>
      <c r="G49" s="133"/>
      <c r="H49" s="278" t="str">
        <f aca="false">IFERROR(H32/$E32*100%,"")</f>
        <v/>
      </c>
      <c r="I49" s="278" t="str">
        <f aca="false">IFERROR(I32/$E32*100%,"")</f>
        <v/>
      </c>
      <c r="J49" s="278" t="str">
        <f aca="false">IFERROR(J32/$E32*100%,"")</f>
        <v/>
      </c>
      <c r="K49" s="278" t="str">
        <f aca="false">IFERROR(K32/$E32*100%,"")</f>
        <v/>
      </c>
      <c r="L49" s="278" t="str">
        <f aca="false">IFERROR(L32/$E32*100%,"")</f>
        <v/>
      </c>
      <c r="M49" s="278" t="str">
        <f aca="false">IFERROR(M32/$E32*100%,"")</f>
        <v/>
      </c>
      <c r="N49" s="278" t="str">
        <f aca="false">IFERROR(N32/$E32*100%,"")</f>
        <v/>
      </c>
      <c r="O49" s="278" t="str">
        <f aca="false">IFERROR(O32/$E32*100%,"")</f>
        <v/>
      </c>
      <c r="P49" s="278" t="str">
        <f aca="false">IFERROR(P32/$E32*100%,"")</f>
        <v/>
      </c>
      <c r="Q49" s="278" t="str">
        <f aca="false">IFERROR(Q32/$E32*100%,"")</f>
        <v/>
      </c>
      <c r="R49" s="278" t="str">
        <f aca="false">IFERROR(R32/$E32*100%,"")</f>
        <v/>
      </c>
      <c r="S49" s="278" t="str">
        <f aca="false">IFERROR(S32/$E32*100%,"")</f>
        <v/>
      </c>
      <c r="T49" s="278" t="str">
        <f aca="false">IFERROR(T32/$E32*100%,"")</f>
        <v/>
      </c>
      <c r="U49" s="278" t="str">
        <f aca="false">IFERROR(U32/$E32*100%,"")</f>
        <v/>
      </c>
      <c r="V49" s="278" t="str">
        <f aca="false">IFERROR(V32/$E32*100%,"")</f>
        <v/>
      </c>
      <c r="W49" s="278" t="str">
        <f aca="false">IFERROR(W32/$E32*100%,"")</f>
        <v/>
      </c>
      <c r="X49" s="278" t="str">
        <f aca="false">IFERROR(X32/$E32*100%,"")</f>
        <v/>
      </c>
      <c r="Y49" s="278" t="str">
        <f aca="false">IFERROR(Y32/$E32*100%,"")</f>
        <v/>
      </c>
      <c r="Z49" s="278" t="str">
        <f aca="false">IFERROR(Z32/$E32*100%,"")</f>
        <v/>
      </c>
      <c r="AA49" s="278" t="str">
        <f aca="false">IFERROR(AA32/$E32*100%,"")</f>
        <v/>
      </c>
      <c r="AB49" s="278" t="str">
        <f aca="false">IFERROR(AB32/$E32*100%,"")</f>
        <v/>
      </c>
      <c r="AC49" s="278" t="str">
        <f aca="false">IFERROR(AC32/$E32*100%,"")</f>
        <v/>
      </c>
      <c r="AD49" s="278" t="str">
        <f aca="false">IFERROR(AD32/$E32*100%,"")</f>
        <v/>
      </c>
      <c r="AE49" s="278" t="str">
        <f aca="false">IFERROR(AE32/$E32*100%,"")</f>
        <v/>
      </c>
      <c r="AF49" s="278" t="str">
        <f aca="false">IFERROR(AF32/$E32*100%,"")</f>
        <v/>
      </c>
      <c r="AG49" s="278" t="str">
        <f aca="false">IFERROR(AG32/$E32*100%,"")</f>
        <v/>
      </c>
      <c r="AH49" s="278" t="str">
        <f aca="false">IFERROR(AH32/$E32*100%,"")</f>
        <v/>
      </c>
      <c r="AI49" s="278" t="str">
        <f aca="false">IFERROR(AI32/$E32*100%,"")</f>
        <v/>
      </c>
      <c r="AJ49" s="278" t="str">
        <f aca="false">IFERROR(AJ32/$E32*100%,"")</f>
        <v/>
      </c>
      <c r="AK49" s="278" t="str">
        <f aca="false">IFERROR(AK32/$E32*100%,"")</f>
        <v/>
      </c>
      <c r="AL49" s="278" t="str">
        <f aca="false">IFERROR(AL32/$E32*100%,"")</f>
        <v/>
      </c>
    </row>
    <row r="50" customFormat="false" ht="15" hidden="false" customHeight="false" outlineLevel="0" collapsed="false">
      <c r="B50" s="226" t="str">
        <f aca="false">"Total "&amp;B43</f>
        <v>Total Combined Revenue of Serious Shea &amp; its Partners</v>
      </c>
      <c r="H50" s="60" t="n">
        <f aca="false">SUM(H44:H49)</f>
        <v>0</v>
      </c>
      <c r="I50" s="60" t="n">
        <f aca="false">SUM(I44:I49)</f>
        <v>1067645.125</v>
      </c>
      <c r="J50" s="60" t="n">
        <f aca="false">SUM(J44:J49)</f>
        <v>7093155.4796875</v>
      </c>
      <c r="K50" s="60" t="n">
        <f aca="false">SUM(K44:K49)</f>
        <v>12563598.3210937</v>
      </c>
      <c r="L50" s="60" t="n">
        <f aca="false">SUM(L44:L49)</f>
        <v>14794859.4958643</v>
      </c>
      <c r="M50" s="60" t="n">
        <f aca="false">SUM(M44:M49)</f>
        <v>21624803.1694158</v>
      </c>
      <c r="N50" s="60" t="n">
        <f aca="false">SUM(N44:N49)</f>
        <v>23027814.7629374</v>
      </c>
      <c r="O50" s="60" t="n">
        <f aca="false">SUM(O44:O49)</f>
        <v>24487461.4341543</v>
      </c>
      <c r="P50" s="60" t="n">
        <f aca="false">SUM(P44:P49)</f>
        <v>26005698.0547052</v>
      </c>
      <c r="Q50" s="60" t="n">
        <f aca="false">SUM(Q44:Q49)</f>
        <v>27584541.8428873</v>
      </c>
      <c r="R50" s="60" t="n">
        <f aca="false">SUM(R44:R49)</f>
        <v>28274155.3889595</v>
      </c>
      <c r="S50" s="60" t="n">
        <f aca="false">SUM(S44:S49)</f>
        <v>28981009.2736835</v>
      </c>
      <c r="T50" s="60" t="n">
        <f aca="false">SUM(T44:T49)</f>
        <v>29705534.5055255</v>
      </c>
      <c r="U50" s="60" t="n">
        <f aca="false">SUM(U44:U49)</f>
        <v>30448172.8681637</v>
      </c>
      <c r="V50" s="60" t="n">
        <f aca="false">SUM(V44:V49)</f>
        <v>31209377.1898678</v>
      </c>
      <c r="W50" s="60" t="n">
        <f aca="false">SUM(W44:W49)</f>
        <v>31989611.6196145</v>
      </c>
      <c r="X50" s="60" t="n">
        <f aca="false">SUM(X44:X49)</f>
        <v>32789351.9101048</v>
      </c>
      <c r="Y50" s="60" t="n">
        <f aca="false">SUM(Y44:Y49)</f>
        <v>33609085.7078574</v>
      </c>
      <c r="Z50" s="60" t="n">
        <f aca="false">SUM(Z44:Z49)</f>
        <v>34449312.8505539</v>
      </c>
      <c r="AA50" s="60" t="n">
        <f aca="false">SUM(AA44:AA49)</f>
        <v>35310545.6718177</v>
      </c>
      <c r="AB50" s="60" t="n">
        <f aca="false">SUM(AB44:AB49)</f>
        <v>36193309.3136132</v>
      </c>
      <c r="AC50" s="60" t="n">
        <f aca="false">SUM(AC44:AC49)</f>
        <v>37098142.0464535</v>
      </c>
      <c r="AD50" s="60" t="n">
        <f aca="false">SUM(AD44:AD49)</f>
        <v>38025595.5976148</v>
      </c>
      <c r="AE50" s="60" t="n">
        <f aca="false">SUM(AE44:AE49)</f>
        <v>38976235.4875552</v>
      </c>
      <c r="AF50" s="60" t="n">
        <f aca="false">SUM(AF44:AF49)</f>
        <v>39950641.374744</v>
      </c>
      <c r="AG50" s="60" t="n">
        <f aca="false">SUM(AG44:AG49)</f>
        <v>40949407.4091127</v>
      </c>
      <c r="AH50" s="60" t="n">
        <f aca="false">SUM(AH44:AH49)</f>
        <v>41973142.5943405</v>
      </c>
      <c r="AI50" s="60" t="n">
        <f aca="false">SUM(AI44:AI49)</f>
        <v>43022471.159199</v>
      </c>
      <c r="AJ50" s="60" t="n">
        <f aca="false">SUM(AJ44:AJ49)</f>
        <v>44098032.9381789</v>
      </c>
      <c r="AK50" s="60" t="n">
        <f aca="false">SUM(AK44:AK49)</f>
        <v>45200483.7616334</v>
      </c>
      <c r="AL50" s="60" t="n">
        <f aca="false">SUM(AL44:AL49)</f>
        <v>46330495.8556742</v>
      </c>
    </row>
    <row r="52" customFormat="false" ht="15" hidden="false" customHeight="false" outlineLevel="0" collapsed="false">
      <c r="B52" s="237"/>
      <c r="C52" s="282"/>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row>
    <row r="53" customFormat="false" ht="15" hidden="false" customHeight="false" outlineLevel="0" collapsed="false">
      <c r="C53" s="283" t="s">
        <v>542</v>
      </c>
      <c r="D53" s="276"/>
      <c r="E53" s="284" t="s">
        <v>243</v>
      </c>
      <c r="F53" s="284" t="s">
        <v>543</v>
      </c>
      <c r="G53" s="285" t="s">
        <v>544</v>
      </c>
    </row>
    <row r="54" customFormat="false" ht="15" hidden="false" customHeight="false" outlineLevel="0" collapsed="false">
      <c r="C54" s="286" t="s">
        <v>545</v>
      </c>
      <c r="D54" s="287"/>
      <c r="E54" s="288" t="n">
        <v>0.9</v>
      </c>
      <c r="F54" s="289" t="n">
        <v>0.95</v>
      </c>
      <c r="G54" s="290" t="n">
        <v>0.98</v>
      </c>
    </row>
    <row r="55" customFormat="false" ht="15" hidden="false" customHeight="false" outlineLevel="0" collapsed="false">
      <c r="C55" s="291" t="s">
        <v>166</v>
      </c>
      <c r="D55" s="292" t="s">
        <v>546</v>
      </c>
      <c r="E55" s="292" t="s">
        <v>547</v>
      </c>
      <c r="F55" s="292" t="s">
        <v>548</v>
      </c>
      <c r="G55" s="293" t="s">
        <v>549</v>
      </c>
    </row>
    <row r="56" customFormat="false" ht="15" hidden="false" customHeight="false" outlineLevel="0" collapsed="false">
      <c r="C56" s="294" t="s">
        <v>550</v>
      </c>
      <c r="D56" s="295" t="n">
        <v>0.3</v>
      </c>
      <c r="E56" s="296" t="n">
        <v>0.5</v>
      </c>
      <c r="F56" s="297" t="n">
        <v>0.5</v>
      </c>
      <c r="G56" s="298" t="n">
        <v>0.5</v>
      </c>
    </row>
    <row r="57" customFormat="false" ht="15" hidden="false" customHeight="false" outlineLevel="0" collapsed="false">
      <c r="C57" s="299" t="s">
        <v>551</v>
      </c>
      <c r="D57" s="300" t="n">
        <v>0.5</v>
      </c>
      <c r="E57" s="301" t="n">
        <v>0.9</v>
      </c>
      <c r="F57" s="301" t="n">
        <v>1</v>
      </c>
      <c r="G57" s="302" t="n">
        <v>1.5</v>
      </c>
    </row>
    <row r="59" customFormat="false" ht="15" hidden="false" customHeight="false" outlineLevel="0" collapsed="false">
      <c r="C59" s="0" t="s">
        <v>552</v>
      </c>
      <c r="H59" s="21" t="n">
        <f aca="false">0</f>
        <v>0</v>
      </c>
      <c r="I59" s="202" t="n">
        <f aca="false">969000</f>
        <v>969000</v>
      </c>
      <c r="J59" s="21" t="n">
        <f aca="false">I59</f>
        <v>969000</v>
      </c>
      <c r="K59" s="21" t="n">
        <f aca="false">J59</f>
        <v>969000</v>
      </c>
      <c r="L59" s="21" t="n">
        <f aca="false">K59</f>
        <v>969000</v>
      </c>
      <c r="M59" s="21" t="n">
        <f aca="false">L59</f>
        <v>969000</v>
      </c>
      <c r="N59" s="21" t="n">
        <f aca="false">M59</f>
        <v>969000</v>
      </c>
      <c r="O59" s="21" t="n">
        <f aca="false">N59</f>
        <v>969000</v>
      </c>
      <c r="P59" s="21" t="n">
        <f aca="false">O59</f>
        <v>969000</v>
      </c>
      <c r="Q59" s="21" t="n">
        <f aca="false">P59</f>
        <v>969000</v>
      </c>
      <c r="R59" s="21" t="n">
        <f aca="false">Q59</f>
        <v>969000</v>
      </c>
      <c r="S59" s="21" t="n">
        <f aca="false">R59</f>
        <v>969000</v>
      </c>
      <c r="T59" s="21" t="n">
        <f aca="false">S59</f>
        <v>969000</v>
      </c>
      <c r="U59" s="21" t="n">
        <f aca="false">T59</f>
        <v>969000</v>
      </c>
      <c r="V59" s="21" t="n">
        <f aca="false">U59</f>
        <v>969000</v>
      </c>
      <c r="W59" s="21" t="n">
        <f aca="false">V59</f>
        <v>969000</v>
      </c>
      <c r="X59" s="21" t="n">
        <f aca="false">W59</f>
        <v>969000</v>
      </c>
      <c r="Y59" s="21" t="n">
        <f aca="false">X59</f>
        <v>969000</v>
      </c>
      <c r="Z59" s="21" t="n">
        <f aca="false">Y59</f>
        <v>969000</v>
      </c>
      <c r="AA59" s="21" t="n">
        <f aca="false">Z59</f>
        <v>969000</v>
      </c>
      <c r="AB59" s="21" t="n">
        <f aca="false">AA59</f>
        <v>969000</v>
      </c>
      <c r="AC59" s="21" t="n">
        <f aca="false">AB59</f>
        <v>969000</v>
      </c>
      <c r="AD59" s="21" t="n">
        <f aca="false">AC59</f>
        <v>969000</v>
      </c>
      <c r="AE59" s="21" t="n">
        <f aca="false">AD59</f>
        <v>969000</v>
      </c>
      <c r="AF59" s="21" t="n">
        <f aca="false">AE59</f>
        <v>969000</v>
      </c>
      <c r="AG59" s="21" t="n">
        <f aca="false">AF59</f>
        <v>969000</v>
      </c>
      <c r="AH59" s="21" t="n">
        <f aca="false">AG59</f>
        <v>969000</v>
      </c>
      <c r="AI59" s="21" t="n">
        <f aca="false">AH59</f>
        <v>969000</v>
      </c>
      <c r="AJ59" s="21" t="n">
        <f aca="false">AI59</f>
        <v>969000</v>
      </c>
      <c r="AK59" s="21" t="n">
        <f aca="false">AJ59</f>
        <v>969000</v>
      </c>
      <c r="AL59" s="21" t="n">
        <f aca="false">AK59</f>
        <v>969000</v>
      </c>
    </row>
    <row r="61" customFormat="false" ht="15" hidden="false" customHeight="false" outlineLevel="0" collapsed="false">
      <c r="C61" s="303" t="s">
        <v>553</v>
      </c>
      <c r="H61" s="22"/>
    </row>
    <row r="62" customFormat="false" ht="15" hidden="false" customHeight="false" outlineLevel="0" collapsed="false">
      <c r="C62" s="0" t="s">
        <v>553</v>
      </c>
      <c r="E62" s="0" t="s">
        <v>384</v>
      </c>
      <c r="F62" s="0" t="s">
        <v>554</v>
      </c>
      <c r="H62" s="21" t="n">
        <f aca="false">0</f>
        <v>0</v>
      </c>
      <c r="I62" s="21" t="n">
        <f aca="false">I59*D56</f>
        <v>290700</v>
      </c>
      <c r="J62" s="304" t="n">
        <f aca="false">J59*D56</f>
        <v>290700</v>
      </c>
      <c r="K62" s="21" t="n">
        <f aca="false">K59*E56</f>
        <v>484500</v>
      </c>
      <c r="L62" s="21" t="n">
        <f aca="false">L59*F56</f>
        <v>484500</v>
      </c>
      <c r="M62" s="21" t="n">
        <f aca="false">M59*G56</f>
        <v>484500</v>
      </c>
      <c r="N62" s="304" t="n">
        <f aca="false">M62</f>
        <v>484500</v>
      </c>
      <c r="O62" s="21" t="n">
        <f aca="false">N62</f>
        <v>484500</v>
      </c>
      <c r="P62" s="21" t="n">
        <f aca="false">O62</f>
        <v>484500</v>
      </c>
      <c r="Q62" s="21" t="n">
        <f aca="false">P62</f>
        <v>484500</v>
      </c>
      <c r="R62" s="21" t="n">
        <f aca="false">Q62</f>
        <v>484500</v>
      </c>
      <c r="S62" s="21" t="n">
        <f aca="false">R62</f>
        <v>484500</v>
      </c>
      <c r="T62" s="21" t="n">
        <f aca="false">S62</f>
        <v>484500</v>
      </c>
      <c r="U62" s="21" t="n">
        <f aca="false">T62</f>
        <v>484500</v>
      </c>
      <c r="V62" s="21" t="n">
        <f aca="false">U62</f>
        <v>484500</v>
      </c>
      <c r="W62" s="21" t="n">
        <f aca="false">V62</f>
        <v>484500</v>
      </c>
      <c r="X62" s="21" t="n">
        <f aca="false">W62</f>
        <v>484500</v>
      </c>
      <c r="Y62" s="21" t="n">
        <f aca="false">X62</f>
        <v>484500</v>
      </c>
      <c r="Z62" s="21" t="n">
        <f aca="false">Y62</f>
        <v>484500</v>
      </c>
      <c r="AA62" s="21" t="n">
        <f aca="false">Z62</f>
        <v>484500</v>
      </c>
      <c r="AB62" s="21" t="n">
        <f aca="false">AA62</f>
        <v>484500</v>
      </c>
      <c r="AC62" s="21" t="n">
        <f aca="false">AB62</f>
        <v>484500</v>
      </c>
      <c r="AD62" s="21" t="n">
        <f aca="false">AC62</f>
        <v>484500</v>
      </c>
      <c r="AE62" s="21" t="n">
        <f aca="false">AD62</f>
        <v>484500</v>
      </c>
      <c r="AF62" s="21" t="n">
        <f aca="false">AE62</f>
        <v>484500</v>
      </c>
      <c r="AG62" s="21" t="n">
        <f aca="false">AF62</f>
        <v>484500</v>
      </c>
      <c r="AH62" s="21" t="n">
        <f aca="false">AG62</f>
        <v>484500</v>
      </c>
      <c r="AI62" s="21" t="n">
        <f aca="false">AH62</f>
        <v>484500</v>
      </c>
      <c r="AJ62" s="21" t="n">
        <f aca="false">AI62</f>
        <v>484500</v>
      </c>
      <c r="AK62" s="21" t="n">
        <f aca="false">AJ62</f>
        <v>484500</v>
      </c>
      <c r="AL62" s="21" t="n">
        <f aca="false">AK62</f>
        <v>484500</v>
      </c>
    </row>
    <row r="63" customFormat="false" ht="15" hidden="false" customHeight="false" outlineLevel="0" collapsed="false">
      <c r="C63" s="226" t="s">
        <v>555</v>
      </c>
      <c r="D63" s="226"/>
      <c r="E63" s="226" t="s">
        <v>384</v>
      </c>
      <c r="F63" s="305" t="n">
        <v>0.95</v>
      </c>
      <c r="G63" s="226"/>
      <c r="H63" s="265" t="n">
        <f aca="false">H62*$F$63</f>
        <v>0</v>
      </c>
      <c r="I63" s="265" t="n">
        <f aca="false">I62*$F$63</f>
        <v>276165</v>
      </c>
      <c r="J63" s="265" t="n">
        <f aca="false">J62*$F$63</f>
        <v>276165</v>
      </c>
      <c r="K63" s="265" t="n">
        <f aca="false">K62*$F$63</f>
        <v>460275</v>
      </c>
      <c r="L63" s="265" t="n">
        <f aca="false">M62*$F$63</f>
        <v>460275</v>
      </c>
      <c r="M63" s="265" t="n">
        <f aca="false">M62*$F$63</f>
        <v>460275</v>
      </c>
      <c r="N63" s="265" t="n">
        <f aca="false">N62*$F$63</f>
        <v>460275</v>
      </c>
      <c r="O63" s="265" t="n">
        <f aca="false">O62*$F$63</f>
        <v>460275</v>
      </c>
      <c r="P63" s="265" t="n">
        <f aca="false">P62*$F$63</f>
        <v>460275</v>
      </c>
      <c r="Q63" s="265" t="n">
        <f aca="false">Q62*$F$63</f>
        <v>460275</v>
      </c>
      <c r="R63" s="265" t="n">
        <f aca="false">R62*$F$63</f>
        <v>460275</v>
      </c>
      <c r="S63" s="265" t="n">
        <f aca="false">S62*$F$63</f>
        <v>460275</v>
      </c>
      <c r="T63" s="265" t="n">
        <f aca="false">T62*$F$63</f>
        <v>460275</v>
      </c>
      <c r="U63" s="265" t="n">
        <f aca="false">U62*$F$63</f>
        <v>460275</v>
      </c>
      <c r="V63" s="265" t="n">
        <f aca="false">V62*$F$63</f>
        <v>460275</v>
      </c>
      <c r="W63" s="265" t="n">
        <f aca="false">W62*$F$63</f>
        <v>460275</v>
      </c>
      <c r="X63" s="265" t="n">
        <f aca="false">X62*$F$63</f>
        <v>460275</v>
      </c>
      <c r="Y63" s="265" t="n">
        <f aca="false">Y62*$F$63</f>
        <v>460275</v>
      </c>
      <c r="Z63" s="265" t="n">
        <f aca="false">Z62*$F$63</f>
        <v>460275</v>
      </c>
      <c r="AA63" s="265" t="n">
        <f aca="false">AA62*$F$63</f>
        <v>460275</v>
      </c>
      <c r="AB63" s="265" t="n">
        <f aca="false">AB62*$F$63</f>
        <v>460275</v>
      </c>
      <c r="AC63" s="265" t="n">
        <f aca="false">AC62*$F$63</f>
        <v>460275</v>
      </c>
      <c r="AD63" s="265" t="n">
        <f aca="false">AD62*$F$63</f>
        <v>460275</v>
      </c>
      <c r="AE63" s="265" t="n">
        <f aca="false">AE62*$F$63</f>
        <v>460275</v>
      </c>
      <c r="AF63" s="265" t="n">
        <f aca="false">AF62*$F$63</f>
        <v>460275</v>
      </c>
      <c r="AG63" s="265" t="n">
        <f aca="false">AG62*$F$63</f>
        <v>460275</v>
      </c>
      <c r="AH63" s="265" t="n">
        <f aca="false">AH62*$F$63</f>
        <v>460275</v>
      </c>
      <c r="AI63" s="265" t="n">
        <f aca="false">AI62*$F$63</f>
        <v>460275</v>
      </c>
      <c r="AJ63" s="265" t="n">
        <f aca="false">AJ62*$F$63</f>
        <v>460275</v>
      </c>
      <c r="AK63" s="265" t="n">
        <f aca="false">AK62*$F$63</f>
        <v>460275</v>
      </c>
      <c r="AL63" s="265" t="n">
        <f aca="false">AL62*$F$63</f>
        <v>460275</v>
      </c>
    </row>
    <row r="65" customFormat="false" ht="15" hidden="false" customHeight="false" outlineLevel="0" collapsed="false">
      <c r="C65" s="303" t="s">
        <v>556</v>
      </c>
    </row>
    <row r="66" customFormat="false" ht="15" hidden="false" customHeight="false" outlineLevel="0" collapsed="false">
      <c r="C66" s="56" t="s">
        <v>556</v>
      </c>
      <c r="D66" s="56"/>
      <c r="E66" s="56" t="s">
        <v>384</v>
      </c>
      <c r="F66" s="56"/>
      <c r="G66" s="56"/>
      <c r="H66" s="59" t="n">
        <f aca="false">0</f>
        <v>0</v>
      </c>
      <c r="I66" s="59" t="n">
        <f aca="false">0</f>
        <v>0</v>
      </c>
      <c r="J66" s="59" t="n">
        <f aca="false">I59*D57</f>
        <v>484500</v>
      </c>
      <c r="K66" s="59" t="n">
        <f aca="false">J59*E57</f>
        <v>872100</v>
      </c>
      <c r="L66" s="59" t="n">
        <f aca="false">K59*F57</f>
        <v>969000</v>
      </c>
      <c r="M66" s="59" t="n">
        <f aca="false">L59*G57</f>
        <v>1453500</v>
      </c>
      <c r="N66" s="59" t="n">
        <f aca="false">M66</f>
        <v>1453500</v>
      </c>
      <c r="O66" s="59" t="n">
        <f aca="false">N66</f>
        <v>1453500</v>
      </c>
      <c r="P66" s="59" t="n">
        <f aca="false">O66</f>
        <v>1453500</v>
      </c>
      <c r="Q66" s="59" t="n">
        <f aca="false">P66</f>
        <v>1453500</v>
      </c>
      <c r="R66" s="59" t="n">
        <f aca="false">Q66</f>
        <v>1453500</v>
      </c>
      <c r="S66" s="59" t="n">
        <f aca="false">R66</f>
        <v>1453500</v>
      </c>
      <c r="T66" s="59" t="n">
        <f aca="false">S66</f>
        <v>1453500</v>
      </c>
      <c r="U66" s="59" t="n">
        <f aca="false">T66</f>
        <v>1453500</v>
      </c>
      <c r="V66" s="59" t="n">
        <f aca="false">U66</f>
        <v>1453500</v>
      </c>
      <c r="W66" s="59" t="n">
        <f aca="false">V66</f>
        <v>1453500</v>
      </c>
      <c r="X66" s="59" t="n">
        <f aca="false">W66</f>
        <v>1453500</v>
      </c>
      <c r="Y66" s="59" t="n">
        <f aca="false">X66</f>
        <v>1453500</v>
      </c>
      <c r="Z66" s="59" t="n">
        <f aca="false">Y66</f>
        <v>1453500</v>
      </c>
      <c r="AA66" s="59" t="n">
        <f aca="false">Z66</f>
        <v>1453500</v>
      </c>
      <c r="AB66" s="59" t="n">
        <f aca="false">AA66</f>
        <v>1453500</v>
      </c>
      <c r="AC66" s="59" t="n">
        <f aca="false">AB66</f>
        <v>1453500</v>
      </c>
      <c r="AD66" s="59" t="n">
        <f aca="false">AC66</f>
        <v>1453500</v>
      </c>
      <c r="AE66" s="59" t="n">
        <f aca="false">AD66</f>
        <v>1453500</v>
      </c>
      <c r="AF66" s="59" t="n">
        <f aca="false">AE66</f>
        <v>1453500</v>
      </c>
      <c r="AG66" s="59" t="n">
        <f aca="false">AF66</f>
        <v>1453500</v>
      </c>
      <c r="AH66" s="59" t="n">
        <f aca="false">AG66</f>
        <v>1453500</v>
      </c>
      <c r="AI66" s="59" t="n">
        <f aca="false">AH66</f>
        <v>1453500</v>
      </c>
      <c r="AJ66" s="59" t="n">
        <f aca="false">AI66</f>
        <v>1453500</v>
      </c>
      <c r="AK66" s="59" t="n">
        <f aca="false">AJ66</f>
        <v>1453500</v>
      </c>
      <c r="AL66" s="59" t="n">
        <f aca="false">AK66</f>
        <v>1453500</v>
      </c>
    </row>
    <row r="67" customFormat="false" ht="15" hidden="false" customHeight="false" outlineLevel="0" collapsed="false">
      <c r="C67" s="13" t="s">
        <v>555</v>
      </c>
      <c r="D67" s="13"/>
      <c r="E67" s="13"/>
      <c r="F67" s="305" t="n">
        <v>0.95</v>
      </c>
      <c r="G67" s="13"/>
      <c r="H67" s="13"/>
      <c r="I67" s="61" t="n">
        <f aca="false">I66*$F$67</f>
        <v>0</v>
      </c>
      <c r="J67" s="61" t="n">
        <f aca="false">J66*$F$67</f>
        <v>460275</v>
      </c>
      <c r="K67" s="61" t="n">
        <f aca="false">K66*$F$67</f>
        <v>828495</v>
      </c>
      <c r="L67" s="61" t="n">
        <f aca="false">L66*$F$67</f>
        <v>920550</v>
      </c>
      <c r="M67" s="61" t="n">
        <f aca="false">M66*$F$67</f>
        <v>1380825</v>
      </c>
      <c r="N67" s="61" t="n">
        <f aca="false">N66*$F$67</f>
        <v>1380825</v>
      </c>
      <c r="O67" s="61" t="n">
        <f aca="false">O66*$F$67</f>
        <v>1380825</v>
      </c>
      <c r="P67" s="61" t="n">
        <f aca="false">P66*$F$67</f>
        <v>1380825</v>
      </c>
      <c r="Q67" s="61" t="n">
        <f aca="false">Q66*$F$67</f>
        <v>1380825</v>
      </c>
      <c r="R67" s="61" t="n">
        <f aca="false">R66*$F$67</f>
        <v>1380825</v>
      </c>
      <c r="S67" s="61" t="n">
        <f aca="false">S66*$F$67</f>
        <v>1380825</v>
      </c>
      <c r="T67" s="61" t="n">
        <f aca="false">T66*$F$67</f>
        <v>1380825</v>
      </c>
      <c r="U67" s="61" t="n">
        <f aca="false">U66*$F$67</f>
        <v>1380825</v>
      </c>
      <c r="V67" s="61" t="n">
        <f aca="false">V66*$F$67</f>
        <v>1380825</v>
      </c>
      <c r="W67" s="61" t="n">
        <f aca="false">W66*$F$67</f>
        <v>1380825</v>
      </c>
      <c r="X67" s="61" t="n">
        <f aca="false">X66*$F$67</f>
        <v>1380825</v>
      </c>
      <c r="Y67" s="61" t="n">
        <f aca="false">Y66*$F$67</f>
        <v>1380825</v>
      </c>
      <c r="Z67" s="61" t="n">
        <f aca="false">Z66*$F$67</f>
        <v>1380825</v>
      </c>
      <c r="AA67" s="61" t="n">
        <f aca="false">AA66*$F$67</f>
        <v>1380825</v>
      </c>
      <c r="AB67" s="61" t="n">
        <f aca="false">AB66*$F$67</f>
        <v>1380825</v>
      </c>
      <c r="AC67" s="61" t="n">
        <f aca="false">AC66*$F$67</f>
        <v>1380825</v>
      </c>
      <c r="AD67" s="61" t="n">
        <f aca="false">AD66*$F$67</f>
        <v>1380825</v>
      </c>
      <c r="AE67" s="61" t="n">
        <f aca="false">AE66*$F$67</f>
        <v>1380825</v>
      </c>
      <c r="AF67" s="61" t="n">
        <f aca="false">AF66*$F$67</f>
        <v>1380825</v>
      </c>
      <c r="AG67" s="61" t="n">
        <f aca="false">AG66*$F$67</f>
        <v>1380825</v>
      </c>
      <c r="AH67" s="61" t="n">
        <f aca="false">AH66*$F$67</f>
        <v>1380825</v>
      </c>
      <c r="AI67" s="61" t="n">
        <f aca="false">AI66*$F$67</f>
        <v>1380825</v>
      </c>
      <c r="AJ67" s="61" t="n">
        <f aca="false">AJ66*$F$67</f>
        <v>1380825</v>
      </c>
      <c r="AK67" s="61" t="n">
        <f aca="false">AK66*$F$67</f>
        <v>1380825</v>
      </c>
      <c r="AL67" s="61" t="n">
        <f aca="false">AL66*$F$67</f>
        <v>1380825</v>
      </c>
    </row>
    <row r="69" customFormat="false" ht="15" hidden="false" customHeight="false" outlineLevel="0" collapsed="false">
      <c r="J69" s="55"/>
      <c r="K69" s="42"/>
    </row>
    <row r="70" customFormat="false" ht="15" hidden="false" customHeight="false" outlineLevel="0" collapsed="false">
      <c r="J70" s="55"/>
      <c r="K70" s="42"/>
    </row>
    <row r="71" customFormat="false" ht="15" hidden="false" customHeight="false" outlineLevel="0" collapsed="false">
      <c r="J71" s="55"/>
      <c r="K71" s="42"/>
    </row>
    <row r="72" customFormat="false" ht="15" hidden="false" customHeight="false" outlineLevel="0" collapsed="false">
      <c r="J72" s="55"/>
      <c r="K72" s="42"/>
    </row>
    <row r="73" customFormat="false" ht="15" hidden="false" customHeight="false" outlineLevel="0" collapsed="false">
      <c r="I73" s="306"/>
      <c r="J73" s="61"/>
      <c r="K73" s="268"/>
    </row>
    <row r="288" customFormat="false" ht="15" hidden="false" customHeight="false" outlineLevel="0" collapsed="false">
      <c r="Q288" s="0" t="n">
        <f aca="false">$F288*Q$5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L8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83203125" defaultRowHeight="15" zeroHeight="false" outlineLevelRow="1" outlineLevelCol="0"/>
  <cols>
    <col collapsed="false" customWidth="true" hidden="false" outlineLevel="0" max="1" min="1" style="0" width="3"/>
    <col collapsed="false" customWidth="true" hidden="false" outlineLevel="0" max="2" min="2" style="0" width="4.33"/>
    <col collapsed="false" customWidth="true" hidden="false" outlineLevel="0" max="3" min="3" style="0" width="38.33"/>
    <col collapsed="false" customWidth="true" hidden="false" outlineLevel="0" max="4" min="4" style="0" width="19.51"/>
    <col collapsed="false" customWidth="true" hidden="false" outlineLevel="0" max="5" min="5" style="0" width="15.51"/>
    <col collapsed="false" customWidth="true" hidden="false" outlineLevel="0" max="6" min="6" style="0" width="18.5"/>
    <col collapsed="false" customWidth="true" hidden="false" outlineLevel="0" max="7" min="7" style="0" width="5.51"/>
    <col collapsed="false" customWidth="true" hidden="false" outlineLevel="0" max="9" min="8" style="0" width="14.51"/>
    <col collapsed="false" customWidth="true" hidden="false" outlineLevel="0" max="11" min="10" style="0" width="13.5"/>
    <col collapsed="false" customWidth="true" hidden="false" outlineLevel="0" max="12" min="12" style="0" width="12.83"/>
    <col collapsed="false" customWidth="true" hidden="false" outlineLevel="0" max="13" min="13" style="0" width="15.83"/>
    <col collapsed="false" customWidth="true" hidden="false" outlineLevel="0" max="14" min="14" style="0" width="16.83"/>
    <col collapsed="false" customWidth="true" hidden="false" outlineLevel="0" max="16" min="15" style="0" width="12.83"/>
    <col collapsed="false" customWidth="true" hidden="false" outlineLevel="0" max="18" min="17" style="0" width="13.5"/>
    <col collapsed="false" customWidth="true" hidden="false" outlineLevel="0" max="19" min="19" style="0" width="12.83"/>
    <col collapsed="false" customWidth="true" hidden="false" outlineLevel="0" max="20" min="20" style="0" width="16.83"/>
    <col collapsed="false" customWidth="true" hidden="false" outlineLevel="0" max="38" min="21" style="0" width="12.83"/>
  </cols>
  <sheetData>
    <row r="2" customFormat="false" ht="17.35" hidden="false" customHeight="false" outlineLevel="0" collapsed="false">
      <c r="B2" s="5" t="str">
        <f aca="false">'1. Project Summary'!B2</f>
        <v>Projections - Serious Shea</v>
      </c>
      <c r="H2" s="307"/>
    </row>
    <row r="3" customFormat="false" ht="15" hidden="false" customHeight="false" outlineLevel="0" collapsed="false">
      <c r="B3" s="1" t="str">
        <f aca="false">'1. Project Summary'!B3</f>
        <v>(in EUR, unless otherwise stated)</v>
      </c>
    </row>
    <row r="5" customFormat="false" ht="15" hidden="false" customHeight="false" outlineLevel="0" collapsed="false">
      <c r="B5" s="308" t="s">
        <v>557</v>
      </c>
      <c r="C5" s="308"/>
      <c r="D5" s="97" t="s">
        <v>87</v>
      </c>
      <c r="E5" s="309"/>
      <c r="F5" s="309"/>
      <c r="G5" s="97"/>
      <c r="H5" s="310" t="n">
        <f aca="false">'2. NPV'!H5</f>
        <v>2024</v>
      </c>
      <c r="I5" s="310" t="n">
        <f aca="false">'2. NPV'!I5</f>
        <v>2025</v>
      </c>
      <c r="J5" s="310" t="n">
        <f aca="false">'2. NPV'!J5</f>
        <v>2026</v>
      </c>
      <c r="K5" s="310" t="n">
        <f aca="false">'2. NPV'!K5</f>
        <v>2027</v>
      </c>
      <c r="L5" s="310" t="n">
        <f aca="false">'2. NPV'!L5</f>
        <v>2028</v>
      </c>
      <c r="M5" s="310" t="n">
        <f aca="false">'2. NPV'!M5</f>
        <v>2029</v>
      </c>
      <c r="N5" s="310" t="n">
        <f aca="false">'2. NPV'!N5</f>
        <v>2030</v>
      </c>
      <c r="O5" s="310" t="n">
        <f aca="false">'2. NPV'!O5</f>
        <v>2031</v>
      </c>
      <c r="P5" s="310" t="n">
        <f aca="false">'2. NPV'!P5</f>
        <v>2032</v>
      </c>
      <c r="Q5" s="310" t="n">
        <f aca="false">'2. NPV'!Q5</f>
        <v>2033</v>
      </c>
      <c r="R5" s="310" t="n">
        <f aca="false">'2. NPV'!R5</f>
        <v>2034</v>
      </c>
      <c r="S5" s="310" t="n">
        <f aca="false">'2. NPV'!S5</f>
        <v>2035</v>
      </c>
      <c r="T5" s="310" t="n">
        <f aca="false">'2. NPV'!T5</f>
        <v>2036</v>
      </c>
      <c r="U5" s="310" t="n">
        <f aca="false">'2. NPV'!U5</f>
        <v>2037</v>
      </c>
      <c r="V5" s="310" t="n">
        <f aca="false">'2. NPV'!V5</f>
        <v>2038</v>
      </c>
      <c r="W5" s="310" t="n">
        <f aca="false">'2. NPV'!W5</f>
        <v>2039</v>
      </c>
      <c r="X5" s="310" t="n">
        <f aca="false">'2. NPV'!X5</f>
        <v>2040</v>
      </c>
      <c r="Y5" s="310" t="n">
        <f aca="false">'2. NPV'!Y5</f>
        <v>2041</v>
      </c>
      <c r="Z5" s="310" t="n">
        <f aca="false">'2. NPV'!Z5</f>
        <v>2042</v>
      </c>
      <c r="AA5" s="310" t="n">
        <f aca="false">'2. NPV'!AA5</f>
        <v>2043</v>
      </c>
      <c r="AB5" s="310" t="n">
        <f aca="false">'2. NPV'!AB5</f>
        <v>2044</v>
      </c>
      <c r="AC5" s="310" t="n">
        <f aca="false">'2. NPV'!AC5</f>
        <v>2045</v>
      </c>
      <c r="AD5" s="310" t="n">
        <f aca="false">'2. NPV'!AD5</f>
        <v>2046</v>
      </c>
      <c r="AE5" s="310" t="n">
        <f aca="false">'2. NPV'!AE5</f>
        <v>2047</v>
      </c>
      <c r="AF5" s="310" t="n">
        <f aca="false">'2. NPV'!AF5</f>
        <v>2048</v>
      </c>
      <c r="AG5" s="310" t="n">
        <f aca="false">'2. NPV'!AG5</f>
        <v>2049</v>
      </c>
      <c r="AH5" s="310" t="n">
        <f aca="false">'2. NPV'!AH5</f>
        <v>2050</v>
      </c>
      <c r="AI5" s="310" t="n">
        <f aca="false">'2. NPV'!AI5</f>
        <v>2051</v>
      </c>
      <c r="AJ5" s="310" t="n">
        <f aca="false">'2. NPV'!AJ5</f>
        <v>2052</v>
      </c>
      <c r="AK5" s="310" t="n">
        <f aca="false">'2. NPV'!AK5</f>
        <v>2053</v>
      </c>
      <c r="AL5" s="310" t="n">
        <f aca="false">'2. NPV'!AL5</f>
        <v>2054</v>
      </c>
    </row>
    <row r="6" customFormat="false" ht="15" hidden="false" customHeight="false" outlineLevel="0" collapsed="false">
      <c r="B6" s="308" t="s">
        <v>558</v>
      </c>
      <c r="C6" s="308"/>
      <c r="D6" s="311"/>
      <c r="E6" s="309"/>
      <c r="F6" s="309"/>
      <c r="G6" s="312"/>
      <c r="H6" s="6" t="n">
        <f aca="false">'4.1 Revenue Build - VCU'!H6</f>
        <v>1</v>
      </c>
      <c r="I6" s="6" t="n">
        <f aca="false">'4.1 Revenue Build - VCU'!I6</f>
        <v>2</v>
      </c>
      <c r="J6" s="6" t="n">
        <f aca="false">'4.1 Revenue Build - VCU'!J6</f>
        <v>3</v>
      </c>
      <c r="K6" s="6" t="n">
        <f aca="false">'4.1 Revenue Build - VCU'!K6</f>
        <v>4</v>
      </c>
      <c r="L6" s="6" t="n">
        <f aca="false">'4.1 Revenue Build - VCU'!L6</f>
        <v>5</v>
      </c>
      <c r="M6" s="6" t="n">
        <f aca="false">'4.1 Revenue Build - VCU'!M6</f>
        <v>6</v>
      </c>
      <c r="N6" s="6" t="n">
        <f aca="false">'4.1 Revenue Build - VCU'!N6</f>
        <v>7</v>
      </c>
      <c r="O6" s="6" t="n">
        <f aca="false">'4.1 Revenue Build - VCU'!O6</f>
        <v>8</v>
      </c>
      <c r="P6" s="6" t="n">
        <f aca="false">'4.1 Revenue Build - VCU'!P6</f>
        <v>9</v>
      </c>
      <c r="Q6" s="6" t="n">
        <f aca="false">'4.1 Revenue Build - VCU'!Q6</f>
        <v>10</v>
      </c>
      <c r="R6" s="6" t="n">
        <f aca="false">'4.1 Revenue Build - VCU'!R6</f>
        <v>11</v>
      </c>
      <c r="S6" s="6" t="n">
        <f aca="false">'4.1 Revenue Build - VCU'!S6</f>
        <v>12</v>
      </c>
      <c r="T6" s="6" t="n">
        <f aca="false">'4.1 Revenue Build - VCU'!T6</f>
        <v>13</v>
      </c>
      <c r="U6" s="6" t="n">
        <f aca="false">'4.1 Revenue Build - VCU'!U6</f>
        <v>14</v>
      </c>
      <c r="V6" s="6" t="n">
        <f aca="false">'4.1 Revenue Build - VCU'!V6</f>
        <v>15</v>
      </c>
      <c r="W6" s="6" t="n">
        <f aca="false">'4.1 Revenue Build - VCU'!W6</f>
        <v>16</v>
      </c>
      <c r="X6" s="6" t="n">
        <f aca="false">'4.1 Revenue Build - VCU'!X6</f>
        <v>17</v>
      </c>
      <c r="Y6" s="6" t="n">
        <f aca="false">'4.1 Revenue Build - VCU'!Y6</f>
        <v>18</v>
      </c>
      <c r="Z6" s="6" t="n">
        <f aca="false">'4.1 Revenue Build - VCU'!Z6</f>
        <v>19</v>
      </c>
      <c r="AA6" s="6" t="n">
        <f aca="false">'4.1 Revenue Build - VCU'!AA6</f>
        <v>20</v>
      </c>
      <c r="AB6" s="6" t="n">
        <f aca="false">'4.1 Revenue Build - VCU'!AB6</f>
        <v>21</v>
      </c>
      <c r="AC6" s="6" t="n">
        <f aca="false">'4.1 Revenue Build - VCU'!AC6</f>
        <v>22</v>
      </c>
      <c r="AD6" s="6" t="n">
        <f aca="false">'4.1 Revenue Build - VCU'!AD6</f>
        <v>23</v>
      </c>
      <c r="AE6" s="6" t="n">
        <f aca="false">'4.1 Revenue Build - VCU'!AE6</f>
        <v>24</v>
      </c>
      <c r="AF6" s="6" t="n">
        <f aca="false">'4.1 Revenue Build - VCU'!AF6</f>
        <v>25</v>
      </c>
      <c r="AG6" s="6" t="n">
        <f aca="false">'4.1 Revenue Build - VCU'!AG6</f>
        <v>26</v>
      </c>
      <c r="AH6" s="6" t="n">
        <f aca="false">'4.1 Revenue Build - VCU'!AH6</f>
        <v>27</v>
      </c>
      <c r="AI6" s="6" t="n">
        <f aca="false">'4.1 Revenue Build - VCU'!AI6</f>
        <v>28</v>
      </c>
      <c r="AJ6" s="6" t="n">
        <f aca="false">'4.1 Revenue Build - VCU'!AJ6</f>
        <v>29</v>
      </c>
      <c r="AK6" s="6" t="n">
        <f aca="false">'4.1 Revenue Build - VCU'!AK6</f>
        <v>30</v>
      </c>
      <c r="AL6" s="6" t="n">
        <f aca="false">'4.1 Revenue Build - VCU'!AL6</f>
        <v>31</v>
      </c>
    </row>
    <row r="7" customFormat="false" ht="15" hidden="false" customHeight="false" outlineLevel="0" collapsed="false">
      <c r="B7" s="313"/>
      <c r="C7" s="313"/>
      <c r="D7" s="314"/>
      <c r="E7" s="315"/>
      <c r="F7" s="315"/>
      <c r="G7" s="316"/>
      <c r="H7" s="317"/>
      <c r="I7" s="317"/>
      <c r="J7" s="317"/>
      <c r="K7" s="317"/>
      <c r="L7" s="317"/>
      <c r="M7" s="317"/>
      <c r="N7" s="317"/>
      <c r="O7" s="317"/>
      <c r="P7" s="317"/>
      <c r="Q7" s="317"/>
      <c r="R7" s="317"/>
      <c r="S7" s="317"/>
      <c r="T7" s="317"/>
      <c r="U7" s="317"/>
      <c r="V7" s="317"/>
      <c r="W7" s="317"/>
      <c r="X7" s="317"/>
      <c r="Y7" s="317"/>
      <c r="Z7" s="317"/>
      <c r="AA7" s="317"/>
      <c r="AB7" s="317"/>
      <c r="AC7" s="317"/>
      <c r="AD7" s="317"/>
      <c r="AE7" s="317"/>
      <c r="AF7" s="317"/>
      <c r="AG7" s="317"/>
      <c r="AH7" s="317"/>
      <c r="AI7" s="317"/>
      <c r="AJ7" s="317"/>
      <c r="AK7" s="317"/>
      <c r="AL7" s="317"/>
    </row>
    <row r="8" customFormat="false" ht="15" hidden="false" customHeight="false" outlineLevel="0" collapsed="false">
      <c r="B8" s="162" t="s">
        <v>559</v>
      </c>
      <c r="C8" s="269"/>
      <c r="D8" s="318"/>
      <c r="E8" s="124" t="n">
        <f aca="false">'1. Project Summary'!F15</f>
        <v>0.02</v>
      </c>
      <c r="F8" s="315"/>
      <c r="G8" s="316"/>
      <c r="H8" s="319" t="n">
        <f aca="false">(1+$E$8)^H6</f>
        <v>1.02</v>
      </c>
      <c r="I8" s="319" t="n">
        <f aca="false">(1+$E$8)^I6</f>
        <v>1.0404</v>
      </c>
      <c r="J8" s="319" t="n">
        <f aca="false">(1+$E$8)^J6</f>
        <v>1.061208</v>
      </c>
      <c r="K8" s="319" t="n">
        <f aca="false">(1+$E$8)^K6</f>
        <v>1.08243216</v>
      </c>
      <c r="L8" s="319" t="n">
        <f aca="false">(1+$E$8)^L6</f>
        <v>1.1040808032</v>
      </c>
      <c r="M8" s="319" t="n">
        <f aca="false">(1+$E$8)^M6</f>
        <v>1.126162419264</v>
      </c>
      <c r="N8" s="319" t="n">
        <f aca="false">(1+$E$8)^N6</f>
        <v>1.14868566764928</v>
      </c>
      <c r="O8" s="319" t="n">
        <f aca="false">(1+$E$8)^O6</f>
        <v>1.17165938100227</v>
      </c>
      <c r="P8" s="319" t="n">
        <f aca="false">(1+$E$8)^P6</f>
        <v>1.19509256862231</v>
      </c>
      <c r="Q8" s="319" t="n">
        <f aca="false">(1+$E$8)^Q6</f>
        <v>1.21899441999476</v>
      </c>
      <c r="R8" s="319" t="n">
        <f aca="false">(1+$E$8)^R6</f>
        <v>1.24337430839465</v>
      </c>
      <c r="S8" s="319" t="n">
        <f aca="false">(1+$E$8)^S6</f>
        <v>1.26824179456255</v>
      </c>
      <c r="T8" s="319" t="n">
        <f aca="false">(1+$E$8)^T6</f>
        <v>1.2936066304538</v>
      </c>
      <c r="U8" s="319" t="n">
        <f aca="false">(1+$E$8)^U6</f>
        <v>1.31947876306287</v>
      </c>
      <c r="V8" s="319" t="n">
        <f aca="false">(1+$E$8)^V6</f>
        <v>1.34586833832413</v>
      </c>
      <c r="W8" s="319" t="n">
        <f aca="false">(1+$E$8)^W6</f>
        <v>1.37278570509061</v>
      </c>
      <c r="X8" s="319" t="n">
        <f aca="false">(1+$E$8)^X6</f>
        <v>1.40024141919242</v>
      </c>
      <c r="Y8" s="319" t="n">
        <f aca="false">(1+$E$8)^Y6</f>
        <v>1.42824624757627</v>
      </c>
      <c r="Z8" s="319" t="n">
        <f aca="false">(1+$E$8)^Z6</f>
        <v>1.4568111725278</v>
      </c>
      <c r="AA8" s="319" t="n">
        <f aca="false">(1+$E$8)^AA6</f>
        <v>1.48594739597836</v>
      </c>
      <c r="AB8" s="319" t="n">
        <f aca="false">(1+$E$8)^AB6</f>
        <v>1.51566634389792</v>
      </c>
      <c r="AC8" s="319" t="n">
        <f aca="false">(1+$E$8)^AC6</f>
        <v>1.54597967077588</v>
      </c>
      <c r="AD8" s="319" t="n">
        <f aca="false">(1+$E$8)^AD6</f>
        <v>1.5768992641914</v>
      </c>
      <c r="AE8" s="319" t="n">
        <f aca="false">(1+$E$8)^AE6</f>
        <v>1.60843724947523</v>
      </c>
      <c r="AF8" s="319" t="n">
        <f aca="false">(1+$E$8)^AF6</f>
        <v>1.64060599446473</v>
      </c>
      <c r="AG8" s="319" t="n">
        <f aca="false">(1+$E$8)^AG6</f>
        <v>1.67341811435403</v>
      </c>
      <c r="AH8" s="319" t="n">
        <f aca="false">(1+$E$8)^AH6</f>
        <v>1.70688647664111</v>
      </c>
      <c r="AI8" s="319" t="n">
        <f aca="false">(1+$E$8)^AI6</f>
        <v>1.74102420617393</v>
      </c>
      <c r="AJ8" s="319" t="n">
        <f aca="false">(1+$E$8)^AJ6</f>
        <v>1.77584469029741</v>
      </c>
      <c r="AK8" s="319" t="n">
        <f aca="false">(1+$E$8)^AK6</f>
        <v>1.81136158410335</v>
      </c>
      <c r="AL8" s="319" t="n">
        <f aca="false">(1+$E$8)^AL6</f>
        <v>1.84758881578542</v>
      </c>
    </row>
    <row r="9" customFormat="false" ht="15" hidden="false" customHeight="false" outlineLevel="0" collapsed="false">
      <c r="B9" s="162"/>
      <c r="C9" s="269"/>
      <c r="D9" s="318"/>
      <c r="E9" s="125"/>
      <c r="F9" s="315"/>
      <c r="G9" s="316"/>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row>
    <row r="10" customFormat="false" ht="15" hidden="false" customHeight="false" outlineLevel="0" collapsed="false">
      <c r="B10" s="320" t="s">
        <v>190</v>
      </c>
      <c r="C10" s="321"/>
      <c r="D10" s="322"/>
      <c r="E10" s="321"/>
      <c r="F10" s="321"/>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1"/>
      <c r="AL10" s="321"/>
    </row>
    <row r="11" customFormat="false" ht="15" hidden="false" customHeight="false" outlineLevel="1" collapsed="false">
      <c r="B11" s="10" t="s">
        <v>560</v>
      </c>
      <c r="D11" s="1"/>
      <c r="E11" s="1"/>
      <c r="F11" s="1"/>
      <c r="G11" s="100"/>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row>
    <row r="12" customFormat="false" ht="15" hidden="false" customHeight="false" outlineLevel="1" collapsed="false">
      <c r="B12" s="10"/>
      <c r="C12" s="33" t="s">
        <v>241</v>
      </c>
      <c r="D12" s="25" t="s">
        <v>163</v>
      </c>
      <c r="E12" s="325" t="n">
        <f aca="false">'3. Assumptions'!F30</f>
        <v>73250</v>
      </c>
      <c r="F12" s="1"/>
      <c r="G12" s="100"/>
      <c r="H12" s="326" t="n">
        <f aca="false">E12</f>
        <v>73250</v>
      </c>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row>
    <row r="13" customFormat="false" ht="15" hidden="false" customHeight="false" outlineLevel="1" collapsed="false">
      <c r="C13" s="11" t="s">
        <v>245</v>
      </c>
      <c r="D13" s="25" t="s">
        <v>163</v>
      </c>
      <c r="E13" s="325" t="n">
        <f aca="false">'3. Assumptions'!F31</f>
        <v>5000</v>
      </c>
      <c r="F13" s="327"/>
      <c r="G13" s="100"/>
      <c r="H13" s="326" t="n">
        <f aca="false">E13</f>
        <v>5000</v>
      </c>
      <c r="I13" s="326"/>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row>
    <row r="14" customFormat="false" ht="15" hidden="false" customHeight="false" outlineLevel="1" collapsed="false">
      <c r="B14" s="8"/>
      <c r="C14" s="169" t="s">
        <v>561</v>
      </c>
      <c r="D14" s="25" t="s">
        <v>163</v>
      </c>
      <c r="E14" s="325" t="n">
        <f aca="false">'3. Assumptions'!F32</f>
        <v>200000</v>
      </c>
      <c r="F14" s="327"/>
      <c r="G14" s="100"/>
      <c r="H14" s="326" t="n">
        <f aca="false">$E14*H$18</f>
        <v>100000</v>
      </c>
      <c r="I14" s="326" t="n">
        <f aca="false">$E14*I$18</f>
        <v>100000</v>
      </c>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row>
    <row r="15" customFormat="false" ht="15" hidden="false" customHeight="false" outlineLevel="1" collapsed="false">
      <c r="B15" s="8"/>
      <c r="C15" s="11" t="s">
        <v>248</v>
      </c>
      <c r="D15" s="25" t="s">
        <v>163</v>
      </c>
      <c r="E15" s="325" t="n">
        <f aca="false">'3. Assumptions'!F33</f>
        <v>62500</v>
      </c>
      <c r="F15" s="328"/>
      <c r="G15" s="100"/>
      <c r="H15" s="326" t="n">
        <f aca="false">$E15*H$18</f>
        <v>31250</v>
      </c>
      <c r="I15" s="326" t="n">
        <f aca="false">$E15*I$18</f>
        <v>31250</v>
      </c>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row>
    <row r="16" customFormat="false" ht="15" hidden="false" customHeight="false" outlineLevel="1" collapsed="false">
      <c r="B16" s="8"/>
      <c r="C16" s="169" t="s">
        <v>249</v>
      </c>
      <c r="D16" s="25" t="s">
        <v>163</v>
      </c>
      <c r="E16" s="325" t="n">
        <f aca="false">'3. Assumptions'!F34</f>
        <v>100000</v>
      </c>
      <c r="F16" s="329"/>
      <c r="G16" s="100"/>
      <c r="H16" s="326" t="n">
        <f aca="false">$E16*H$18</f>
        <v>50000</v>
      </c>
      <c r="I16" s="326" t="n">
        <f aca="false">$E16*I$18</f>
        <v>50000</v>
      </c>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row>
    <row r="17" customFormat="false" ht="15" hidden="false" customHeight="false" outlineLevel="1" collapsed="false">
      <c r="B17" s="8"/>
      <c r="C17" s="330" t="str">
        <f aca="false">'3. Assumptions'!C36</f>
        <v>Additional costs for CCB</v>
      </c>
      <c r="D17" s="127" t="s">
        <v>163</v>
      </c>
      <c r="E17" s="325" t="n">
        <f aca="false">'3. Assumptions'!F36</f>
        <v>100000</v>
      </c>
      <c r="F17" s="329"/>
      <c r="G17" s="100"/>
      <c r="H17" s="326" t="n">
        <f aca="false">$E17*H$18</f>
        <v>50000</v>
      </c>
      <c r="I17" s="326" t="n">
        <f aca="false">$E17*I$18</f>
        <v>50000</v>
      </c>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row>
    <row r="18" customFormat="false" ht="15" hidden="false" customHeight="false" outlineLevel="1" collapsed="false">
      <c r="B18" s="8"/>
      <c r="C18" s="25" t="s">
        <v>562</v>
      </c>
      <c r="D18" s="25" t="s">
        <v>102</v>
      </c>
      <c r="E18" s="1"/>
      <c r="G18" s="100"/>
      <c r="H18" s="331" t="n">
        <v>0.5</v>
      </c>
      <c r="I18" s="331" t="n">
        <f aca="false">100%-H18</f>
        <v>0.5</v>
      </c>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row>
    <row r="19" customFormat="false" ht="15" hidden="false" customHeight="false" outlineLevel="1" collapsed="false">
      <c r="B19" s="8"/>
      <c r="C19" s="10"/>
      <c r="D19" s="1"/>
      <c r="E19" s="1"/>
      <c r="G19" s="100"/>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row>
    <row r="20" customFormat="false" ht="15" hidden="false" customHeight="false" outlineLevel="1" collapsed="false">
      <c r="B20" s="8" t="s">
        <v>563</v>
      </c>
      <c r="C20" s="10"/>
      <c r="D20" s="1"/>
      <c r="E20" s="1"/>
      <c r="G20" s="100"/>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row>
    <row r="21" s="13" customFormat="true" ht="15" hidden="false" customHeight="false" outlineLevel="1" collapsed="false">
      <c r="C21" s="1" t="s">
        <v>564</v>
      </c>
      <c r="D21" s="25" t="s">
        <v>163</v>
      </c>
      <c r="E21" s="325" t="n">
        <f aca="false">'3. Assumptions'!F35</f>
        <v>22500</v>
      </c>
      <c r="F21" s="8"/>
      <c r="G21" s="107"/>
      <c r="H21" s="332" t="n">
        <f aca="false">IF('4.1 Revenue Build - VCU'!H$7='5.1 Project Dev''t &amp; Monitoring'!$E$22,$E21,0)*H8</f>
        <v>0</v>
      </c>
      <c r="I21" s="332" t="n">
        <f aca="false">IF('4.1 Revenue Build - VCU'!I$7='5.1 Project Dev''t &amp; Monitoring'!$E$22,$E21,0)*I8</f>
        <v>23409</v>
      </c>
      <c r="J21" s="332" t="n">
        <f aca="false">IF('4.1 Revenue Build - VCU'!J$7='5.1 Project Dev''t &amp; Monitoring'!$E$22,$E21,0)*J8</f>
        <v>0</v>
      </c>
      <c r="K21" s="332" t="n">
        <f aca="false">IF('4.1 Revenue Build - VCU'!K$7='5.1 Project Dev''t &amp; Monitoring'!$E$22,$E21,0)*K8</f>
        <v>0</v>
      </c>
      <c r="L21" s="332" t="n">
        <f aca="false">IF('4.1 Revenue Build - VCU'!L$7='5.1 Project Dev''t &amp; Monitoring'!$E$22,$E21,0)*L8</f>
        <v>0</v>
      </c>
      <c r="M21" s="332" t="n">
        <f aca="false">IF('4.1 Revenue Build - VCU'!M$7='5.1 Project Dev''t &amp; Monitoring'!$E$22,$E21,0)*M8</f>
        <v>0</v>
      </c>
      <c r="N21" s="332" t="n">
        <f aca="false">IF('4.1 Revenue Build - VCU'!N$7='5.1 Project Dev''t &amp; Monitoring'!$E$22,$E21,0)*N8</f>
        <v>0</v>
      </c>
      <c r="O21" s="332" t="n">
        <f aca="false">IF('4.1 Revenue Build - VCU'!O$7='5.1 Project Dev''t &amp; Monitoring'!$E$22,$E21,0)*O8</f>
        <v>0</v>
      </c>
      <c r="P21" s="332" t="n">
        <f aca="false">IF('4.1 Revenue Build - VCU'!P$7='5.1 Project Dev''t &amp; Monitoring'!$E$22,$E21,0)*P8</f>
        <v>0</v>
      </c>
      <c r="Q21" s="332" t="n">
        <f aca="false">IF('4.1 Revenue Build - VCU'!Q$7='5.1 Project Dev''t &amp; Monitoring'!$E$22,$E21,0)*Q8</f>
        <v>0</v>
      </c>
      <c r="R21" s="332" t="n">
        <f aca="false">IF('4.1 Revenue Build - VCU'!R$7='5.1 Project Dev''t &amp; Monitoring'!$E$22,$E21,0)*R8</f>
        <v>0</v>
      </c>
      <c r="S21" s="332" t="n">
        <f aca="false">IF('4.1 Revenue Build - VCU'!S$7='5.1 Project Dev''t &amp; Monitoring'!$E$22,$E21,0)*S8</f>
        <v>0</v>
      </c>
      <c r="T21" s="332" t="n">
        <f aca="false">IF('4.1 Revenue Build - VCU'!T$7='5.1 Project Dev''t &amp; Monitoring'!$E$22,$E21,0)*T8</f>
        <v>0</v>
      </c>
      <c r="U21" s="332" t="n">
        <f aca="false">IF('4.1 Revenue Build - VCU'!U$7='5.1 Project Dev''t &amp; Monitoring'!$E$22,$E21,0)*U8</f>
        <v>0</v>
      </c>
      <c r="V21" s="332" t="n">
        <f aca="false">IF('4.1 Revenue Build - VCU'!V$7='5.1 Project Dev''t &amp; Monitoring'!$E$22,$E21,0)*V8</f>
        <v>0</v>
      </c>
      <c r="W21" s="332" t="n">
        <f aca="false">IF('4.1 Revenue Build - VCU'!W$7='5.1 Project Dev''t &amp; Monitoring'!$E$22,$E21,0)*W8</f>
        <v>0</v>
      </c>
      <c r="X21" s="332" t="n">
        <f aca="false">IF('4.1 Revenue Build - VCU'!X$7='5.1 Project Dev''t &amp; Monitoring'!$E$22,$E21,0)*X8</f>
        <v>0</v>
      </c>
      <c r="Y21" s="332" t="n">
        <f aca="false">IF('4.1 Revenue Build - VCU'!Y$7='5.1 Project Dev''t &amp; Monitoring'!$E$22,$E21,0)*Y8</f>
        <v>0</v>
      </c>
      <c r="Z21" s="332" t="n">
        <f aca="false">IF('4.1 Revenue Build - VCU'!Z$7='5.1 Project Dev''t &amp; Monitoring'!$E$22,$E21,0)*Z8</f>
        <v>0</v>
      </c>
      <c r="AA21" s="332" t="n">
        <f aca="false">IF('4.1 Revenue Build - VCU'!AA$7='5.1 Project Dev''t &amp; Monitoring'!$E$22,$E21,0)*AA8</f>
        <v>0</v>
      </c>
      <c r="AB21" s="332" t="n">
        <f aca="false">IF('4.1 Revenue Build - VCU'!AB$7='5.1 Project Dev''t &amp; Monitoring'!$E$22,$E21,0)*AB8</f>
        <v>0</v>
      </c>
      <c r="AC21" s="332" t="n">
        <f aca="false">IF('4.1 Revenue Build - VCU'!AC$7='5.1 Project Dev''t &amp; Monitoring'!$E$22,$E21,0)*AC8</f>
        <v>0</v>
      </c>
      <c r="AD21" s="332" t="n">
        <f aca="false">IF('4.1 Revenue Build - VCU'!AD$7='5.1 Project Dev''t &amp; Monitoring'!$E$22,$E21,0)*AD8</f>
        <v>0</v>
      </c>
      <c r="AE21" s="332" t="n">
        <f aca="false">IF('4.1 Revenue Build - VCU'!AE$7='5.1 Project Dev''t &amp; Monitoring'!$E$22,$E21,0)*AE8</f>
        <v>0</v>
      </c>
      <c r="AF21" s="332" t="n">
        <f aca="false">IF('4.1 Revenue Build - VCU'!AF$7='5.1 Project Dev''t &amp; Monitoring'!$E$22,$E21,0)*AF8</f>
        <v>0</v>
      </c>
      <c r="AG21" s="332" t="n">
        <f aca="false">IF('4.1 Revenue Build - VCU'!AG$7='5.1 Project Dev''t &amp; Monitoring'!$E$22,$E21,0)*AG8</f>
        <v>0</v>
      </c>
      <c r="AH21" s="332" t="n">
        <f aca="false">IF('4.1 Revenue Build - VCU'!AH$7='5.1 Project Dev''t &amp; Monitoring'!$E$22,$E21,0)*AH8</f>
        <v>0</v>
      </c>
      <c r="AI21" s="332" t="n">
        <f aca="false">IF('4.1 Revenue Build - VCU'!AI$7='5.1 Project Dev''t &amp; Monitoring'!$E$22,$E21,0)*AI8</f>
        <v>0</v>
      </c>
      <c r="AJ21" s="332" t="n">
        <f aca="false">IF('4.1 Revenue Build - VCU'!AJ$7='5.1 Project Dev''t &amp; Monitoring'!$E$22,$E21,0)*AJ8</f>
        <v>0</v>
      </c>
      <c r="AK21" s="332" t="n">
        <f aca="false">IF('4.1 Revenue Build - VCU'!AK$7='5.1 Project Dev''t &amp; Monitoring'!$E$22,$E21,0)*AK8</f>
        <v>0</v>
      </c>
      <c r="AL21" s="332" t="n">
        <f aca="false">IF('4.1 Revenue Build - VCU'!AL$7='5.1 Project Dev''t &amp; Monitoring'!$E$22,$E21,0)*AL8</f>
        <v>0</v>
      </c>
    </row>
    <row r="22" s="13" customFormat="true" ht="15" hidden="false" customHeight="false" outlineLevel="1" collapsed="false">
      <c r="B22" s="333"/>
      <c r="C22" s="57" t="s">
        <v>565</v>
      </c>
      <c r="D22" s="133" t="s">
        <v>166</v>
      </c>
      <c r="E22" s="240" t="n">
        <f aca="false">'3. Assumptions'!F24</f>
        <v>2</v>
      </c>
      <c r="F22" s="333"/>
      <c r="G22" s="334"/>
      <c r="H22" s="335"/>
      <c r="I22" s="336"/>
      <c r="J22" s="336"/>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6"/>
      <c r="AI22" s="336"/>
      <c r="AJ22" s="336"/>
      <c r="AK22" s="336"/>
      <c r="AL22" s="336"/>
    </row>
    <row r="23" s="13" customFormat="true" ht="15" hidden="false" customHeight="false" outlineLevel="1" collapsed="false">
      <c r="B23" s="13" t="str">
        <f aca="false">"Total "&amp;B10</f>
        <v>Total Project Development Cost</v>
      </c>
      <c r="C23" s="10"/>
      <c r="D23" s="8" t="s">
        <v>163</v>
      </c>
      <c r="E23" s="337" t="n">
        <f aca="false">SUM(H23:AL23)</f>
        <v>564159</v>
      </c>
      <c r="F23" s="8"/>
      <c r="G23" s="107"/>
      <c r="H23" s="337" t="n">
        <f aca="false">SUM(H12:H17,H21:H22)</f>
        <v>309500</v>
      </c>
      <c r="I23" s="337" t="n">
        <f aca="false">SUM(I12:I17,I21:I22)</f>
        <v>254659</v>
      </c>
      <c r="J23" s="337" t="n">
        <f aca="false">SUM(J13:J16,J21:J22)</f>
        <v>0</v>
      </c>
      <c r="K23" s="337" t="n">
        <f aca="false">SUM(K13:K16,K21:K22)</f>
        <v>0</v>
      </c>
      <c r="L23" s="337" t="n">
        <f aca="false">SUM(L13:L16,L21:L22)</f>
        <v>0</v>
      </c>
      <c r="M23" s="337" t="n">
        <f aca="false">SUM(M13:M16,M21:M22)</f>
        <v>0</v>
      </c>
      <c r="N23" s="337" t="n">
        <f aca="false">SUM(N13:N16,N21:N22)</f>
        <v>0</v>
      </c>
      <c r="O23" s="337" t="n">
        <f aca="false">SUM(O13:O16,O21:O22)</f>
        <v>0</v>
      </c>
      <c r="P23" s="337" t="n">
        <f aca="false">SUM(P13:P16,P21:P22)</f>
        <v>0</v>
      </c>
      <c r="Q23" s="337" t="n">
        <f aca="false">SUM(Q13:Q16,Q21:Q22)</f>
        <v>0</v>
      </c>
      <c r="R23" s="337" t="n">
        <f aca="false">SUM(R13:R16,R21:R22)</f>
        <v>0</v>
      </c>
      <c r="S23" s="337" t="n">
        <f aca="false">SUM(S13:S16,S21:S22)</f>
        <v>0</v>
      </c>
      <c r="T23" s="337" t="n">
        <f aca="false">SUM(T13:T16,T21:T22)</f>
        <v>0</v>
      </c>
      <c r="U23" s="337" t="n">
        <f aca="false">SUM(U13:U16,U21:U22)</f>
        <v>0</v>
      </c>
      <c r="V23" s="337" t="n">
        <f aca="false">SUM(V13:V16,V21:V22)</f>
        <v>0</v>
      </c>
      <c r="W23" s="337" t="n">
        <f aca="false">SUM(W13:W16,W21:W22)</f>
        <v>0</v>
      </c>
      <c r="X23" s="337" t="n">
        <f aca="false">SUM(X13:X16,X21:X22)</f>
        <v>0</v>
      </c>
      <c r="Y23" s="337" t="n">
        <f aca="false">SUM(Y13:Y16,Y21:Y22)</f>
        <v>0</v>
      </c>
      <c r="Z23" s="337" t="n">
        <f aca="false">SUM(Z13:Z16,Z21:Z22)</f>
        <v>0</v>
      </c>
      <c r="AA23" s="337" t="n">
        <f aca="false">SUM(AA13:AA16,AA21:AA22)</f>
        <v>0</v>
      </c>
      <c r="AB23" s="337" t="n">
        <f aca="false">SUM(AB13:AB16,AB21:AB22)</f>
        <v>0</v>
      </c>
      <c r="AC23" s="337" t="n">
        <f aca="false">SUM(AC13:AC16,AC21:AC22)</f>
        <v>0</v>
      </c>
      <c r="AD23" s="337" t="n">
        <f aca="false">SUM(AD13:AD16,AD21:AD22)</f>
        <v>0</v>
      </c>
      <c r="AE23" s="337" t="n">
        <f aca="false">SUM(AE13:AE16,AE21:AE22)</f>
        <v>0</v>
      </c>
      <c r="AF23" s="337" t="n">
        <f aca="false">SUM(AF13:AF16,AF21:AF22)</f>
        <v>0</v>
      </c>
      <c r="AG23" s="337" t="n">
        <f aca="false">SUM(AG13:AG16,AG21:AG22)</f>
        <v>0</v>
      </c>
      <c r="AH23" s="337" t="n">
        <f aca="false">SUM(AH13:AH16,AH21:AH22)</f>
        <v>0</v>
      </c>
      <c r="AI23" s="337" t="n">
        <f aca="false">SUM(AI13:AI16,AI21:AI22)</f>
        <v>0</v>
      </c>
      <c r="AJ23" s="337" t="n">
        <f aca="false">SUM(AJ13:AJ16,AJ21:AJ22)</f>
        <v>0</v>
      </c>
      <c r="AK23" s="337" t="n">
        <f aca="false">SUM(AK13:AK16,AK21:AK22)</f>
        <v>0</v>
      </c>
      <c r="AL23" s="337" t="n">
        <f aca="false">SUM(AL13:AL16,AL21:AL22)</f>
        <v>0</v>
      </c>
    </row>
    <row r="24" s="13" customFormat="true" ht="15" hidden="false" customHeight="false" outlineLevel="1" collapsed="false">
      <c r="B24" s="13" t="str">
        <f aca="false">B23</f>
        <v>Total Project Development Cost</v>
      </c>
      <c r="C24" s="10"/>
      <c r="D24" s="8" t="s">
        <v>112</v>
      </c>
      <c r="E24" s="338" t="n">
        <f aca="false">SUM(H24:AL24)</f>
        <v>512173.399909215</v>
      </c>
      <c r="F24" s="8"/>
      <c r="G24" s="107"/>
      <c r="H24" s="338" t="n">
        <f aca="false">H23/'1. Project Summary'!$F$16</f>
        <v>280980.481162052</v>
      </c>
      <c r="I24" s="338" t="n">
        <f aca="false">I23/'1. Project Summary'!$F$16</f>
        <v>231192.918747163</v>
      </c>
      <c r="J24" s="338" t="n">
        <f aca="false">J23/'1. Project Summary'!$F$16</f>
        <v>0</v>
      </c>
      <c r="K24" s="338" t="n">
        <f aca="false">K23/'1. Project Summary'!$F$16</f>
        <v>0</v>
      </c>
      <c r="L24" s="338" t="n">
        <f aca="false">L23/'1. Project Summary'!$F$16</f>
        <v>0</v>
      </c>
      <c r="M24" s="338" t="n">
        <f aca="false">M23/'1. Project Summary'!$F$16</f>
        <v>0</v>
      </c>
      <c r="N24" s="338" t="n">
        <f aca="false">N23/'1. Project Summary'!$F$16</f>
        <v>0</v>
      </c>
      <c r="O24" s="338" t="n">
        <f aca="false">O23/'1. Project Summary'!$F$16</f>
        <v>0</v>
      </c>
      <c r="P24" s="338" t="n">
        <f aca="false">P23/'1. Project Summary'!$F$16</f>
        <v>0</v>
      </c>
      <c r="Q24" s="338" t="n">
        <f aca="false">Q23/'1. Project Summary'!$F$16</f>
        <v>0</v>
      </c>
      <c r="R24" s="338" t="n">
        <f aca="false">R23/'1. Project Summary'!$F$16</f>
        <v>0</v>
      </c>
      <c r="S24" s="338" t="n">
        <f aca="false">S23/'1. Project Summary'!$F$16</f>
        <v>0</v>
      </c>
      <c r="T24" s="338" t="n">
        <f aca="false">T23/'1. Project Summary'!$F$16</f>
        <v>0</v>
      </c>
      <c r="U24" s="338" t="n">
        <f aca="false">U23/'1. Project Summary'!$F$16</f>
        <v>0</v>
      </c>
      <c r="V24" s="338" t="n">
        <f aca="false">V23/'1. Project Summary'!$F$16</f>
        <v>0</v>
      </c>
      <c r="W24" s="338" t="n">
        <f aca="false">W23/'1. Project Summary'!$F$16</f>
        <v>0</v>
      </c>
      <c r="X24" s="338" t="n">
        <f aca="false">X23/'1. Project Summary'!$F$16</f>
        <v>0</v>
      </c>
      <c r="Y24" s="338" t="n">
        <f aca="false">Y23/'1. Project Summary'!$F$16</f>
        <v>0</v>
      </c>
      <c r="Z24" s="338" t="n">
        <f aca="false">Z23/'1. Project Summary'!$F$16</f>
        <v>0</v>
      </c>
      <c r="AA24" s="338" t="n">
        <f aca="false">AA23/'1. Project Summary'!$F$16</f>
        <v>0</v>
      </c>
      <c r="AB24" s="338" t="n">
        <f aca="false">AB23/'1. Project Summary'!$F$16</f>
        <v>0</v>
      </c>
      <c r="AC24" s="338" t="n">
        <f aca="false">AC23/'1. Project Summary'!$F$16</f>
        <v>0</v>
      </c>
      <c r="AD24" s="338" t="n">
        <f aca="false">AD23/'1. Project Summary'!$F$16</f>
        <v>0</v>
      </c>
      <c r="AE24" s="338" t="n">
        <f aca="false">AE23/'1. Project Summary'!$F$16</f>
        <v>0</v>
      </c>
      <c r="AF24" s="338" t="n">
        <f aca="false">AF23/'1. Project Summary'!$F$16</f>
        <v>0</v>
      </c>
      <c r="AG24" s="338" t="n">
        <f aca="false">AG23/'1. Project Summary'!$F$16</f>
        <v>0</v>
      </c>
      <c r="AH24" s="338" t="n">
        <f aca="false">AH23/'1. Project Summary'!$F$16</f>
        <v>0</v>
      </c>
      <c r="AI24" s="338" t="n">
        <f aca="false">AI23/'1. Project Summary'!$F$16</f>
        <v>0</v>
      </c>
      <c r="AJ24" s="338" t="n">
        <f aca="false">AJ23/'1. Project Summary'!$F$16</f>
        <v>0</v>
      </c>
      <c r="AK24" s="338" t="n">
        <f aca="false">AK23/'1. Project Summary'!$F$16</f>
        <v>0</v>
      </c>
      <c r="AL24" s="338" t="n">
        <f aca="false">AL23/'1. Project Summary'!$F$16</f>
        <v>0</v>
      </c>
    </row>
    <row r="25" customFormat="false" ht="15" hidden="false" customHeight="false" outlineLevel="1" collapsed="false">
      <c r="B25" s="8"/>
      <c r="C25" s="10"/>
      <c r="D25" s="1"/>
      <c r="E25" s="1"/>
      <c r="F25" s="1"/>
      <c r="G25" s="100"/>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row>
    <row r="26" customFormat="false" ht="15" hidden="false" customHeight="false" outlineLevel="0" collapsed="false">
      <c r="B26" s="118" t="s">
        <v>191</v>
      </c>
      <c r="C26" s="120"/>
      <c r="D26" s="339"/>
      <c r="E26" s="120"/>
      <c r="F26" s="120"/>
      <c r="G26" s="120"/>
      <c r="H26" s="118"/>
      <c r="I26" s="118"/>
      <c r="J26" s="118"/>
      <c r="K26" s="118"/>
      <c r="L26" s="118"/>
      <c r="M26" s="118"/>
      <c r="N26" s="118"/>
      <c r="O26" s="118"/>
      <c r="P26" s="118"/>
      <c r="Q26" s="118"/>
      <c r="R26" s="118"/>
      <c r="S26" s="118"/>
      <c r="T26" s="118"/>
      <c r="U26" s="321"/>
      <c r="V26" s="321"/>
      <c r="W26" s="321"/>
      <c r="X26" s="321"/>
      <c r="Y26" s="321"/>
      <c r="Z26" s="321"/>
      <c r="AA26" s="321"/>
      <c r="AB26" s="321"/>
      <c r="AC26" s="321"/>
      <c r="AD26" s="321"/>
      <c r="AE26" s="321"/>
      <c r="AF26" s="321"/>
      <c r="AG26" s="321"/>
      <c r="AH26" s="321"/>
      <c r="AI26" s="321"/>
      <c r="AJ26" s="321"/>
      <c r="AK26" s="321"/>
      <c r="AL26" s="321"/>
    </row>
    <row r="27" s="162" customFormat="true" ht="15" hidden="false" customHeight="false" outlineLevel="1" collapsed="false">
      <c r="B27" s="269"/>
      <c r="D27" s="340"/>
      <c r="H27" s="269"/>
      <c r="I27" s="269"/>
      <c r="J27" s="269"/>
      <c r="K27" s="269"/>
      <c r="L27" s="269"/>
      <c r="M27" s="269"/>
      <c r="N27" s="269"/>
      <c r="O27" s="269"/>
      <c r="P27" s="269"/>
      <c r="Q27" s="269"/>
      <c r="R27" s="269"/>
      <c r="S27" s="269"/>
      <c r="T27" s="269"/>
    </row>
    <row r="28" s="162" customFormat="true" ht="15" hidden="false" customHeight="false" outlineLevel="1" collapsed="false">
      <c r="B28" s="269" t="s">
        <v>566</v>
      </c>
      <c r="D28" s="340"/>
      <c r="H28" s="269"/>
      <c r="I28" s="269"/>
      <c r="J28" s="269"/>
      <c r="K28" s="269"/>
      <c r="L28" s="269"/>
      <c r="M28" s="269"/>
      <c r="N28" s="269"/>
      <c r="O28" s="269"/>
      <c r="P28" s="269"/>
      <c r="Q28" s="269"/>
      <c r="R28" s="269"/>
      <c r="S28" s="269"/>
      <c r="T28" s="269"/>
    </row>
    <row r="29" customFormat="false" ht="15" hidden="false" customHeight="false" outlineLevel="1" collapsed="false">
      <c r="B29" s="149"/>
      <c r="C29" s="1" t="s">
        <v>567</v>
      </c>
      <c r="D29" s="30" t="s">
        <v>568</v>
      </c>
      <c r="E29" s="341" t="n">
        <f aca="false">SUM(H29:AL29)</f>
        <v>8089676</v>
      </c>
      <c r="F29" s="1"/>
      <c r="G29" s="1"/>
      <c r="H29" s="130" t="n">
        <f aca="false">'4.1 Revenue Build - VCU'!H39</f>
        <v>0</v>
      </c>
      <c r="I29" s="130" t="n">
        <f aca="false">'4.1 Revenue Build - VCU'!I39</f>
        <v>0</v>
      </c>
      <c r="J29" s="130" t="n">
        <f aca="false">'4.1 Revenue Build - VCU'!J39</f>
        <v>45720</v>
      </c>
      <c r="K29" s="130" t="n">
        <f aca="false">'4.1 Revenue Build - VCU'!K39</f>
        <v>85356</v>
      </c>
      <c r="L29" s="130" t="n">
        <f aca="false">'4.1 Revenue Build - VCU'!L39</f>
        <v>127016</v>
      </c>
      <c r="M29" s="130" t="n">
        <f aca="false">'4.1 Revenue Build - VCU'!M39</f>
        <v>173232</v>
      </c>
      <c r="N29" s="130" t="n">
        <f aca="false">'4.1 Revenue Build - VCU'!N39</f>
        <v>219448</v>
      </c>
      <c r="O29" s="130" t="n">
        <f aca="false">'4.1 Revenue Build - VCU'!O39</f>
        <v>265664</v>
      </c>
      <c r="P29" s="130" t="n">
        <f aca="false">'4.1 Revenue Build - VCU'!P39</f>
        <v>311880</v>
      </c>
      <c r="Q29" s="130" t="n">
        <f aca="false">'4.1 Revenue Build - VCU'!Q39</f>
        <v>311880</v>
      </c>
      <c r="R29" s="130" t="n">
        <f aca="false">'4.1 Revenue Build - VCU'!R39</f>
        <v>311880</v>
      </c>
      <c r="S29" s="130" t="n">
        <f aca="false">'4.1 Revenue Build - VCU'!S39</f>
        <v>311880</v>
      </c>
      <c r="T29" s="130" t="n">
        <f aca="false">'4.1 Revenue Build - VCU'!T39</f>
        <v>311880</v>
      </c>
      <c r="U29" s="130" t="n">
        <f aca="false">'4.1 Revenue Build - VCU'!U39</f>
        <v>311880</v>
      </c>
      <c r="V29" s="130" t="n">
        <f aca="false">'4.1 Revenue Build - VCU'!V39</f>
        <v>311880</v>
      </c>
      <c r="W29" s="130" t="n">
        <f aca="false">'4.1 Revenue Build - VCU'!W39</f>
        <v>311880</v>
      </c>
      <c r="X29" s="130" t="n">
        <f aca="false">'4.1 Revenue Build - VCU'!X39</f>
        <v>311880</v>
      </c>
      <c r="Y29" s="130" t="n">
        <f aca="false">'4.1 Revenue Build - VCU'!Y39</f>
        <v>311880</v>
      </c>
      <c r="Z29" s="130" t="n">
        <f aca="false">'4.1 Revenue Build - VCU'!Z39</f>
        <v>311880</v>
      </c>
      <c r="AA29" s="130" t="n">
        <f aca="false">'4.1 Revenue Build - VCU'!AA39</f>
        <v>311880</v>
      </c>
      <c r="AB29" s="130" t="n">
        <f aca="false">'4.1 Revenue Build - VCU'!AB39</f>
        <v>311880</v>
      </c>
      <c r="AC29" s="130" t="n">
        <f aca="false">'4.1 Revenue Build - VCU'!AC39</f>
        <v>311880</v>
      </c>
      <c r="AD29" s="130" t="n">
        <f aca="false">'4.1 Revenue Build - VCU'!AD39</f>
        <v>311880</v>
      </c>
      <c r="AE29" s="130" t="n">
        <f aca="false">'4.1 Revenue Build - VCU'!AE39</f>
        <v>311880</v>
      </c>
      <c r="AF29" s="130" t="n">
        <f aca="false">'4.1 Revenue Build - VCU'!AF39</f>
        <v>311880</v>
      </c>
      <c r="AG29" s="130" t="n">
        <f aca="false">'4.1 Revenue Build - VCU'!AG39</f>
        <v>311880</v>
      </c>
      <c r="AH29" s="130" t="n">
        <f aca="false">'4.1 Revenue Build - VCU'!AH39</f>
        <v>311880</v>
      </c>
      <c r="AI29" s="130" t="n">
        <f aca="false">'4.1 Revenue Build - VCU'!AI39</f>
        <v>311880</v>
      </c>
      <c r="AJ29" s="130" t="n">
        <f aca="false">'4.1 Revenue Build - VCU'!AJ39</f>
        <v>311880</v>
      </c>
      <c r="AK29" s="130" t="n">
        <f aca="false">'4.1 Revenue Build - VCU'!AK39</f>
        <v>311880</v>
      </c>
      <c r="AL29" s="130" t="n">
        <f aca="false">'4.1 Revenue Build - VCU'!AL39</f>
        <v>311880</v>
      </c>
    </row>
    <row r="30" customFormat="false" ht="15" hidden="false" customHeight="false" outlineLevel="1" collapsed="false">
      <c r="B30" s="149"/>
      <c r="C30" s="162"/>
      <c r="D30" s="30"/>
      <c r="E30" s="241"/>
      <c r="F30" s="241"/>
      <c r="G30" s="1"/>
      <c r="H30" s="130"/>
      <c r="I30" s="1"/>
      <c r="J30" s="1"/>
      <c r="K30" s="1"/>
      <c r="L30" s="1"/>
      <c r="M30" s="1"/>
      <c r="N30" s="1"/>
      <c r="O30" s="1"/>
      <c r="P30" s="1"/>
      <c r="Q30" s="1"/>
      <c r="R30" s="1"/>
      <c r="S30" s="1"/>
      <c r="T30" s="1"/>
      <c r="U30" s="1"/>
      <c r="V30" s="1"/>
      <c r="W30" s="1"/>
      <c r="X30" s="1"/>
      <c r="Y30" s="1"/>
    </row>
    <row r="31" customFormat="false" ht="15" hidden="false" customHeight="false" outlineLevel="1" collapsed="false">
      <c r="B31" s="38" t="n">
        <v>1</v>
      </c>
      <c r="C31" s="38" t="s">
        <v>256</v>
      </c>
      <c r="D31" s="25" t="s">
        <v>163</v>
      </c>
      <c r="E31" s="342" t="n">
        <f aca="false">'3. Assumptions'!F39</f>
        <v>500</v>
      </c>
      <c r="F31" s="30"/>
      <c r="H31" s="343" t="n">
        <f aca="false">$E31*H$8</f>
        <v>510</v>
      </c>
      <c r="M31" s="1"/>
      <c r="N31" s="1"/>
      <c r="O31" s="1"/>
      <c r="P31" s="1"/>
      <c r="Q31" s="1"/>
      <c r="R31" s="1"/>
      <c r="S31" s="1"/>
      <c r="T31" s="1"/>
      <c r="U31" s="1"/>
      <c r="V31" s="1"/>
      <c r="W31" s="1"/>
      <c r="X31" s="1"/>
      <c r="Y31" s="1"/>
    </row>
    <row r="32" customFormat="false" ht="15" hidden="false" customHeight="false" outlineLevel="1" collapsed="false">
      <c r="B32" s="38"/>
      <c r="C32" s="38"/>
      <c r="D32" s="25"/>
      <c r="E32" s="242"/>
      <c r="F32" s="242"/>
      <c r="G32" s="1"/>
      <c r="H32" s="1"/>
      <c r="I32" s="1"/>
      <c r="J32" s="1"/>
      <c r="K32" s="1"/>
      <c r="L32" s="1"/>
      <c r="M32" s="1"/>
      <c r="N32" s="1"/>
      <c r="O32" s="1"/>
      <c r="P32" s="1"/>
      <c r="Q32" s="1"/>
      <c r="R32" s="1"/>
      <c r="S32" s="1"/>
      <c r="T32" s="1"/>
      <c r="U32" s="1"/>
      <c r="V32" s="1"/>
      <c r="W32" s="1"/>
      <c r="X32" s="1"/>
      <c r="Y32" s="1"/>
    </row>
    <row r="33" customFormat="false" ht="15" hidden="false" customHeight="false" outlineLevel="1" collapsed="false">
      <c r="B33" s="38" t="n">
        <v>2</v>
      </c>
      <c r="C33" s="162" t="s">
        <v>569</v>
      </c>
      <c r="D33" s="25" t="str">
        <f aca="false">'3. Assumptions'!D40</f>
        <v>USD per annum</v>
      </c>
      <c r="E33" s="342" t="n">
        <f aca="false">'3. Assumptions'!F39</f>
        <v>500</v>
      </c>
      <c r="F33" s="241"/>
      <c r="G33" s="1"/>
      <c r="H33" s="343" t="n">
        <f aca="false">$E33*H$8</f>
        <v>510</v>
      </c>
      <c r="I33" s="343" t="n">
        <f aca="false">$E33*I$8</f>
        <v>520.2</v>
      </c>
      <c r="J33" s="343" t="n">
        <f aca="false">$E33*J$8</f>
        <v>530.604</v>
      </c>
      <c r="K33" s="343" t="n">
        <f aca="false">$E33*K$8</f>
        <v>541.21608</v>
      </c>
      <c r="L33" s="343" t="n">
        <f aca="false">$E33*L$8</f>
        <v>552.0404016</v>
      </c>
      <c r="M33" s="343" t="n">
        <f aca="false">$E33*M$8</f>
        <v>563.081209632</v>
      </c>
      <c r="N33" s="343" t="n">
        <f aca="false">$E33*N$8</f>
        <v>574.34283382464</v>
      </c>
      <c r="O33" s="343" t="n">
        <f aca="false">$E33*O$8</f>
        <v>585.829690501133</v>
      </c>
      <c r="P33" s="343" t="n">
        <f aca="false">$E33*P$8</f>
        <v>597.546284311156</v>
      </c>
      <c r="Q33" s="343" t="n">
        <f aca="false">$E33*Q$8</f>
        <v>609.497209997379</v>
      </c>
      <c r="R33" s="343" t="n">
        <f aca="false">$E33*R$8</f>
        <v>621.687154197326</v>
      </c>
      <c r="S33" s="343" t="n">
        <f aca="false">$E33*S$8</f>
        <v>634.120897281273</v>
      </c>
      <c r="T33" s="343" t="n">
        <f aca="false">$E33*T$8</f>
        <v>646.803315226898</v>
      </c>
      <c r="U33" s="343" t="n">
        <f aca="false">$E33*U$8</f>
        <v>659.739381531436</v>
      </c>
      <c r="V33" s="343" t="n">
        <f aca="false">$E33*V$8</f>
        <v>672.934169162065</v>
      </c>
      <c r="W33" s="343" t="n">
        <f aca="false">$E33*W$8</f>
        <v>686.392852545306</v>
      </c>
      <c r="X33" s="343" t="n">
        <f aca="false">$E33*X$8</f>
        <v>700.120709596213</v>
      </c>
      <c r="Y33" s="343" t="n">
        <f aca="false">$E33*Y$8</f>
        <v>714.123123788137</v>
      </c>
      <c r="Z33" s="343" t="n">
        <f aca="false">$E33*Z$8</f>
        <v>728.405586263899</v>
      </c>
      <c r="AA33" s="343" t="n">
        <f aca="false">$E33*AA$8</f>
        <v>742.973697989178</v>
      </c>
      <c r="AB33" s="343" t="n">
        <f aca="false">$E33*AB$8</f>
        <v>757.833171948961</v>
      </c>
      <c r="AC33" s="343" t="n">
        <f aca="false">$E33*AC$8</f>
        <v>772.98983538794</v>
      </c>
      <c r="AD33" s="343" t="n">
        <f aca="false">$E33*AD$8</f>
        <v>788.449632095699</v>
      </c>
      <c r="AE33" s="343" t="n">
        <f aca="false">$E33*AE$8</f>
        <v>804.218624737613</v>
      </c>
      <c r="AF33" s="343" t="n">
        <f aca="false">$E33*AF$8</f>
        <v>820.302997232365</v>
      </c>
      <c r="AG33" s="343" t="n">
        <f aca="false">$E33*AG$8</f>
        <v>836.709057177013</v>
      </c>
      <c r="AH33" s="343" t="n">
        <f aca="false">$E33*AH$8</f>
        <v>853.443238320553</v>
      </c>
      <c r="AI33" s="343" t="n">
        <f aca="false">$E33*AI$8</f>
        <v>870.512103086964</v>
      </c>
      <c r="AJ33" s="343" t="n">
        <f aca="false">$E33*AJ$8</f>
        <v>887.922345148703</v>
      </c>
      <c r="AK33" s="343" t="n">
        <f aca="false">$E33*AK$8</f>
        <v>905.680792051677</v>
      </c>
      <c r="AL33" s="343" t="n">
        <f aca="false">$E33*AL$8</f>
        <v>923.794407892711</v>
      </c>
    </row>
    <row r="34" customFormat="false" ht="15" hidden="false" customHeight="false" outlineLevel="1" collapsed="false"/>
    <row r="35" customFormat="false" ht="15" hidden="false" customHeight="false" outlineLevel="1" collapsed="false">
      <c r="B35" s="38" t="n">
        <v>3</v>
      </c>
      <c r="C35" s="162" t="s">
        <v>261</v>
      </c>
      <c r="D35" s="25" t="str">
        <f aca="false">'3. Assumptions'!D41</f>
        <v>USD </v>
      </c>
      <c r="E35" s="342" t="n">
        <f aca="false">'3. Assumptions'!F41</f>
        <v>1000</v>
      </c>
      <c r="H35" s="343" t="n">
        <f aca="false">$E35*H$8</f>
        <v>1020</v>
      </c>
    </row>
    <row r="36" customFormat="false" ht="15" hidden="false" customHeight="false" outlineLevel="1" collapsed="false"/>
    <row r="37" customFormat="false" ht="15" hidden="false" customHeight="false" outlineLevel="1" collapsed="false">
      <c r="B37" s="0" t="n">
        <v>4</v>
      </c>
      <c r="C37" s="162" t="s">
        <v>570</v>
      </c>
      <c r="D37" s="25" t="str">
        <f aca="false">'3. Assumptions'!D42</f>
        <v>USD </v>
      </c>
      <c r="E37" s="342" t="n">
        <f aca="false">'3. Assumptions'!F42</f>
        <v>2500</v>
      </c>
      <c r="H37" s="343" t="n">
        <f aca="false">$E37*H$8</f>
        <v>2550</v>
      </c>
    </row>
    <row r="38" customFormat="false" ht="15" hidden="false" customHeight="false" outlineLevel="1" collapsed="false"/>
    <row r="39" customFormat="false" ht="15" hidden="false" customHeight="false" outlineLevel="1" collapsed="false">
      <c r="B39" s="1" t="n">
        <v>5</v>
      </c>
      <c r="C39" s="38" t="s">
        <v>571</v>
      </c>
      <c r="D39" s="25" t="str">
        <f aca="false">'3. Assumptions'!D43</f>
        <v>USD per VCU</v>
      </c>
      <c r="E39" s="344" t="n">
        <f aca="false">'3. Assumptions'!F43</f>
        <v>0.2</v>
      </c>
      <c r="G39" s="345"/>
      <c r="H39" s="88" t="n">
        <f aca="false">H29*$E39*H$8</f>
        <v>0</v>
      </c>
      <c r="I39" s="88" t="n">
        <f aca="false">I29*$E39*I$8</f>
        <v>0</v>
      </c>
      <c r="J39" s="88" t="n">
        <f aca="false">J29*$E39*J$8</f>
        <v>9703.685952</v>
      </c>
      <c r="K39" s="88" t="n">
        <f aca="false">K29*$E39*K$8</f>
        <v>18478.415889792</v>
      </c>
      <c r="L39" s="88" t="n">
        <f aca="false">L29*$E39*L$8</f>
        <v>28047.1854598502</v>
      </c>
      <c r="M39" s="88" t="n">
        <f aca="false">M29*$E39*M$8</f>
        <v>39017.4736427883</v>
      </c>
      <c r="N39" s="88" t="n">
        <f aca="false">N29*$E39*N$8</f>
        <v>50415.3544788598</v>
      </c>
      <c r="O39" s="88" t="n">
        <f aca="false">O29*$E39*O$8</f>
        <v>62253.5435589172</v>
      </c>
      <c r="P39" s="88" t="n">
        <f aca="false">P29*$E39*P$8</f>
        <v>74545.0940603853</v>
      </c>
      <c r="Q39" s="88" t="n">
        <f aca="false">Q29*$E39*Q$8</f>
        <v>76035.995941593</v>
      </c>
      <c r="R39" s="88" t="n">
        <f aca="false">R29*$E39*R$8</f>
        <v>77556.7158604248</v>
      </c>
      <c r="S39" s="88" t="n">
        <f aca="false">S29*$E39*S$8</f>
        <v>79107.8501776333</v>
      </c>
      <c r="T39" s="88" t="n">
        <f aca="false">T29*$E39*T$8</f>
        <v>80690.007181186</v>
      </c>
      <c r="U39" s="88" t="n">
        <f aca="false">U29*$E39*U$8</f>
        <v>82303.8073248097</v>
      </c>
      <c r="V39" s="88" t="n">
        <f aca="false">V29*$E39*V$8</f>
        <v>83949.8834713059</v>
      </c>
      <c r="W39" s="88" t="n">
        <f aca="false">W29*$E39*W$8</f>
        <v>85628.8811407321</v>
      </c>
      <c r="X39" s="88" t="n">
        <f aca="false">X29*$E39*X$8</f>
        <v>87341.4587635467</v>
      </c>
      <c r="Y39" s="88" t="n">
        <f aca="false">Y29*$E39*Y$8</f>
        <v>89088.2879388176</v>
      </c>
      <c r="Z39" s="88" t="n">
        <f aca="false">Z29*$E39*Z$8</f>
        <v>90870.053697594</v>
      </c>
      <c r="AA39" s="88" t="n">
        <f aca="false">AA29*$E39*AA$8</f>
        <v>92687.4547715459</v>
      </c>
      <c r="AB39" s="88" t="n">
        <f aca="false">AB29*$E39*AB$8</f>
        <v>94541.2038669768</v>
      </c>
      <c r="AC39" s="88" t="n">
        <f aca="false">AC29*$E39*AC$8</f>
        <v>96432.0279443163</v>
      </c>
      <c r="AD39" s="88" t="n">
        <f aca="false">AD29*$E39*AD$8</f>
        <v>98360.6685032026</v>
      </c>
      <c r="AE39" s="88" t="n">
        <f aca="false">AE29*$E39*AE$8</f>
        <v>100327.881873267</v>
      </c>
      <c r="AF39" s="88" t="n">
        <f aca="false">AF29*$E39*AF$8</f>
        <v>102334.439510732</v>
      </c>
      <c r="AG39" s="88" t="n">
        <f aca="false">AG29*$E39*AG$8</f>
        <v>104381.128300947</v>
      </c>
      <c r="AH39" s="88" t="n">
        <f aca="false">AH29*$E39*AH$8</f>
        <v>106468.750866966</v>
      </c>
      <c r="AI39" s="88" t="n">
        <f aca="false">AI29*$E39*AI$8</f>
        <v>108598.125884305</v>
      </c>
      <c r="AJ39" s="88" t="n">
        <f aca="false">AJ29*$E39*AJ$8</f>
        <v>110770.088401991</v>
      </c>
      <c r="AK39" s="88" t="n">
        <f aca="false">AK29*$E39*AK$8</f>
        <v>112985.490170031</v>
      </c>
      <c r="AL39" s="88" t="n">
        <f aca="false">AL29*$E39*AL$8</f>
        <v>115245.199973431</v>
      </c>
    </row>
    <row r="40" s="55" customFormat="true" ht="15" hidden="false" customHeight="false" outlineLevel="1" collapsed="false">
      <c r="B40" s="130"/>
      <c r="G40" s="346"/>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row>
    <row r="41" s="55" customFormat="true" ht="15" hidden="false" customHeight="false" outlineLevel="1" collapsed="false">
      <c r="B41" s="1" t="n">
        <v>6</v>
      </c>
      <c r="C41" s="236" t="s">
        <v>572</v>
      </c>
      <c r="D41" s="25" t="str">
        <f aca="false">'3. Assumptions'!D44</f>
        <v>USD per label</v>
      </c>
      <c r="E41" s="344" t="n">
        <f aca="false">'3. Assumptions'!F44</f>
        <v>0.07</v>
      </c>
      <c r="H41" s="88" t="n">
        <f aca="false">H29*$E41*H$8</f>
        <v>0</v>
      </c>
      <c r="I41" s="88" t="n">
        <f aca="false">I29*$E41*I$8</f>
        <v>0</v>
      </c>
      <c r="J41" s="88" t="n">
        <f aca="false">J29*$E41*J$8</f>
        <v>3396.2900832</v>
      </c>
      <c r="K41" s="88" t="n">
        <f aca="false">K29*$E41*K$8</f>
        <v>6467.4455614272</v>
      </c>
      <c r="L41" s="88" t="n">
        <f aca="false">L29*$E41*L$8</f>
        <v>9816.51491094758</v>
      </c>
      <c r="M41" s="88" t="n">
        <f aca="false">M29*$E41*M$8</f>
        <v>13656.1157749759</v>
      </c>
      <c r="N41" s="88" t="n">
        <f aca="false">N29*$E41*N$8</f>
        <v>17645.3740676009</v>
      </c>
      <c r="O41" s="88" t="n">
        <f aca="false">O29*$E41*O$8</f>
        <v>21788.740245621</v>
      </c>
      <c r="P41" s="88" t="n">
        <f aca="false">P29*$E41*P$8</f>
        <v>26090.7829211348</v>
      </c>
      <c r="Q41" s="88" t="n">
        <f aca="false">Q29*$E41*Q$8</f>
        <v>26612.5985795575</v>
      </c>
      <c r="R41" s="88" t="n">
        <f aca="false">R29*$E41*R$8</f>
        <v>27144.8505511487</v>
      </c>
      <c r="S41" s="88" t="n">
        <f aca="false">S29*$E41*S$8</f>
        <v>27687.7475621717</v>
      </c>
      <c r="T41" s="88" t="n">
        <f aca="false">T29*$E41*T$8</f>
        <v>28241.5025134151</v>
      </c>
      <c r="U41" s="88" t="n">
        <f aca="false">U29*$E41*U$8</f>
        <v>28806.3325636834</v>
      </c>
      <c r="V41" s="88" t="n">
        <f aca="false">V29*$E41*V$8</f>
        <v>29382.4592149571</v>
      </c>
      <c r="W41" s="88" t="n">
        <f aca="false">W29*$E41*W$8</f>
        <v>29970.1083992562</v>
      </c>
      <c r="X41" s="88" t="n">
        <f aca="false">X29*$E41*X$8</f>
        <v>30569.5105672413</v>
      </c>
      <c r="Y41" s="88" t="n">
        <f aca="false">Y29*$E41*Y$8</f>
        <v>31180.9007785862</v>
      </c>
      <c r="Z41" s="88" t="n">
        <f aca="false">Z29*$E41*Z$8</f>
        <v>31804.5187941579</v>
      </c>
      <c r="AA41" s="88" t="n">
        <f aca="false">AA29*$E41*AA$8</f>
        <v>32440.6091700411</v>
      </c>
      <c r="AB41" s="88" t="n">
        <f aca="false">AB29*$E41*AB$8</f>
        <v>33089.4213534419</v>
      </c>
      <c r="AC41" s="88" t="n">
        <f aca="false">AC29*$E41*AC$8</f>
        <v>33751.2097805107</v>
      </c>
      <c r="AD41" s="88" t="n">
        <f aca="false">AD29*$E41*AD$8</f>
        <v>34426.2339761209</v>
      </c>
      <c r="AE41" s="88" t="n">
        <f aca="false">AE29*$E41*AE$8</f>
        <v>35114.7586556434</v>
      </c>
      <c r="AF41" s="88" t="n">
        <f aca="false">AF29*$E41*AF$8</f>
        <v>35817.0538287562</v>
      </c>
      <c r="AG41" s="88" t="n">
        <f aca="false">AG29*$E41*AG$8</f>
        <v>36533.3949053313</v>
      </c>
      <c r="AH41" s="88" t="n">
        <f aca="false">AH29*$E41*AH$8</f>
        <v>37264.062803438</v>
      </c>
      <c r="AI41" s="88" t="n">
        <f aca="false">AI29*$E41*AI$8</f>
        <v>38009.3440595067</v>
      </c>
      <c r="AJ41" s="88" t="n">
        <f aca="false">AJ29*$E41*AJ$8</f>
        <v>38769.5309406969</v>
      </c>
      <c r="AK41" s="88" t="n">
        <f aca="false">AK29*$E41*AK$8</f>
        <v>39544.9215595108</v>
      </c>
      <c r="AL41" s="88" t="n">
        <f aca="false">AL29*$E41*AL$8</f>
        <v>40335.819990701</v>
      </c>
    </row>
    <row r="42" s="55" customFormat="true" ht="15" hidden="false" customHeight="false" outlineLevel="1" collapsed="false">
      <c r="B42" s="130"/>
      <c r="U42" s="258"/>
      <c r="V42" s="258"/>
      <c r="W42" s="258"/>
      <c r="X42" s="258"/>
      <c r="Y42" s="258"/>
      <c r="Z42" s="258"/>
      <c r="AA42" s="258"/>
      <c r="AB42" s="258"/>
      <c r="AC42" s="258"/>
      <c r="AD42" s="258"/>
      <c r="AE42" s="258"/>
      <c r="AF42" s="258"/>
      <c r="AG42" s="258"/>
      <c r="AH42" s="258"/>
      <c r="AI42" s="258"/>
      <c r="AJ42" s="258"/>
      <c r="AK42" s="258"/>
      <c r="AL42" s="258"/>
    </row>
    <row r="43" customFormat="false" ht="15" hidden="false" customHeight="false" outlineLevel="1" collapsed="false">
      <c r="B43" s="1" t="n">
        <v>7</v>
      </c>
      <c r="C43" s="11" t="s">
        <v>271</v>
      </c>
      <c r="D43" s="25"/>
      <c r="E43" s="1"/>
      <c r="F43" s="1"/>
      <c r="G43" s="1"/>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row>
    <row r="44" customFormat="false" ht="15" hidden="false" customHeight="false" outlineLevel="1" collapsed="false">
      <c r="B44" s="1"/>
      <c r="C44" s="19" t="s">
        <v>573</v>
      </c>
      <c r="D44" s="25" t="s">
        <v>163</v>
      </c>
      <c r="E44" s="342" t="n">
        <f aca="false">'3. Assumptions'!F46</f>
        <v>15000</v>
      </c>
      <c r="F44" s="348"/>
      <c r="G44" s="241"/>
      <c r="H44" s="332" t="n">
        <f aca="false">(IF(H$6&lt;'5.1 Project Dev''t &amp; Monitoring'!$E$46,0,IF(MOD(H$6-'5.1 Project Dev''t &amp; Monitoring'!$E$46,'5.1 Project Dev''t &amp; Monitoring'!$E$47)=0,'5.1 Project Dev''t &amp; Monitoring'!$E$44,0)))*H$8</f>
        <v>0</v>
      </c>
      <c r="I44" s="332" t="n">
        <f aca="false">(IF(I$6&lt;'5.1 Project Dev''t &amp; Monitoring'!$E$46,0,IF(MOD(I$6-'5.1 Project Dev''t &amp; Monitoring'!$E$46,'5.1 Project Dev''t &amp; Monitoring'!$E$47)=0,'5.1 Project Dev''t &amp; Monitoring'!$E$44,0)))*I$8</f>
        <v>15606</v>
      </c>
      <c r="J44" s="332" t="n">
        <f aca="false">(IF(J$6&lt;'5.1 Project Dev''t &amp; Monitoring'!$E$46,0,IF(MOD(J$6-'5.1 Project Dev''t &amp; Monitoring'!$E$46,'5.1 Project Dev''t &amp; Monitoring'!$E$47)=0,'5.1 Project Dev''t &amp; Monitoring'!$E$44,0)))*J$8</f>
        <v>0</v>
      </c>
      <c r="K44" s="332" t="n">
        <f aca="false">(IF(K$6&lt;'5.1 Project Dev''t &amp; Monitoring'!$E$46,0,IF(MOD(K$6-'5.1 Project Dev''t &amp; Monitoring'!$E$46,'5.1 Project Dev''t &amp; Monitoring'!$E$47)=0,'5.1 Project Dev''t &amp; Monitoring'!$E$44,0)))*K$8</f>
        <v>16236.4824</v>
      </c>
      <c r="L44" s="332" t="n">
        <f aca="false">(IF(L$6&lt;'5.1 Project Dev''t &amp; Monitoring'!$E$46,0,IF(MOD(L$6-'5.1 Project Dev''t &amp; Monitoring'!$E$46,'5.1 Project Dev''t &amp; Monitoring'!$E$47)=0,'5.1 Project Dev''t &amp; Monitoring'!$E$44,0)))*L$8</f>
        <v>0</v>
      </c>
      <c r="M44" s="332" t="n">
        <f aca="false">(IF(M$6&lt;'5.1 Project Dev''t &amp; Monitoring'!$E$46,0,IF(MOD(M$6-'5.1 Project Dev''t &amp; Monitoring'!$E$46,'5.1 Project Dev''t &amp; Monitoring'!$E$47)=0,'5.1 Project Dev''t &amp; Monitoring'!$E$44,0)))*M$8</f>
        <v>16892.43628896</v>
      </c>
      <c r="N44" s="332" t="n">
        <f aca="false">(IF(N$6&lt;'5.1 Project Dev''t &amp; Monitoring'!$E$46,0,IF(MOD(N$6-'5.1 Project Dev''t &amp; Monitoring'!$E$46,'5.1 Project Dev''t &amp; Monitoring'!$E$47)=0,'5.1 Project Dev''t &amp; Monitoring'!$E$44,0)))*N$8</f>
        <v>0</v>
      </c>
      <c r="O44" s="332" t="n">
        <f aca="false">(IF(O$6&lt;'5.1 Project Dev''t &amp; Monitoring'!$E$46,0,IF(MOD(O$6-'5.1 Project Dev''t &amp; Monitoring'!$E$46,'5.1 Project Dev''t &amp; Monitoring'!$E$47)=0,'5.1 Project Dev''t &amp; Monitoring'!$E$44,0)))*O$8</f>
        <v>17574.890715034</v>
      </c>
      <c r="P44" s="332" t="n">
        <f aca="false">(IF(P$6&lt;'5.1 Project Dev''t &amp; Monitoring'!$E$46,0,IF(MOD(P$6-'5.1 Project Dev''t &amp; Monitoring'!$E$46,'5.1 Project Dev''t &amp; Monitoring'!$E$47)=0,'5.1 Project Dev''t &amp; Monitoring'!$E$44,0)))*P$8</f>
        <v>0</v>
      </c>
      <c r="Q44" s="332" t="n">
        <f aca="false">(IF(Q$6&lt;'5.1 Project Dev''t &amp; Monitoring'!$E$46,0,IF(MOD(Q$6-'5.1 Project Dev''t &amp; Monitoring'!$E$46,'5.1 Project Dev''t &amp; Monitoring'!$E$47)=0,'5.1 Project Dev''t &amp; Monitoring'!$E$44,0)))*Q$8</f>
        <v>18284.9162999214</v>
      </c>
      <c r="R44" s="332" t="n">
        <f aca="false">(IF(R$6&lt;'5.1 Project Dev''t &amp; Monitoring'!$E$46,0,IF(MOD(R$6-'5.1 Project Dev''t &amp; Monitoring'!$E$46,'5.1 Project Dev''t &amp; Monitoring'!$E$47)=0,'5.1 Project Dev''t &amp; Monitoring'!$E$44,0)))*R$8</f>
        <v>0</v>
      </c>
      <c r="S44" s="332" t="n">
        <f aca="false">(IF(S$6&lt;'5.1 Project Dev''t &amp; Monitoring'!$E$46,0,IF(MOD(S$6-'5.1 Project Dev''t &amp; Monitoring'!$E$46,'5.1 Project Dev''t &amp; Monitoring'!$E$47)=0,'5.1 Project Dev''t &amp; Monitoring'!$E$44,0)))*S$8</f>
        <v>19023.6269184382</v>
      </c>
      <c r="T44" s="332" t="n">
        <f aca="false">(IF(T$6&lt;'5.1 Project Dev''t &amp; Monitoring'!$E$46,0,IF(MOD(T$6-'5.1 Project Dev''t &amp; Monitoring'!$E$46,'5.1 Project Dev''t &amp; Monitoring'!$E$47)=0,'5.1 Project Dev''t &amp; Monitoring'!$E$44,0)))*T$8</f>
        <v>0</v>
      </c>
      <c r="U44" s="332" t="n">
        <f aca="false">(IF(U$6&lt;'5.1 Project Dev''t &amp; Monitoring'!$E$46,0,IF(MOD(U$6-'5.1 Project Dev''t &amp; Monitoring'!$E$46,'5.1 Project Dev''t &amp; Monitoring'!$E$47)=0,'5.1 Project Dev''t &amp; Monitoring'!$E$44,0)))*U$8</f>
        <v>19792.1814459431</v>
      </c>
      <c r="V44" s="332" t="n">
        <f aca="false">(IF(V$6&lt;'5.1 Project Dev''t &amp; Monitoring'!$E$46,0,IF(MOD(V$6-'5.1 Project Dev''t &amp; Monitoring'!$E$46,'5.1 Project Dev''t &amp; Monitoring'!$E$47)=0,'5.1 Project Dev''t &amp; Monitoring'!$E$44,0)))*V$8</f>
        <v>0</v>
      </c>
      <c r="W44" s="332" t="n">
        <f aca="false">(IF(W$6&lt;'5.1 Project Dev''t &amp; Monitoring'!$E$46,0,IF(MOD(W$6-'5.1 Project Dev''t &amp; Monitoring'!$E$46,'5.1 Project Dev''t &amp; Monitoring'!$E$47)=0,'5.1 Project Dev''t &amp; Monitoring'!$E$44,0)))*W$8</f>
        <v>20591.7855763592</v>
      </c>
      <c r="X44" s="332" t="n">
        <f aca="false">(IF(X$6&lt;'5.1 Project Dev''t &amp; Monitoring'!$E$46,0,IF(MOD(X$6-'5.1 Project Dev''t &amp; Monitoring'!$E$46,'5.1 Project Dev''t &amp; Monitoring'!$E$47)=0,'5.1 Project Dev''t &amp; Monitoring'!$E$44,0)))*X$8</f>
        <v>0</v>
      </c>
      <c r="Y44" s="332" t="n">
        <f aca="false">(IF(Y$6&lt;'5.1 Project Dev''t &amp; Monitoring'!$E$46,0,IF(MOD(Y$6-'5.1 Project Dev''t &amp; Monitoring'!$E$46,'5.1 Project Dev''t &amp; Monitoring'!$E$47)=0,'5.1 Project Dev''t &amp; Monitoring'!$E$44,0)))*Y$8</f>
        <v>21423.6937136441</v>
      </c>
      <c r="Z44" s="332" t="n">
        <f aca="false">(IF(Z$6&lt;'5.1 Project Dev''t &amp; Monitoring'!$E$46,0,IF(MOD(Z$6-'5.1 Project Dev''t &amp; Monitoring'!$E$46,'5.1 Project Dev''t &amp; Monitoring'!$E$47)=0,'5.1 Project Dev''t &amp; Monitoring'!$E$44,0)))*Z$8</f>
        <v>0</v>
      </c>
      <c r="AA44" s="332" t="n">
        <f aca="false">(IF(AA$6&lt;'5.1 Project Dev''t &amp; Monitoring'!$E$46,0,IF(MOD(AA$6-'5.1 Project Dev''t &amp; Monitoring'!$E$46,'5.1 Project Dev''t &amp; Monitoring'!$E$47)=0,'5.1 Project Dev''t &amp; Monitoring'!$E$44,0)))*AA$8</f>
        <v>22289.2109396753</v>
      </c>
      <c r="AB44" s="332" t="n">
        <f aca="false">(IF(AB$6&lt;'5.1 Project Dev''t &amp; Monitoring'!$E$46,0,IF(MOD(AB$6-'5.1 Project Dev''t &amp; Monitoring'!$E$46,'5.1 Project Dev''t &amp; Monitoring'!$E$47)=0,'5.1 Project Dev''t &amp; Monitoring'!$E$44,0)))*AB$8</f>
        <v>0</v>
      </c>
      <c r="AC44" s="332" t="n">
        <f aca="false">(IF(AC$6&lt;'5.1 Project Dev''t &amp; Monitoring'!$E$46,0,IF(MOD(AC$6-'5.1 Project Dev''t &amp; Monitoring'!$E$46,'5.1 Project Dev''t &amp; Monitoring'!$E$47)=0,'5.1 Project Dev''t &amp; Monitoring'!$E$44,0)))*AC$8</f>
        <v>23189.6950616382</v>
      </c>
      <c r="AD44" s="332" t="n">
        <f aca="false">(IF(AD$6&lt;'5.1 Project Dev''t &amp; Monitoring'!$E$46,0,IF(MOD(AD$6-'5.1 Project Dev''t &amp; Monitoring'!$E$46,'5.1 Project Dev''t &amp; Monitoring'!$E$47)=0,'5.1 Project Dev''t &amp; Monitoring'!$E$44,0)))*AD$8</f>
        <v>0</v>
      </c>
      <c r="AE44" s="332" t="n">
        <f aca="false">(IF(AE$6&lt;'5.1 Project Dev''t &amp; Monitoring'!$E$46,0,IF(MOD(AE$6-'5.1 Project Dev''t &amp; Monitoring'!$E$46,'5.1 Project Dev''t &amp; Monitoring'!$E$47)=0,'5.1 Project Dev''t &amp; Monitoring'!$E$44,0)))*AE$8</f>
        <v>24126.5587421284</v>
      </c>
      <c r="AF44" s="332" t="n">
        <f aca="false">(IF(AF$6&lt;'5.1 Project Dev''t &amp; Monitoring'!$E$46,0,IF(MOD(AF$6-'5.1 Project Dev''t &amp; Monitoring'!$E$46,'5.1 Project Dev''t &amp; Monitoring'!$E$47)=0,'5.1 Project Dev''t &amp; Monitoring'!$E$44,0)))*AF$8</f>
        <v>0</v>
      </c>
      <c r="AG44" s="332" t="n">
        <f aca="false">(IF(AG$6&lt;'5.1 Project Dev''t &amp; Monitoring'!$E$46,0,IF(MOD(AG$6-'5.1 Project Dev''t &amp; Monitoring'!$E$46,'5.1 Project Dev''t &amp; Monitoring'!$E$47)=0,'5.1 Project Dev''t &amp; Monitoring'!$E$44,0)))*AG$8</f>
        <v>25101.2717153104</v>
      </c>
      <c r="AH44" s="332" t="n">
        <f aca="false">(IF(AH$6&lt;'5.1 Project Dev''t &amp; Monitoring'!$E$46,0,IF(MOD(AH$6-'5.1 Project Dev''t &amp; Monitoring'!$E$46,'5.1 Project Dev''t &amp; Monitoring'!$E$47)=0,'5.1 Project Dev''t &amp; Monitoring'!$E$44,0)))*AH$8</f>
        <v>0</v>
      </c>
      <c r="AI44" s="332" t="n">
        <f aca="false">(IF(AI$6&lt;'5.1 Project Dev''t &amp; Monitoring'!$E$46,0,IF(MOD(AI$6-'5.1 Project Dev''t &amp; Monitoring'!$E$46,'5.1 Project Dev''t &amp; Monitoring'!$E$47)=0,'5.1 Project Dev''t &amp; Monitoring'!$E$44,0)))*AI$8</f>
        <v>26115.3630926089</v>
      </c>
      <c r="AJ44" s="332" t="n">
        <f aca="false">(IF(AJ$6&lt;'5.1 Project Dev''t &amp; Monitoring'!$E$46,0,IF(MOD(AJ$6-'5.1 Project Dev''t &amp; Monitoring'!$E$46,'5.1 Project Dev''t &amp; Monitoring'!$E$47)=0,'5.1 Project Dev''t &amp; Monitoring'!$E$44,0)))*AJ$8</f>
        <v>0</v>
      </c>
      <c r="AK44" s="332" t="n">
        <f aca="false">(IF(AK$6&lt;'5.1 Project Dev''t &amp; Monitoring'!$E$46,0,IF(MOD(AK$6-'5.1 Project Dev''t &amp; Monitoring'!$E$46,'5.1 Project Dev''t &amp; Monitoring'!$E$47)=0,'5.1 Project Dev''t &amp; Monitoring'!$E$44,0)))*AK$8</f>
        <v>27170.4237615503</v>
      </c>
      <c r="AL44" s="332" t="n">
        <f aca="false">(IF(AL$6&lt;'5.1 Project Dev''t &amp; Monitoring'!$E$46,0,IF(MOD(AL$6-'5.1 Project Dev''t &amp; Monitoring'!$E$46,'5.1 Project Dev''t &amp; Monitoring'!$E$47)=0,'5.1 Project Dev''t &amp; Monitoring'!$E$44,0)))*AL$8</f>
        <v>0</v>
      </c>
    </row>
    <row r="45" customFormat="false" ht="15" hidden="false" customHeight="false" outlineLevel="1" collapsed="false">
      <c r="B45" s="1"/>
      <c r="C45" s="349" t="s">
        <v>574</v>
      </c>
      <c r="D45" s="25" t="s">
        <v>163</v>
      </c>
      <c r="E45" s="350" t="n">
        <f aca="false">'3. Assumptions'!F47</f>
        <v>5000</v>
      </c>
      <c r="F45" s="348"/>
      <c r="G45" s="241"/>
      <c r="H45" s="332" t="n">
        <f aca="false">(IF(H$6&lt;'5.1 Project Dev''t &amp; Monitoring'!$E$46,0,IF(MOD(H$6-'5.1 Project Dev''t &amp; Monitoring'!$E$46,'5.1 Project Dev''t &amp; Monitoring'!$E$47)=0,'5.1 Project Dev''t &amp; Monitoring'!$E$45,0)))*H$8</f>
        <v>0</v>
      </c>
      <c r="I45" s="332" t="n">
        <f aca="false">(IF(I$6&lt;'5.1 Project Dev''t &amp; Monitoring'!$E$46,0,IF(MOD(I$6-'5.1 Project Dev''t &amp; Monitoring'!$E$46,'5.1 Project Dev''t &amp; Monitoring'!$E$47)=0,'5.1 Project Dev''t &amp; Monitoring'!$E$45,0)))*I$8</f>
        <v>5202</v>
      </c>
      <c r="J45" s="332" t="n">
        <f aca="false">(IF(J$6&lt;'5.1 Project Dev''t &amp; Monitoring'!$E$46,0,IF(MOD(J$6-'5.1 Project Dev''t &amp; Monitoring'!$E$46,'5.1 Project Dev''t &amp; Monitoring'!$E$47)=0,'5.1 Project Dev''t &amp; Monitoring'!$E$45,0)))*J$8</f>
        <v>0</v>
      </c>
      <c r="K45" s="332" t="n">
        <f aca="false">(IF(K$6&lt;'5.1 Project Dev''t &amp; Monitoring'!$E$46,0,IF(MOD(K$6-'5.1 Project Dev''t &amp; Monitoring'!$E$46,'5.1 Project Dev''t &amp; Monitoring'!$E$47)=0,'5.1 Project Dev''t &amp; Monitoring'!$E$45,0)))*K$8</f>
        <v>5412.1608</v>
      </c>
      <c r="L45" s="332" t="n">
        <f aca="false">(IF(L$6&lt;'5.1 Project Dev''t &amp; Monitoring'!$E$46,0,IF(MOD(L$6-'5.1 Project Dev''t &amp; Monitoring'!$E$46,'5.1 Project Dev''t &amp; Monitoring'!$E$47)=0,'5.1 Project Dev''t &amp; Monitoring'!$E$45,0)))*L$8</f>
        <v>0</v>
      </c>
      <c r="M45" s="332" t="n">
        <f aca="false">(IF(M$6&lt;'5.1 Project Dev''t &amp; Monitoring'!$E$46,0,IF(MOD(M$6-'5.1 Project Dev''t &amp; Monitoring'!$E$46,'5.1 Project Dev''t &amp; Monitoring'!$E$47)=0,'5.1 Project Dev''t &amp; Monitoring'!$E$45,0)))*M$8</f>
        <v>5630.81209632</v>
      </c>
      <c r="N45" s="332" t="n">
        <f aca="false">(IF(N$6&lt;'5.1 Project Dev''t &amp; Monitoring'!$E$46,0,IF(MOD(N$6-'5.1 Project Dev''t &amp; Monitoring'!$E$46,'5.1 Project Dev''t &amp; Monitoring'!$E$47)=0,'5.1 Project Dev''t &amp; Monitoring'!$E$45,0)))*N$8</f>
        <v>0</v>
      </c>
      <c r="O45" s="332" t="n">
        <f aca="false">(IF(O$6&lt;'5.1 Project Dev''t &amp; Monitoring'!$E$46,0,IF(MOD(O$6-'5.1 Project Dev''t &amp; Monitoring'!$E$46,'5.1 Project Dev''t &amp; Monitoring'!$E$47)=0,'5.1 Project Dev''t &amp; Monitoring'!$E$45,0)))*O$8</f>
        <v>5858.29690501133</v>
      </c>
      <c r="P45" s="332" t="n">
        <f aca="false">(IF(P$6&lt;'5.1 Project Dev''t &amp; Monitoring'!$E$46,0,IF(MOD(P$6-'5.1 Project Dev''t &amp; Monitoring'!$E$46,'5.1 Project Dev''t &amp; Monitoring'!$E$47)=0,'5.1 Project Dev''t &amp; Monitoring'!$E$45,0)))*P$8</f>
        <v>0</v>
      </c>
      <c r="Q45" s="332" t="n">
        <f aca="false">(IF(Q$6&lt;'5.1 Project Dev''t &amp; Monitoring'!$E$46,0,IF(MOD(Q$6-'5.1 Project Dev''t &amp; Monitoring'!$E$46,'5.1 Project Dev''t &amp; Monitoring'!$E$47)=0,'5.1 Project Dev''t &amp; Monitoring'!$E$45,0)))*Q$8</f>
        <v>6094.97209997379</v>
      </c>
      <c r="R45" s="332" t="n">
        <f aca="false">(IF(R$6&lt;'5.1 Project Dev''t &amp; Monitoring'!$E$46,0,IF(MOD(R$6-'5.1 Project Dev''t &amp; Monitoring'!$E$46,'5.1 Project Dev''t &amp; Monitoring'!$E$47)=0,'5.1 Project Dev''t &amp; Monitoring'!$E$45,0)))*R$8</f>
        <v>0</v>
      </c>
      <c r="S45" s="332" t="n">
        <f aca="false">(IF(S$6&lt;'5.1 Project Dev''t &amp; Monitoring'!$E$46,0,IF(MOD(S$6-'5.1 Project Dev''t &amp; Monitoring'!$E$46,'5.1 Project Dev''t &amp; Monitoring'!$E$47)=0,'5.1 Project Dev''t &amp; Monitoring'!$E$45,0)))*S$8</f>
        <v>6341.20897281273</v>
      </c>
      <c r="T45" s="332" t="n">
        <f aca="false">(IF(T$6&lt;'5.1 Project Dev''t &amp; Monitoring'!$E$46,0,IF(MOD(T$6-'5.1 Project Dev''t &amp; Monitoring'!$E$46,'5.1 Project Dev''t &amp; Monitoring'!$E$47)=0,'5.1 Project Dev''t &amp; Monitoring'!$E$45,0)))*T$8</f>
        <v>0</v>
      </c>
      <c r="U45" s="332" t="n">
        <f aca="false">(IF(U$6&lt;'5.1 Project Dev''t &amp; Monitoring'!$E$46,0,IF(MOD(U$6-'5.1 Project Dev''t &amp; Monitoring'!$E$46,'5.1 Project Dev''t &amp; Monitoring'!$E$47)=0,'5.1 Project Dev''t &amp; Monitoring'!$E$45,0)))*U$8</f>
        <v>6597.39381531436</v>
      </c>
      <c r="V45" s="332" t="n">
        <f aca="false">(IF(V$6&lt;'5.1 Project Dev''t &amp; Monitoring'!$E$46,0,IF(MOD(V$6-'5.1 Project Dev''t &amp; Monitoring'!$E$46,'5.1 Project Dev''t &amp; Monitoring'!$E$47)=0,'5.1 Project Dev''t &amp; Monitoring'!$E$45,0)))*V$8</f>
        <v>0</v>
      </c>
      <c r="W45" s="332" t="n">
        <f aca="false">(IF(W$6&lt;'5.1 Project Dev''t &amp; Monitoring'!$E$46,0,IF(MOD(W$6-'5.1 Project Dev''t &amp; Monitoring'!$E$46,'5.1 Project Dev''t &amp; Monitoring'!$E$47)=0,'5.1 Project Dev''t &amp; Monitoring'!$E$45,0)))*W$8</f>
        <v>6863.92852545306</v>
      </c>
      <c r="X45" s="332" t="n">
        <f aca="false">(IF(X$6&lt;'5.1 Project Dev''t &amp; Monitoring'!$E$46,0,IF(MOD(X$6-'5.1 Project Dev''t &amp; Monitoring'!$E$46,'5.1 Project Dev''t &amp; Monitoring'!$E$47)=0,'5.1 Project Dev''t &amp; Monitoring'!$E$45,0)))*X$8</f>
        <v>0</v>
      </c>
      <c r="Y45" s="332" t="n">
        <f aca="false">(IF(Y$6&lt;'5.1 Project Dev''t &amp; Monitoring'!$E$46,0,IF(MOD(Y$6-'5.1 Project Dev''t &amp; Monitoring'!$E$46,'5.1 Project Dev''t &amp; Monitoring'!$E$47)=0,'5.1 Project Dev''t &amp; Monitoring'!$E$45,0)))*Y$8</f>
        <v>7141.23123788136</v>
      </c>
      <c r="Z45" s="332" t="n">
        <f aca="false">(IF(Z$6&lt;'5.1 Project Dev''t &amp; Monitoring'!$E$46,0,IF(MOD(Z$6-'5.1 Project Dev''t &amp; Monitoring'!$E$46,'5.1 Project Dev''t &amp; Monitoring'!$E$47)=0,'5.1 Project Dev''t &amp; Monitoring'!$E$45,0)))*Z$8</f>
        <v>0</v>
      </c>
      <c r="AA45" s="332" t="n">
        <f aca="false">(IF(AA$6&lt;'5.1 Project Dev''t &amp; Monitoring'!$E$46,0,IF(MOD(AA$6-'5.1 Project Dev''t &amp; Monitoring'!$E$46,'5.1 Project Dev''t &amp; Monitoring'!$E$47)=0,'5.1 Project Dev''t &amp; Monitoring'!$E$45,0)))*AA$8</f>
        <v>7429.73697989177</v>
      </c>
      <c r="AB45" s="332" t="n">
        <f aca="false">(IF(AB$6&lt;'5.1 Project Dev''t &amp; Monitoring'!$E$46,0,IF(MOD(AB$6-'5.1 Project Dev''t &amp; Monitoring'!$E$46,'5.1 Project Dev''t &amp; Monitoring'!$E$47)=0,'5.1 Project Dev''t &amp; Monitoring'!$E$45,0)))*AB$8</f>
        <v>0</v>
      </c>
      <c r="AC45" s="332" t="n">
        <f aca="false">(IF(AC$6&lt;'5.1 Project Dev''t &amp; Monitoring'!$E$46,0,IF(MOD(AC$6-'5.1 Project Dev''t &amp; Monitoring'!$E$46,'5.1 Project Dev''t &amp; Monitoring'!$E$47)=0,'5.1 Project Dev''t &amp; Monitoring'!$E$45,0)))*AC$8</f>
        <v>7729.8983538794</v>
      </c>
      <c r="AD45" s="332" t="n">
        <f aca="false">(IF(AD$6&lt;'5.1 Project Dev''t &amp; Monitoring'!$E$46,0,IF(MOD(AD$6-'5.1 Project Dev''t &amp; Monitoring'!$E$46,'5.1 Project Dev''t &amp; Monitoring'!$E$47)=0,'5.1 Project Dev''t &amp; Monitoring'!$E$45,0)))*AD$8</f>
        <v>0</v>
      </c>
      <c r="AE45" s="332" t="n">
        <f aca="false">(IF(AE$6&lt;'5.1 Project Dev''t &amp; Monitoring'!$E$46,0,IF(MOD(AE$6-'5.1 Project Dev''t &amp; Monitoring'!$E$46,'5.1 Project Dev''t &amp; Monitoring'!$E$47)=0,'5.1 Project Dev''t &amp; Monitoring'!$E$45,0)))*AE$8</f>
        <v>8042.18624737613</v>
      </c>
      <c r="AF45" s="332" t="n">
        <f aca="false">(IF(AF$6&lt;'5.1 Project Dev''t &amp; Monitoring'!$E$46,0,IF(MOD(AF$6-'5.1 Project Dev''t &amp; Monitoring'!$E$46,'5.1 Project Dev''t &amp; Monitoring'!$E$47)=0,'5.1 Project Dev''t &amp; Monitoring'!$E$45,0)))*AF$8</f>
        <v>0</v>
      </c>
      <c r="AG45" s="332" t="n">
        <f aca="false">(IF(AG$6&lt;'5.1 Project Dev''t &amp; Monitoring'!$E$46,0,IF(MOD(AG$6-'5.1 Project Dev''t &amp; Monitoring'!$E$46,'5.1 Project Dev''t &amp; Monitoring'!$E$47)=0,'5.1 Project Dev''t &amp; Monitoring'!$E$45,0)))*AG$8</f>
        <v>8367.09057177012</v>
      </c>
      <c r="AH45" s="332" t="n">
        <f aca="false">(IF(AH$6&lt;'5.1 Project Dev''t &amp; Monitoring'!$E$46,0,IF(MOD(AH$6-'5.1 Project Dev''t &amp; Monitoring'!$E$46,'5.1 Project Dev''t &amp; Monitoring'!$E$47)=0,'5.1 Project Dev''t &amp; Monitoring'!$E$45,0)))*AH$8</f>
        <v>0</v>
      </c>
      <c r="AI45" s="332" t="n">
        <f aca="false">(IF(AI$6&lt;'5.1 Project Dev''t &amp; Monitoring'!$E$46,0,IF(MOD(AI$6-'5.1 Project Dev''t &amp; Monitoring'!$E$46,'5.1 Project Dev''t &amp; Monitoring'!$E$47)=0,'5.1 Project Dev''t &amp; Monitoring'!$E$45,0)))*AI$8</f>
        <v>8705.12103086964</v>
      </c>
      <c r="AJ45" s="332" t="n">
        <f aca="false">(IF(AJ$6&lt;'5.1 Project Dev''t &amp; Monitoring'!$E$46,0,IF(MOD(AJ$6-'5.1 Project Dev''t &amp; Monitoring'!$E$46,'5.1 Project Dev''t &amp; Monitoring'!$E$47)=0,'5.1 Project Dev''t &amp; Monitoring'!$E$45,0)))*AJ$8</f>
        <v>0</v>
      </c>
      <c r="AK45" s="332" t="n">
        <f aca="false">(IF(AK$6&lt;'5.1 Project Dev''t &amp; Monitoring'!$E$46,0,IF(MOD(AK$6-'5.1 Project Dev''t &amp; Monitoring'!$E$46,'5.1 Project Dev''t &amp; Monitoring'!$E$47)=0,'5.1 Project Dev''t &amp; Monitoring'!$E$45,0)))*AK$8</f>
        <v>9056.80792051677</v>
      </c>
      <c r="AL45" s="332" t="n">
        <f aca="false">(IF(AL$6&lt;'5.1 Project Dev''t &amp; Monitoring'!$E$46,0,IF(MOD(AL$6-'5.1 Project Dev''t &amp; Monitoring'!$E$46,'5.1 Project Dev''t &amp; Monitoring'!$E$47)=0,'5.1 Project Dev''t &amp; Monitoring'!$E$45,0)))*AL$8</f>
        <v>0</v>
      </c>
    </row>
    <row r="46" customFormat="false" ht="15" hidden="false" customHeight="false" outlineLevel="1" collapsed="false">
      <c r="B46" s="1"/>
      <c r="C46" s="19" t="s">
        <v>235</v>
      </c>
      <c r="D46" s="25" t="s">
        <v>199</v>
      </c>
      <c r="E46" s="240" t="n">
        <f aca="false">'3. Assumptions'!F25</f>
        <v>2</v>
      </c>
      <c r="F46" s="348"/>
      <c r="G46" s="241"/>
      <c r="H46" s="347"/>
      <c r="I46" s="347"/>
      <c r="J46" s="347"/>
      <c r="K46" s="347"/>
      <c r="L46" s="347"/>
      <c r="M46" s="347"/>
      <c r="N46" s="347"/>
      <c r="O46" s="347"/>
      <c r="P46" s="347"/>
      <c r="Q46" s="347"/>
      <c r="R46" s="347"/>
      <c r="S46" s="347"/>
      <c r="T46" s="347"/>
      <c r="U46" s="347"/>
      <c r="V46" s="347"/>
      <c r="W46" s="347"/>
      <c r="X46" s="347"/>
      <c r="Y46" s="347"/>
      <c r="Z46" s="347"/>
      <c r="AA46" s="347"/>
      <c r="AB46" s="347"/>
      <c r="AC46" s="347"/>
      <c r="AD46" s="347"/>
      <c r="AE46" s="347"/>
      <c r="AF46" s="347"/>
      <c r="AG46" s="347"/>
      <c r="AH46" s="347"/>
      <c r="AI46" s="347"/>
      <c r="AJ46" s="347"/>
      <c r="AK46" s="347"/>
      <c r="AL46" s="347"/>
    </row>
    <row r="47" customFormat="false" ht="15" hidden="false" customHeight="false" outlineLevel="1" collapsed="false">
      <c r="B47" s="1"/>
      <c r="C47" s="19" t="s">
        <v>237</v>
      </c>
      <c r="D47" s="25" t="s">
        <v>199</v>
      </c>
      <c r="E47" s="240" t="n">
        <f aca="false">'3. Assumptions'!F26</f>
        <v>2</v>
      </c>
      <c r="F47" s="348"/>
      <c r="G47" s="241"/>
      <c r="H47" s="347"/>
      <c r="I47" s="347"/>
      <c r="J47" s="347"/>
      <c r="K47" s="347"/>
      <c r="L47" s="347"/>
      <c r="M47" s="347"/>
      <c r="N47" s="347"/>
      <c r="O47" s="347"/>
      <c r="P47" s="347"/>
      <c r="Q47" s="347"/>
      <c r="R47" s="347"/>
      <c r="S47" s="347"/>
      <c r="T47" s="347"/>
      <c r="U47" s="347"/>
      <c r="V47" s="347"/>
      <c r="W47" s="347"/>
      <c r="X47" s="347"/>
      <c r="Y47" s="347"/>
      <c r="Z47" s="347"/>
      <c r="AA47" s="347"/>
      <c r="AB47" s="347"/>
      <c r="AC47" s="347"/>
      <c r="AD47" s="347"/>
      <c r="AE47" s="347"/>
      <c r="AF47" s="347"/>
      <c r="AG47" s="347"/>
      <c r="AH47" s="347"/>
      <c r="AI47" s="347"/>
      <c r="AJ47" s="347"/>
      <c r="AK47" s="347"/>
      <c r="AL47" s="347"/>
    </row>
    <row r="48" customFormat="false" ht="15" hidden="false" customHeight="false" outlineLevel="1" collapsed="false">
      <c r="B48" s="1"/>
      <c r="C48" s="19"/>
      <c r="D48" s="25"/>
      <c r="G48" s="1"/>
      <c r="H48" s="347"/>
      <c r="I48" s="347"/>
      <c r="J48" s="347"/>
      <c r="K48" s="347"/>
      <c r="L48" s="347"/>
      <c r="M48" s="347"/>
      <c r="N48" s="347"/>
      <c r="O48" s="347"/>
      <c r="P48" s="347"/>
      <c r="Q48" s="347"/>
      <c r="R48" s="347"/>
      <c r="S48" s="347"/>
      <c r="T48" s="347"/>
      <c r="U48" s="347"/>
      <c r="V48" s="347"/>
      <c r="W48" s="347"/>
      <c r="X48" s="347"/>
      <c r="Y48" s="347"/>
      <c r="Z48" s="347"/>
      <c r="AA48" s="347"/>
      <c r="AB48" s="347"/>
      <c r="AC48" s="347"/>
      <c r="AD48" s="347"/>
      <c r="AE48" s="347"/>
      <c r="AF48" s="347"/>
      <c r="AG48" s="347"/>
      <c r="AH48" s="347"/>
      <c r="AI48" s="347"/>
      <c r="AJ48" s="347"/>
      <c r="AK48" s="347"/>
      <c r="AL48" s="347"/>
    </row>
    <row r="49" customFormat="false" ht="15" hidden="false" customHeight="false" outlineLevel="1" collapsed="false">
      <c r="B49" s="1" t="n">
        <v>8</v>
      </c>
      <c r="C49" s="11" t="s">
        <v>575</v>
      </c>
      <c r="D49" s="25"/>
      <c r="G49" s="1"/>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row>
    <row r="50" customFormat="false" ht="15" hidden="false" customHeight="false" outlineLevel="1" collapsed="false">
      <c r="C50" s="18" t="s">
        <v>275</v>
      </c>
      <c r="D50" s="30" t="s">
        <v>163</v>
      </c>
      <c r="E50" s="342" t="n">
        <f aca="false">'3. Assumptions'!F48</f>
        <v>18000</v>
      </c>
      <c r="F50" s="348"/>
      <c r="G50" s="351"/>
      <c r="H50" s="352" t="n">
        <f aca="false">(IF(H$6&lt;'5.1 Project Dev''t &amp; Monitoring'!$E$51,0,IF(MOD(H$6-$E$52,'5.1 Project Dev''t &amp; Monitoring'!$E$51)=0,'5.1 Project Dev''t &amp; Monitoring'!$E$50,0)))*H8</f>
        <v>0</v>
      </c>
      <c r="I50" s="352" t="n">
        <f aca="false">(IF(I$6&lt;'5.1 Project Dev''t &amp; Monitoring'!$E$51,0,IF(MOD(I$6-$E$52,'5.1 Project Dev''t &amp; Monitoring'!$E$51)=0,'5.1 Project Dev''t &amp; Monitoring'!$E$50,0)))*I8</f>
        <v>0</v>
      </c>
      <c r="J50" s="352" t="n">
        <f aca="false">(IF(J$6&lt;'5.1 Project Dev''t &amp; Monitoring'!$E$51,0,IF(MOD(J$6-$E$52,'5.1 Project Dev''t &amp; Monitoring'!$E$51)=0,'5.1 Project Dev''t &amp; Monitoring'!$E$50,0)))*J8</f>
        <v>0</v>
      </c>
      <c r="K50" s="352" t="n">
        <f aca="false">(IF(K$6&lt;'5.1 Project Dev''t &amp; Monitoring'!$E$51,0,IF(MOD(K$6-$E$52,'5.1 Project Dev''t &amp; Monitoring'!$E$51)=0,'5.1 Project Dev''t &amp; Monitoring'!$E$50,0)))*K8</f>
        <v>0</v>
      </c>
      <c r="L50" s="352" t="n">
        <f aca="false">(IF(L$6&lt;'5.1 Project Dev''t &amp; Monitoring'!$E$51,0,IF(MOD(L$6-$E$52,'5.1 Project Dev''t &amp; Monitoring'!$E$51)=0,'5.1 Project Dev''t &amp; Monitoring'!$E$50,0)))*L8</f>
        <v>0</v>
      </c>
      <c r="M50" s="352" t="n">
        <f aca="false">(IF(M$6&lt;'5.1 Project Dev''t &amp; Monitoring'!$E$51,0,IF(MOD(M$6-$E$52,'5.1 Project Dev''t &amp; Monitoring'!$E$51)=0,'5.1 Project Dev''t &amp; Monitoring'!$E$50,0)))*M8</f>
        <v>0</v>
      </c>
      <c r="N50" s="352" t="n">
        <f aca="false">(IF(N$6&lt;'5.1 Project Dev''t &amp; Monitoring'!$E$51,0,IF(MOD(N$6-$E$52,'5.1 Project Dev''t &amp; Monitoring'!$E$51)=0,'5.1 Project Dev''t &amp; Monitoring'!$E$50,0)))*N8</f>
        <v>0</v>
      </c>
      <c r="O50" s="352" t="n">
        <f aca="false">(IF(O$6&lt;'5.1 Project Dev''t &amp; Monitoring'!$E$51,0,IF(MOD(O$6-$E$52,'5.1 Project Dev''t &amp; Monitoring'!$E$51)=0,'5.1 Project Dev''t &amp; Monitoring'!$E$50,0)))*O8</f>
        <v>21089.8688580408</v>
      </c>
      <c r="P50" s="352" t="n">
        <f aca="false">(IF(P$6&lt;'5.1 Project Dev''t &amp; Monitoring'!$E$51,0,IF(MOD(P$6-$E$52,'5.1 Project Dev''t &amp; Monitoring'!$E$51)=0,'5.1 Project Dev''t &amp; Monitoring'!$E$50,0)))*P8</f>
        <v>0</v>
      </c>
      <c r="Q50" s="352" t="n">
        <f aca="false">(IF(Q$6&lt;'5.1 Project Dev''t &amp; Monitoring'!$E$51,0,IF(MOD(Q$6-$E$52,'5.1 Project Dev''t &amp; Monitoring'!$E$51)=0,'5.1 Project Dev''t &amp; Monitoring'!$E$50,0)))*Q8</f>
        <v>0</v>
      </c>
      <c r="R50" s="352" t="n">
        <f aca="false">(IF(R$6&lt;'5.1 Project Dev''t &amp; Monitoring'!$E$51,0,IF(MOD(R$6-$E$52,'5.1 Project Dev''t &amp; Monitoring'!$E$51)=0,'5.1 Project Dev''t &amp; Monitoring'!$E$50,0)))*R8</f>
        <v>0</v>
      </c>
      <c r="S50" s="352" t="n">
        <f aca="false">(IF(S$6&lt;'5.1 Project Dev''t &amp; Monitoring'!$E$51,0,IF(MOD(S$6-$E$52,'5.1 Project Dev''t &amp; Monitoring'!$E$51)=0,'5.1 Project Dev''t &amp; Monitoring'!$E$50,0)))*S8</f>
        <v>0</v>
      </c>
      <c r="T50" s="352" t="n">
        <f aca="false">(IF(T$6&lt;'5.1 Project Dev''t &amp; Monitoring'!$E$51,0,IF(MOD(T$6-$E$52,'5.1 Project Dev''t &amp; Monitoring'!$E$51)=0,'5.1 Project Dev''t &amp; Monitoring'!$E$50,0)))*T8</f>
        <v>0</v>
      </c>
      <c r="U50" s="352" t="n">
        <f aca="false">(IF(U$6&lt;'5.1 Project Dev''t &amp; Monitoring'!$E$51,0,IF(MOD(U$6-$E$52,'5.1 Project Dev''t &amp; Monitoring'!$E$51)=0,'5.1 Project Dev''t &amp; Monitoring'!$E$50,0)))*U8</f>
        <v>23750.6177351317</v>
      </c>
      <c r="V50" s="352" t="n">
        <f aca="false">(IF(V$6&lt;'5.1 Project Dev''t &amp; Monitoring'!$E$51,0,IF(MOD(V$6-$E$52,'5.1 Project Dev''t &amp; Monitoring'!$E$51)=0,'5.1 Project Dev''t &amp; Monitoring'!$E$50,0)))*V8</f>
        <v>0</v>
      </c>
      <c r="W50" s="352" t="n">
        <f aca="false">(IF(W$6&lt;'5.1 Project Dev''t &amp; Monitoring'!$E$51,0,IF(MOD(W$6-$E$52,'5.1 Project Dev''t &amp; Monitoring'!$E$51)=0,'5.1 Project Dev''t &amp; Monitoring'!$E$50,0)))*W8</f>
        <v>0</v>
      </c>
      <c r="X50" s="352" t="n">
        <f aca="false">(IF(X$6&lt;'5.1 Project Dev''t &amp; Monitoring'!$E$51,0,IF(MOD(X$6-$E$52,'5.1 Project Dev''t &amp; Monitoring'!$E$51)=0,'5.1 Project Dev''t &amp; Monitoring'!$E$50,0)))*X8</f>
        <v>0</v>
      </c>
      <c r="Y50" s="352" t="n">
        <f aca="false">(IF(Y$6&lt;'5.1 Project Dev''t &amp; Monitoring'!$E$51,0,IF(MOD(Y$6-$E$52,'5.1 Project Dev''t &amp; Monitoring'!$E$51)=0,'5.1 Project Dev''t &amp; Monitoring'!$E$50,0)))*Y8</f>
        <v>0</v>
      </c>
      <c r="Z50" s="352" t="n">
        <f aca="false">(IF(Z$6&lt;'5.1 Project Dev''t &amp; Monitoring'!$E$51,0,IF(MOD(Z$6-$E$52,'5.1 Project Dev''t &amp; Monitoring'!$E$51)=0,'5.1 Project Dev''t &amp; Monitoring'!$E$50,0)))*Z8</f>
        <v>0</v>
      </c>
      <c r="AA50" s="352" t="n">
        <f aca="false">(IF(AA$6&lt;'5.1 Project Dev''t &amp; Monitoring'!$E$51,0,IF(MOD(AA$6-$E$52,'5.1 Project Dev''t &amp; Monitoring'!$E$51)=0,'5.1 Project Dev''t &amp; Monitoring'!$E$50,0)))*AA8</f>
        <v>26747.0531276104</v>
      </c>
      <c r="AB50" s="352" t="n">
        <f aca="false">(IF(AB$6&lt;'5.1 Project Dev''t &amp; Monitoring'!$E$51,0,IF(MOD(AB$6-$E$52,'5.1 Project Dev''t &amp; Monitoring'!$E$51)=0,'5.1 Project Dev''t &amp; Monitoring'!$E$50,0)))*AB8</f>
        <v>0</v>
      </c>
      <c r="AC50" s="352" t="n">
        <f aca="false">(IF(AC$6&lt;'5.1 Project Dev''t &amp; Monitoring'!$E$51,0,IF(MOD(AC$6-$E$52,'5.1 Project Dev''t &amp; Monitoring'!$E$51)=0,'5.1 Project Dev''t &amp; Monitoring'!$E$50,0)))*AC8</f>
        <v>0</v>
      </c>
      <c r="AD50" s="352" t="n">
        <f aca="false">(IF(AD$6&lt;'5.1 Project Dev''t &amp; Monitoring'!$E$51,0,IF(MOD(AD$6-$E$52,'5.1 Project Dev''t &amp; Monitoring'!$E$51)=0,'5.1 Project Dev''t &amp; Monitoring'!$E$50,0)))*AD8</f>
        <v>0</v>
      </c>
      <c r="AE50" s="352" t="n">
        <f aca="false">(IF(AE$6&lt;'5.1 Project Dev''t &amp; Monitoring'!$E$51,0,IF(MOD(AE$6-$E$52,'5.1 Project Dev''t &amp; Monitoring'!$E$51)=0,'5.1 Project Dev''t &amp; Monitoring'!$E$50,0)))*AE8</f>
        <v>0</v>
      </c>
      <c r="AF50" s="352" t="n">
        <f aca="false">(IF(AF$6&lt;'5.1 Project Dev''t &amp; Monitoring'!$E$51,0,IF(MOD(AF$6-$E$52,'5.1 Project Dev''t &amp; Monitoring'!$E$51)=0,'5.1 Project Dev''t &amp; Monitoring'!$E$50,0)))*AF8</f>
        <v>0</v>
      </c>
      <c r="AG50" s="352" t="n">
        <f aca="false">(IF(AG$6&lt;'5.1 Project Dev''t &amp; Monitoring'!$E$51,0,IF(MOD(AG$6-$E$52,'5.1 Project Dev''t &amp; Monitoring'!$E$51)=0,'5.1 Project Dev''t &amp; Monitoring'!$E$50,0)))*AG8</f>
        <v>30121.5260583724</v>
      </c>
      <c r="AH50" s="352" t="n">
        <f aca="false">(IF(AH$6&lt;'5.1 Project Dev''t &amp; Monitoring'!$E$51,0,IF(MOD(AH$6-$E$52,'5.1 Project Dev''t &amp; Monitoring'!$E$51)=0,'5.1 Project Dev''t &amp; Monitoring'!$E$50,0)))*AH8</f>
        <v>0</v>
      </c>
      <c r="AI50" s="352" t="n">
        <f aca="false">(IF(AI$6&lt;'5.1 Project Dev''t &amp; Monitoring'!$E$51,0,IF(MOD(AI$6-$E$52,'5.1 Project Dev''t &amp; Monitoring'!$E$51)=0,'5.1 Project Dev''t &amp; Monitoring'!$E$50,0)))*AI8</f>
        <v>0</v>
      </c>
      <c r="AJ50" s="352" t="n">
        <f aca="false">(IF(AJ$6&lt;'5.1 Project Dev''t &amp; Monitoring'!$E$51,0,IF(MOD(AJ$6-$E$52,'5.1 Project Dev''t &amp; Monitoring'!$E$51)=0,'5.1 Project Dev''t &amp; Monitoring'!$E$50,0)))*AJ8</f>
        <v>0</v>
      </c>
      <c r="AK50" s="352" t="n">
        <f aca="false">(IF(AK$6&lt;'5.1 Project Dev''t &amp; Monitoring'!$E$51,0,IF(MOD(AK$6-$E$52,'5.1 Project Dev''t &amp; Monitoring'!$E$51)=0,'5.1 Project Dev''t &amp; Monitoring'!$E$50,0)))*AK8</f>
        <v>0</v>
      </c>
      <c r="AL50" s="352" t="n">
        <f aca="false">(IF(AL$6&lt;'5.1 Project Dev''t &amp; Monitoring'!$E$51,0,IF(MOD(AL$6-$E$52,'5.1 Project Dev''t &amp; Monitoring'!$E$51)=0,'5.1 Project Dev''t &amp; Monitoring'!$E$50,0)))*AL8</f>
        <v>0</v>
      </c>
    </row>
    <row r="51" customFormat="false" ht="15" hidden="false" customHeight="false" outlineLevel="1" collapsed="false">
      <c r="B51" s="1"/>
      <c r="C51" s="19" t="s">
        <v>238</v>
      </c>
      <c r="D51" s="25" t="s">
        <v>199</v>
      </c>
      <c r="E51" s="240" t="n">
        <f aca="false">'3. Assumptions'!F27</f>
        <v>6</v>
      </c>
      <c r="F51" s="348"/>
      <c r="G51" s="241"/>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row>
    <row r="52" customFormat="false" ht="15" hidden="false" customHeight="false" outlineLevel="1" collapsed="false">
      <c r="B52" s="1"/>
      <c r="C52" s="19" t="s">
        <v>233</v>
      </c>
      <c r="D52" s="25" t="s">
        <v>199</v>
      </c>
      <c r="E52" s="353" t="n">
        <f aca="false">E22</f>
        <v>2</v>
      </c>
      <c r="F52" s="242"/>
      <c r="G52" s="241"/>
      <c r="H52" s="347"/>
      <c r="I52" s="347"/>
      <c r="J52" s="347"/>
      <c r="K52" s="347"/>
      <c r="L52" s="347"/>
      <c r="M52" s="347"/>
      <c r="N52" s="347"/>
      <c r="O52" s="347"/>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row>
    <row r="53" customFormat="false" ht="15" hidden="false" customHeight="false" outlineLevel="1" collapsed="false">
      <c r="B53" s="1"/>
      <c r="C53" s="19"/>
      <c r="D53" s="25"/>
      <c r="E53" s="242"/>
      <c r="F53" s="242"/>
      <c r="G53" s="241"/>
      <c r="H53" s="347"/>
      <c r="I53" s="347"/>
      <c r="J53" s="347"/>
      <c r="K53" s="347"/>
      <c r="L53" s="347"/>
      <c r="M53" s="347"/>
      <c r="N53" s="347"/>
      <c r="O53" s="347"/>
      <c r="P53" s="347"/>
      <c r="Q53" s="347"/>
      <c r="R53" s="347"/>
      <c r="S53" s="347"/>
      <c r="T53" s="347"/>
      <c r="U53" s="347"/>
      <c r="V53" s="347"/>
      <c r="W53" s="347"/>
      <c r="X53" s="347"/>
      <c r="Y53" s="347"/>
      <c r="Z53" s="347"/>
      <c r="AA53" s="347"/>
      <c r="AB53" s="347"/>
      <c r="AC53" s="347"/>
      <c r="AD53" s="347"/>
      <c r="AE53" s="347"/>
      <c r="AF53" s="347"/>
      <c r="AG53" s="347"/>
      <c r="AH53" s="347"/>
      <c r="AI53" s="347"/>
      <c r="AJ53" s="347"/>
      <c r="AK53" s="347"/>
      <c r="AL53" s="347"/>
    </row>
    <row r="54" customFormat="false" ht="15" hidden="false" customHeight="false" outlineLevel="1" collapsed="false">
      <c r="B54" s="1" t="n">
        <v>9</v>
      </c>
      <c r="C54" s="11" t="s">
        <v>576</v>
      </c>
      <c r="D54" s="25" t="s">
        <v>163</v>
      </c>
      <c r="E54" s="325" t="n">
        <f aca="false">'3. Assumptions'!F49</f>
        <v>50000</v>
      </c>
      <c r="F54" s="100"/>
      <c r="G54" s="1"/>
      <c r="H54" s="343" t="n">
        <f aca="false">0</f>
        <v>0</v>
      </c>
      <c r="I54" s="343" t="n">
        <f aca="false">$E$54*I8</f>
        <v>52020</v>
      </c>
      <c r="J54" s="343" t="n">
        <f aca="false">$E$54*J8</f>
        <v>53060.4</v>
      </c>
      <c r="K54" s="343" t="n">
        <f aca="false">$E$54*K8</f>
        <v>54121.608</v>
      </c>
      <c r="L54" s="343" t="n">
        <f aca="false">$E$54*L8</f>
        <v>55204.04016</v>
      </c>
      <c r="M54" s="343" t="n">
        <f aca="false">$E$54*M8</f>
        <v>56308.1209632</v>
      </c>
      <c r="N54" s="343" t="n">
        <f aca="false">$E$54*N8</f>
        <v>57434.283382464</v>
      </c>
      <c r="O54" s="343" t="n">
        <f aca="false">$E$54*O8</f>
        <v>58582.9690501133</v>
      </c>
      <c r="P54" s="343" t="n">
        <f aca="false">$E$54*P8</f>
        <v>59754.6284311156</v>
      </c>
      <c r="Q54" s="343" t="n">
        <f aca="false">$E$54*Q8</f>
        <v>60949.7209997379</v>
      </c>
      <c r="R54" s="343" t="n">
        <f aca="false">$E$54*R8</f>
        <v>62168.7154197326</v>
      </c>
      <c r="S54" s="343" t="n">
        <f aca="false">$E$54*S8</f>
        <v>63412.0897281273</v>
      </c>
      <c r="T54" s="343" t="n">
        <f aca="false">$E$54*T8</f>
        <v>64680.3315226898</v>
      </c>
      <c r="U54" s="343" t="n">
        <f aca="false">$E$54*U8</f>
        <v>65973.9381531436</v>
      </c>
      <c r="V54" s="343" t="n">
        <f aca="false">$E$54*V8</f>
        <v>67293.4169162065</v>
      </c>
      <c r="W54" s="343" t="n">
        <f aca="false">$E$54*W8</f>
        <v>68639.2852545306</v>
      </c>
      <c r="X54" s="343" t="n">
        <f aca="false">$E$54*X8</f>
        <v>70012.0709596212</v>
      </c>
      <c r="Y54" s="343" t="n">
        <f aca="false">$E$54*Y8</f>
        <v>71412.3123788137</v>
      </c>
      <c r="Z54" s="343" t="n">
        <f aca="false">$E$54*Z8</f>
        <v>72840.55862639</v>
      </c>
      <c r="AA54" s="343" t="n">
        <f aca="false">$E$54*AA8</f>
        <v>74297.3697989178</v>
      </c>
      <c r="AB54" s="343" t="n">
        <f aca="false">$E$54*AB8</f>
        <v>75783.3171948961</v>
      </c>
      <c r="AC54" s="343" t="n">
        <f aca="false">$E$54*AC8</f>
        <v>77298.983538794</v>
      </c>
      <c r="AD54" s="343" t="n">
        <f aca="false">$E$54*AD8</f>
        <v>78844.9632095699</v>
      </c>
      <c r="AE54" s="343" t="n">
        <f aca="false">$E$54*AE8</f>
        <v>80421.8624737613</v>
      </c>
      <c r="AF54" s="343" t="n">
        <f aca="false">$E$54*AF8</f>
        <v>82030.2997232365</v>
      </c>
      <c r="AG54" s="343" t="n">
        <f aca="false">$E$54*AG8</f>
        <v>83670.9057177013</v>
      </c>
      <c r="AH54" s="343" t="n">
        <f aca="false">$E$54*AH8</f>
        <v>85344.3238320553</v>
      </c>
      <c r="AI54" s="343" t="n">
        <f aca="false">$E$54*AI8</f>
        <v>87051.2103086964</v>
      </c>
      <c r="AJ54" s="343" t="n">
        <f aca="false">$E$54*AJ8</f>
        <v>88792.2345148703</v>
      </c>
      <c r="AK54" s="343" t="n">
        <f aca="false">$E$54*AK8</f>
        <v>90568.0792051677</v>
      </c>
      <c r="AL54" s="343" t="n">
        <f aca="false">$E$54*AL8</f>
        <v>92379.4407892711</v>
      </c>
    </row>
    <row r="55" customFormat="false" ht="15" hidden="false" customHeight="false" outlineLevel="1" collapsed="false">
      <c r="B55" s="133"/>
      <c r="C55" s="133"/>
      <c r="D55" s="116"/>
      <c r="E55" s="354"/>
      <c r="F55" s="354"/>
      <c r="G55" s="355"/>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row>
    <row r="56" customFormat="false" ht="15" hidden="false" customHeight="false" outlineLevel="1" collapsed="false">
      <c r="B56" s="13" t="str">
        <f aca="false">"Total "&amp;B26</f>
        <v>Total Project Monitoring Cost</v>
      </c>
      <c r="C56" s="19"/>
      <c r="D56" s="356" t="s">
        <v>163</v>
      </c>
      <c r="E56" s="337" t="n">
        <f aca="false">SUM(H56:AL56)</f>
        <v>5839169.75178351</v>
      </c>
      <c r="F56" s="1"/>
      <c r="G56" s="1"/>
      <c r="H56" s="357" t="n">
        <f aca="false">+H31+H33+H35+H37+H39+H54+H44+H50+H41+H45</f>
        <v>4590</v>
      </c>
      <c r="I56" s="357" t="n">
        <f aca="false">+I31+I33+I35+I37+I39+I54+I44+I50+I41+I45</f>
        <v>73348.2</v>
      </c>
      <c r="J56" s="357" t="n">
        <f aca="false">+J31+J33+J35+J37+J39+J54+J44+J50+J41+J45</f>
        <v>66690.9800352</v>
      </c>
      <c r="K56" s="357" t="n">
        <f aca="false">+K31+K33+K35+K37+K39+K54+K44+K50+K41+K45</f>
        <v>101257.328731219</v>
      </c>
      <c r="L56" s="357" t="n">
        <f aca="false">+L31+L33+L35+L37+L39+L54+L44+L50+L41+L45</f>
        <v>93619.7809323978</v>
      </c>
      <c r="M56" s="357" t="n">
        <f aca="false">+M31+M33+M35+M37+M39+M54+M44+M50+M41+M45</f>
        <v>132068.039975876</v>
      </c>
      <c r="N56" s="357" t="n">
        <f aca="false">+N31+N33+N35+N37+N39+N54+N44+N50+N41+N45</f>
        <v>126069.354762749</v>
      </c>
      <c r="O56" s="357" t="n">
        <f aca="false">+O31+O33+O35+O37+O39+O54+O44+O50+O41+O45</f>
        <v>187734.139023239</v>
      </c>
      <c r="P56" s="357" t="n">
        <f aca="false">+P31+P33+P35+P37+P39+P54+P44+P50+P41+P45</f>
        <v>160988.051696947</v>
      </c>
      <c r="Q56" s="357" t="n">
        <f aca="false">+Q31+Q33+Q35+Q37+Q39+Q54+Q44+Q50+Q41+Q45</f>
        <v>188587.701130781</v>
      </c>
      <c r="R56" s="357" t="n">
        <f aca="false">+R31+R33+R35+R37+R39+R54+R44+R50+R41+R45</f>
        <v>167491.968985503</v>
      </c>
      <c r="S56" s="357" t="n">
        <f aca="false">+S31+S33+S35+S37+S39+S54+S44+S50+S41+S45</f>
        <v>196206.644256464</v>
      </c>
      <c r="T56" s="357" t="n">
        <f aca="false">+T31+T33+T35+T37+T39+T54+T44+T50+T41+T45</f>
        <v>174258.644532518</v>
      </c>
      <c r="U56" s="357" t="n">
        <f aca="false">+U31+U33+U35+U37+U39+U54+U44+U50+U41+U45</f>
        <v>227884.010419557</v>
      </c>
      <c r="V56" s="357" t="n">
        <f aca="false">+V31+V33+V35+V37+V39+V54+V44+V50+V41+V45</f>
        <v>181298.693771632</v>
      </c>
      <c r="W56" s="357" t="n">
        <f aca="false">+W31+W33+W35+W37+W39+W54+W44+W50+W41+W45</f>
        <v>212380.381748876</v>
      </c>
      <c r="X56" s="357" t="n">
        <f aca="false">+X31+X33+X35+X37+X39+X54+X44+X50+X41+X45</f>
        <v>188623.161000006</v>
      </c>
      <c r="Y56" s="357" t="n">
        <f aca="false">+Y31+Y33+Y35+Y37+Y39+Y54+Y44+Y50+Y41+Y45</f>
        <v>220960.549171531</v>
      </c>
      <c r="Z56" s="357" t="n">
        <f aca="false">+Z31+Z33+Z35+Z37+Z39+Z54+Z44+Z50+Z41+Z45</f>
        <v>196243.536704406</v>
      </c>
      <c r="AA56" s="357" t="n">
        <f aca="false">+AA31+AA33+AA35+AA37+AA39+AA54+AA44+AA50+AA41+AA45</f>
        <v>256634.408485671</v>
      </c>
      <c r="AB56" s="357" t="n">
        <f aca="false">+AB31+AB33+AB35+AB37+AB39+AB54+AB44+AB50+AB41+AB45</f>
        <v>204171.775587264</v>
      </c>
      <c r="AC56" s="357" t="n">
        <f aca="false">+AC31+AC33+AC35+AC37+AC39+AC54+AC44+AC50+AC41+AC45</f>
        <v>239174.804514527</v>
      </c>
      <c r="AD56" s="357" t="n">
        <f aca="false">+AD31+AD33+AD35+AD37+AD39+AD54+AD44+AD50+AD41+AD45</f>
        <v>212420.315320989</v>
      </c>
      <c r="AE56" s="357" t="n">
        <f aca="false">+AE31+AE33+AE35+AE37+AE39+AE54+AE44+AE50+AE41+AE45</f>
        <v>248837.466616913</v>
      </c>
      <c r="AF56" s="357" t="n">
        <f aca="false">+AF31+AF33+AF35+AF37+AF39+AF54+AF44+AF50+AF41+AF45</f>
        <v>221002.096059957</v>
      </c>
      <c r="AG56" s="357" t="n">
        <f aca="false">+AG31+AG33+AG35+AG37+AG39+AG54+AG44+AG50+AG41+AG45</f>
        <v>289012.026326609</v>
      </c>
      <c r="AH56" s="357" t="n">
        <f aca="false">+AH31+AH33+AH35+AH37+AH39+AH54+AH44+AH50+AH41+AH45</f>
        <v>229930.580740779</v>
      </c>
      <c r="AI56" s="357" t="n">
        <f aca="false">+AI31+AI33+AI35+AI37+AI39+AI54+AI44+AI50+AI41+AI45</f>
        <v>269349.676479074</v>
      </c>
      <c r="AJ56" s="357" t="n">
        <f aca="false">+AJ31+AJ33+AJ35+AJ37+AJ39+AJ54+AJ44+AJ50+AJ41+AJ45</f>
        <v>239219.776202707</v>
      </c>
      <c r="AK56" s="357" t="n">
        <f aca="false">+AK31+AK33+AK35+AK37+AK39+AK54+AK44+AK50+AK41+AK45</f>
        <v>280231.403408828</v>
      </c>
      <c r="AL56" s="357" t="n">
        <f aca="false">+AL31+AL33+AL35+AL37+AL39+AL54+AL44+AL50+AL41+AL45</f>
        <v>248884.255161296</v>
      </c>
    </row>
    <row r="57" s="13" customFormat="true" ht="15" hidden="false" customHeight="false" outlineLevel="1" collapsed="false">
      <c r="B57" s="13" t="str">
        <f aca="false">B56</f>
        <v>Total Project Monitoring Cost</v>
      </c>
      <c r="C57" s="358"/>
      <c r="D57" s="356" t="s">
        <v>112</v>
      </c>
      <c r="E57" s="338" t="n">
        <f aca="false">SUM(H57:AL57)</f>
        <v>5301107.35522789</v>
      </c>
      <c r="F57" s="8"/>
      <c r="G57" s="8"/>
      <c r="H57" s="338" t="n">
        <f aca="false">H56/'1. Project Summary'!$F$16</f>
        <v>4167.04493871993</v>
      </c>
      <c r="I57" s="338" t="n">
        <f aca="false">I56/'1. Project Summary'!$F$16</f>
        <v>66589.3781207444</v>
      </c>
      <c r="J57" s="338" t="n">
        <f aca="false">J56/'1. Project Summary'!$F$16</f>
        <v>60545.6014845211</v>
      </c>
      <c r="K57" s="338" t="n">
        <f aca="false">K56/'1. Project Summary'!$F$16</f>
        <v>91926.7623524459</v>
      </c>
      <c r="L57" s="338" t="n">
        <f aca="false">L56/'1. Project Summary'!$F$16</f>
        <v>84992.9922218773</v>
      </c>
      <c r="M57" s="338" t="n">
        <f aca="false">M56/'1. Project Summary'!$F$16</f>
        <v>119898.3567643</v>
      </c>
      <c r="N57" s="338" t="n">
        <f aca="false">N56/'1. Project Summary'!$F$16</f>
        <v>114452.432830458</v>
      </c>
      <c r="O57" s="338" t="n">
        <f aca="false">O56/'1. Project Summary'!$F$16</f>
        <v>170434.987765083</v>
      </c>
      <c r="P57" s="338" t="n">
        <f aca="false">P56/'1. Project Summary'!$F$16</f>
        <v>146153.474078027</v>
      </c>
      <c r="Q57" s="338" t="n">
        <f aca="false">Q56/'1. Project Summary'!$F$16</f>
        <v>171209.896623496</v>
      </c>
      <c r="R57" s="338" t="n">
        <f aca="false">R56/'1. Project Summary'!$F$16</f>
        <v>152058.074430779</v>
      </c>
      <c r="S57" s="338" t="n">
        <f aca="false">S56/'1. Project Summary'!$F$16</f>
        <v>178126.776447085</v>
      </c>
      <c r="T57" s="338" t="n">
        <f aca="false">T56/'1. Project Summary'!$F$16</f>
        <v>158201.220637783</v>
      </c>
      <c r="U57" s="338" t="n">
        <f aca="false">U56/'1. Project Summary'!$F$16</f>
        <v>206885.166064056</v>
      </c>
      <c r="V57" s="338" t="n">
        <f aca="false">V56/'1. Project Summary'!$F$16</f>
        <v>164592.549951549</v>
      </c>
      <c r="W57" s="338" t="n">
        <f aca="false">W56/'1. Project Summary'!$F$16</f>
        <v>192810.151383456</v>
      </c>
      <c r="X57" s="338" t="n">
        <f aca="false">X56/'1. Project Summary'!$F$16</f>
        <v>171242.088969592</v>
      </c>
      <c r="Y57" s="338" t="n">
        <f aca="false">Y56/'1. Project Summary'!$F$16</f>
        <v>200599.681499347</v>
      </c>
      <c r="Z57" s="338" t="n">
        <f aca="false">Z56/'1. Project Summary'!$F$16</f>
        <v>178160.269363963</v>
      </c>
      <c r="AA57" s="338" t="n">
        <f aca="false">AA56/'1. Project Summary'!$F$16</f>
        <v>232986.299124531</v>
      </c>
      <c r="AB57" s="338" t="n">
        <f aca="false">AB56/'1. Project Summary'!$F$16</f>
        <v>185357.944246268</v>
      </c>
      <c r="AC57" s="338" t="n">
        <f aca="false">AC56/'1. Project Summary'!$F$16</f>
        <v>217135.54654065</v>
      </c>
      <c r="AD57" s="338" t="n">
        <f aca="false">AD56/'1. Project Summary'!$F$16</f>
        <v>192846.405193817</v>
      </c>
      <c r="AE57" s="338" t="n">
        <f aca="false">AE56/'1. Project Summary'!$F$16</f>
        <v>225907.822620893</v>
      </c>
      <c r="AF57" s="338" t="n">
        <f aca="false">AF56/'1. Project Summary'!$F$16</f>
        <v>200637.399963647</v>
      </c>
      <c r="AG57" s="338" t="n">
        <f aca="false">AG56/'1. Project Summary'!$F$16</f>
        <v>262380.414277448</v>
      </c>
      <c r="AH57" s="338" t="n">
        <f aca="false">AH56/'1. Project Summary'!$F$16</f>
        <v>208743.150922178</v>
      </c>
      <c r="AI57" s="338" t="n">
        <f aca="false">AI56/'1. Project Summary'!$F$16</f>
        <v>244529.89240043</v>
      </c>
      <c r="AJ57" s="338" t="n">
        <f aca="false">AJ56/'1. Project Summary'!$F$16</f>
        <v>217176.374219434</v>
      </c>
      <c r="AK57" s="338" t="n">
        <f aca="false">AK56/'1. Project Summary'!$F$16</f>
        <v>254408.900053407</v>
      </c>
      <c r="AL57" s="338" t="n">
        <f aca="false">AL56/'1. Project Summary'!$F$16</f>
        <v>225950.299737899</v>
      </c>
    </row>
    <row r="88" customFormat="false" ht="15" hidden="false" customHeight="false" outlineLevel="0" collapsed="false">
      <c r="N88" s="0" t="n">
        <f aca="false">$F88*N$5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162"/>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3" ySplit="6" topLeftCell="E7" activePane="bottomRight" state="frozen"/>
      <selection pane="topLeft" activeCell="A1" activeCellId="0" sqref="A1"/>
      <selection pane="topRight" activeCell="E1" activeCellId="0" sqref="E1"/>
      <selection pane="bottomLeft" activeCell="A7" activeCellId="0" sqref="A7"/>
      <selection pane="bottomRight" activeCell="H15" activeCellId="0" sqref="H15"/>
    </sheetView>
  </sheetViews>
  <sheetFormatPr defaultColWidth="8.83203125" defaultRowHeight="15" zeroHeight="false" outlineLevelRow="1" outlineLevelCol="1"/>
  <cols>
    <col collapsed="false" customWidth="true" hidden="false" outlineLevel="0" max="2" min="1" style="0" width="3"/>
    <col collapsed="false" customWidth="true" hidden="false" outlineLevel="0" max="3" min="3" style="0" width="44.83"/>
    <col collapsed="false" customWidth="true" hidden="false" outlineLevel="1" max="4" min="4" style="0" width="28.5"/>
    <col collapsed="false" customWidth="true" hidden="false" outlineLevel="1" max="5" min="5" style="0" width="17.83"/>
    <col collapsed="false" customWidth="true" hidden="false" outlineLevel="1" max="6" min="6" style="0" width="13.67"/>
    <col collapsed="false" customWidth="true" hidden="false" outlineLevel="0" max="7" min="7" style="151" width="12"/>
    <col collapsed="false" customWidth="true" hidden="false" outlineLevel="0" max="11" min="8" style="0" width="12.5"/>
    <col collapsed="false" customWidth="true" hidden="false" outlineLevel="0" max="12" min="12" style="0" width="12.33"/>
    <col collapsed="false" customWidth="true" hidden="false" outlineLevel="0" max="17" min="13" style="0" width="13.16"/>
    <col collapsed="false" customWidth="true" hidden="false" outlineLevel="1" max="19" min="18" style="0" width="11.67"/>
    <col collapsed="false" customWidth="true" hidden="false" outlineLevel="1" max="34" min="20" style="0" width="9.51"/>
    <col collapsed="false" customWidth="true" hidden="false" outlineLevel="1" max="36" min="35" style="0" width="11.33"/>
    <col collapsed="false" customWidth="true" hidden="false" outlineLevel="0" max="37" min="37" style="0" width="13.16"/>
    <col collapsed="false" customWidth="true" hidden="false" outlineLevel="0" max="38" min="38" style="0" width="11.67"/>
    <col collapsed="false" customWidth="true" hidden="false" outlineLevel="0" max="40" min="40" style="0" width="10.66"/>
  </cols>
  <sheetData>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557</v>
      </c>
      <c r="C5" s="6"/>
      <c r="D5" s="97"/>
      <c r="E5" s="6"/>
      <c r="F5" s="6"/>
      <c r="G5" s="152" t="s">
        <v>87</v>
      </c>
      <c r="H5" s="6" t="n">
        <f aca="false">'2. NPV'!H47</f>
        <v>2024</v>
      </c>
      <c r="I5" s="6" t="n">
        <f aca="false">'2. NPV'!I47</f>
        <v>2025</v>
      </c>
      <c r="J5" s="6" t="n">
        <f aca="false">'2. NPV'!J47</f>
        <v>2026</v>
      </c>
      <c r="K5" s="6" t="n">
        <f aca="false">'2. NPV'!K47</f>
        <v>2027</v>
      </c>
      <c r="L5" s="6" t="n">
        <f aca="false">'2. NPV'!L47</f>
        <v>2028</v>
      </c>
      <c r="M5" s="6" t="n">
        <f aca="false">'2. NPV'!M47</f>
        <v>2029</v>
      </c>
      <c r="N5" s="6" t="n">
        <f aca="false">'2. NPV'!N47</f>
        <v>2030</v>
      </c>
      <c r="O5" s="6" t="n">
        <f aca="false">'2. NPV'!O47</f>
        <v>2031</v>
      </c>
      <c r="P5" s="6" t="n">
        <f aca="false">'2. NPV'!P47</f>
        <v>2032</v>
      </c>
      <c r="Q5" s="6" t="n">
        <f aca="false">'2. NPV'!Q47</f>
        <v>2033</v>
      </c>
      <c r="R5" s="6" t="n">
        <f aca="false">'2. NPV'!R47</f>
        <v>2034</v>
      </c>
      <c r="S5" s="6" t="n">
        <f aca="false">'2. NPV'!S47</f>
        <v>2035</v>
      </c>
      <c r="T5" s="6" t="n">
        <f aca="false">'2. NPV'!T47</f>
        <v>2036</v>
      </c>
      <c r="U5" s="6" t="n">
        <f aca="false">'2. NPV'!U47</f>
        <v>2037</v>
      </c>
      <c r="V5" s="6" t="n">
        <f aca="false">'2. NPV'!V47</f>
        <v>2038</v>
      </c>
      <c r="W5" s="6" t="n">
        <f aca="false">'2. NPV'!W47</f>
        <v>2039</v>
      </c>
      <c r="X5" s="6" t="n">
        <f aca="false">'2. NPV'!X47</f>
        <v>2040</v>
      </c>
      <c r="Y5" s="6" t="n">
        <f aca="false">'2. NPV'!Y47</f>
        <v>2041</v>
      </c>
      <c r="Z5" s="6" t="n">
        <f aca="false">'2. NPV'!Z47</f>
        <v>2042</v>
      </c>
      <c r="AA5" s="6" t="n">
        <f aca="false">'2. NPV'!AA47</f>
        <v>2043</v>
      </c>
      <c r="AB5" s="6" t="n">
        <f aca="false">'2. NPV'!AB47</f>
        <v>2044</v>
      </c>
      <c r="AC5" s="6" t="n">
        <f aca="false">'2. NPV'!AC47</f>
        <v>2045</v>
      </c>
      <c r="AD5" s="6" t="n">
        <f aca="false">'2. NPV'!AD47</f>
        <v>2046</v>
      </c>
      <c r="AE5" s="6" t="n">
        <f aca="false">'2. NPV'!AE47</f>
        <v>2047</v>
      </c>
      <c r="AF5" s="6" t="n">
        <f aca="false">'2. NPV'!AF47</f>
        <v>2048</v>
      </c>
      <c r="AG5" s="6" t="n">
        <f aca="false">'2. NPV'!AG47</f>
        <v>2049</v>
      </c>
      <c r="AH5" s="6" t="n">
        <f aca="false">'2. NPV'!AH47</f>
        <v>2050</v>
      </c>
      <c r="AI5" s="6" t="n">
        <f aca="false">'2. NPV'!AI47</f>
        <v>2051</v>
      </c>
      <c r="AJ5" s="6" t="n">
        <f aca="false">'2. NPV'!AJ47</f>
        <v>2052</v>
      </c>
      <c r="AK5" s="6" t="n">
        <f aca="false">'2. NPV'!AK47</f>
        <v>2053</v>
      </c>
      <c r="AL5" s="6" t="n">
        <f aca="false">'2. NPV'!AL47</f>
        <v>2054</v>
      </c>
    </row>
    <row r="6" s="1" customFormat="true" ht="15" hidden="false" customHeight="false" outlineLevel="0" collapsed="false">
      <c r="B6" s="6" t="s">
        <v>513</v>
      </c>
      <c r="C6" s="6"/>
      <c r="D6" s="97"/>
      <c r="E6" s="6"/>
      <c r="F6" s="6"/>
      <c r="G6" s="152"/>
      <c r="H6" s="6" t="n">
        <f aca="false">Period_Start</f>
        <v>1</v>
      </c>
      <c r="I6" s="6" t="n">
        <f aca="false">H6+1</f>
        <v>2</v>
      </c>
      <c r="J6" s="6" t="n">
        <f aca="false">I6+1</f>
        <v>3</v>
      </c>
      <c r="K6" s="6" t="n">
        <f aca="false">J6+1</f>
        <v>4</v>
      </c>
      <c r="L6" s="6" t="n">
        <f aca="false">K6+1</f>
        <v>5</v>
      </c>
      <c r="M6" s="6" t="n">
        <f aca="false">L6+1</f>
        <v>6</v>
      </c>
      <c r="N6" s="6" t="n">
        <f aca="false">M6+1</f>
        <v>7</v>
      </c>
      <c r="O6" s="6" t="n">
        <f aca="false">N6+1</f>
        <v>8</v>
      </c>
      <c r="P6" s="6" t="n">
        <f aca="false">O6+1</f>
        <v>9</v>
      </c>
      <c r="Q6" s="6" t="n">
        <f aca="false">P6+1</f>
        <v>10</v>
      </c>
      <c r="R6" s="6" t="n">
        <f aca="false">Q6+1</f>
        <v>11</v>
      </c>
      <c r="S6" s="6" t="n">
        <f aca="false">R6+1</f>
        <v>12</v>
      </c>
      <c r="T6" s="6" t="n">
        <f aca="false">S6+1</f>
        <v>13</v>
      </c>
      <c r="U6" s="6" t="n">
        <f aca="false">T6+1</f>
        <v>14</v>
      </c>
      <c r="V6" s="6" t="n">
        <f aca="false">U6+1</f>
        <v>15</v>
      </c>
      <c r="W6" s="6" t="n">
        <f aca="false">V6+1</f>
        <v>16</v>
      </c>
      <c r="X6" s="6" t="n">
        <f aca="false">W6+1</f>
        <v>17</v>
      </c>
      <c r="Y6" s="6" t="n">
        <f aca="false">X6+1</f>
        <v>18</v>
      </c>
      <c r="Z6" s="6" t="n">
        <f aca="false">Y6+1</f>
        <v>19</v>
      </c>
      <c r="AA6" s="6" t="n">
        <f aca="false">Z6+1</f>
        <v>20</v>
      </c>
      <c r="AB6" s="6" t="n">
        <f aca="false">AA6+1</f>
        <v>21</v>
      </c>
      <c r="AC6" s="6" t="n">
        <f aca="false">AB6+1</f>
        <v>22</v>
      </c>
      <c r="AD6" s="6" t="n">
        <f aca="false">AC6+1</f>
        <v>23</v>
      </c>
      <c r="AE6" s="6" t="n">
        <f aca="false">AD6+1</f>
        <v>24</v>
      </c>
      <c r="AF6" s="6" t="n">
        <f aca="false">AE6+1</f>
        <v>25</v>
      </c>
      <c r="AG6" s="6" t="n">
        <f aca="false">AF6+1</f>
        <v>26</v>
      </c>
      <c r="AH6" s="6" t="n">
        <f aca="false">AG6+1</f>
        <v>27</v>
      </c>
      <c r="AI6" s="6" t="n">
        <f aca="false">AH6+1</f>
        <v>28</v>
      </c>
      <c r="AJ6" s="6" t="n">
        <f aca="false">AI6+1</f>
        <v>29</v>
      </c>
      <c r="AK6" s="6" t="n">
        <f aca="false">AJ6+1</f>
        <v>30</v>
      </c>
      <c r="AL6" s="6" t="n">
        <f aca="false">AK6+1</f>
        <v>31</v>
      </c>
    </row>
    <row r="7" s="162" customFormat="true" ht="15" hidden="false" customHeight="false" outlineLevel="0" collapsed="false">
      <c r="A7" s="0"/>
      <c r="B7" s="269"/>
      <c r="C7" s="269"/>
      <c r="D7" s="318"/>
      <c r="E7" s="269"/>
      <c r="F7" s="269"/>
      <c r="G7" s="35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XEQ7" s="0"/>
      <c r="XER7" s="0"/>
      <c r="XES7" s="0"/>
      <c r="XET7" s="0"/>
      <c r="XEU7" s="0"/>
      <c r="XEV7" s="0"/>
      <c r="XEW7" s="0"/>
      <c r="XEX7" s="0"/>
      <c r="XEY7" s="0"/>
      <c r="XEZ7" s="0"/>
      <c r="XFA7" s="0"/>
      <c r="XFB7" s="0"/>
      <c r="XFC7" s="0"/>
      <c r="XFD7" s="0"/>
    </row>
    <row r="8" s="162" customFormat="true" ht="15" hidden="false" customHeight="false" outlineLevel="0" collapsed="false">
      <c r="A8" s="0"/>
      <c r="B8" s="162" t="s">
        <v>559</v>
      </c>
      <c r="C8" s="269"/>
      <c r="D8" s="318"/>
      <c r="E8" s="124" t="n">
        <f aca="false">'1. Project Summary'!F15</f>
        <v>0.02</v>
      </c>
      <c r="F8" s="269"/>
      <c r="G8" s="340" t="s">
        <v>577</v>
      </c>
      <c r="H8" s="360" t="n">
        <f aca="false">(1+$E8)^H$6</f>
        <v>1.02</v>
      </c>
      <c r="I8" s="360" t="n">
        <f aca="false">(1+$E8)^I$6</f>
        <v>1.0404</v>
      </c>
      <c r="J8" s="360" t="n">
        <f aca="false">(1+$E8)^J$6</f>
        <v>1.061208</v>
      </c>
      <c r="K8" s="360" t="n">
        <f aca="false">(1+$E8)^K$6</f>
        <v>1.08243216</v>
      </c>
      <c r="L8" s="360" t="n">
        <f aca="false">(1+$E8)^L$6</f>
        <v>1.1040808032</v>
      </c>
      <c r="M8" s="360" t="n">
        <f aca="false">(1+$E8)^M$6</f>
        <v>1.126162419264</v>
      </c>
      <c r="N8" s="360" t="n">
        <f aca="false">(1+$E8)^N$6</f>
        <v>1.14868566764928</v>
      </c>
      <c r="O8" s="360" t="n">
        <f aca="false">(1+$E8)^O$6</f>
        <v>1.17165938100227</v>
      </c>
      <c r="P8" s="360" t="n">
        <f aca="false">(1+$E8)^P$6</f>
        <v>1.19509256862231</v>
      </c>
      <c r="Q8" s="360" t="n">
        <f aca="false">(1+$E8)^Q$6</f>
        <v>1.21899441999476</v>
      </c>
      <c r="R8" s="360" t="n">
        <f aca="false">(1+$E8)^R$6</f>
        <v>1.24337430839465</v>
      </c>
      <c r="S8" s="360" t="n">
        <f aca="false">(1+$E8)^S$6</f>
        <v>1.26824179456255</v>
      </c>
      <c r="T8" s="360" t="n">
        <f aca="false">(1+$E8)^T$6</f>
        <v>1.2936066304538</v>
      </c>
      <c r="U8" s="360" t="n">
        <f aca="false">(1+$E8)^U$6</f>
        <v>1.31947876306287</v>
      </c>
      <c r="V8" s="360" t="n">
        <f aca="false">(1+$E8)^V$6</f>
        <v>1.34586833832413</v>
      </c>
      <c r="W8" s="360" t="n">
        <f aca="false">(1+$E8)^W$6</f>
        <v>1.37278570509061</v>
      </c>
      <c r="X8" s="360" t="n">
        <f aca="false">(1+$E8)^X$6</f>
        <v>1.40024141919242</v>
      </c>
      <c r="Y8" s="360" t="n">
        <f aca="false">(1+$E8)^Y$6</f>
        <v>1.42824624757627</v>
      </c>
      <c r="Z8" s="360" t="n">
        <f aca="false">(1+$E8)^Z$6</f>
        <v>1.4568111725278</v>
      </c>
      <c r="AA8" s="360" t="n">
        <f aca="false">(1+$E8)^AA$6</f>
        <v>1.48594739597836</v>
      </c>
      <c r="AB8" s="360" t="n">
        <f aca="false">(1+$E8)^AB$6</f>
        <v>1.51566634389792</v>
      </c>
      <c r="AC8" s="360" t="n">
        <f aca="false">(1+$E8)^AC$6</f>
        <v>1.54597967077588</v>
      </c>
      <c r="AD8" s="360" t="n">
        <f aca="false">(1+$E8)^AD$6</f>
        <v>1.5768992641914</v>
      </c>
      <c r="AE8" s="360" t="n">
        <f aca="false">(1+$E8)^AE$6</f>
        <v>1.60843724947523</v>
      </c>
      <c r="AF8" s="360" t="n">
        <f aca="false">(1+$E8)^AF$6</f>
        <v>1.64060599446473</v>
      </c>
      <c r="AG8" s="360" t="n">
        <f aca="false">(1+$E8)^AG$6</f>
        <v>1.67341811435403</v>
      </c>
      <c r="AH8" s="360" t="n">
        <f aca="false">(1+$E8)^AH$6</f>
        <v>1.70688647664111</v>
      </c>
      <c r="AI8" s="360" t="n">
        <f aca="false">(1+$E8)^AI$6</f>
        <v>1.74102420617393</v>
      </c>
      <c r="AJ8" s="360" t="n">
        <f aca="false">(1+$E8)^AJ$6</f>
        <v>1.77584469029741</v>
      </c>
      <c r="AK8" s="360" t="n">
        <f aca="false">(1+$E8)^AK$6</f>
        <v>1.81136158410335</v>
      </c>
      <c r="AL8" s="360" t="n">
        <f aca="false">(1+$E8)^AL$6</f>
        <v>1.84758881578542</v>
      </c>
      <c r="XEQ8" s="0"/>
      <c r="XER8" s="0"/>
      <c r="XES8" s="0"/>
      <c r="XET8" s="0"/>
      <c r="XEU8" s="0"/>
      <c r="XEV8" s="0"/>
      <c r="XEW8" s="0"/>
      <c r="XEX8" s="0"/>
      <c r="XEY8" s="0"/>
      <c r="XEZ8" s="0"/>
      <c r="XFA8" s="0"/>
      <c r="XFB8" s="0"/>
      <c r="XFC8" s="0"/>
      <c r="XFD8" s="0"/>
    </row>
    <row r="9" customFormat="false" ht="15" hidden="false" customHeight="false" outlineLevel="0" collapsed="false">
      <c r="B9" s="317"/>
      <c r="C9" s="317"/>
      <c r="D9" s="361"/>
      <c r="E9" s="317"/>
      <c r="F9" s="317"/>
      <c r="G9" s="362"/>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row>
    <row r="10" customFormat="false" ht="15" hidden="false" customHeight="false" outlineLevel="0" collapsed="false">
      <c r="B10" s="363" t="s">
        <v>578</v>
      </c>
      <c r="C10" s="363"/>
      <c r="D10" s="364"/>
      <c r="E10" s="363"/>
      <c r="F10" s="363"/>
      <c r="G10" s="365"/>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row>
    <row r="11" customFormat="false" ht="15" hidden="false" customHeight="false" outlineLevel="1" collapsed="false">
      <c r="B11" s="13"/>
      <c r="C11" s="13"/>
      <c r="D11" s="366"/>
      <c r="E11" s="13"/>
      <c r="F11" s="13"/>
      <c r="G11" s="367"/>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row>
    <row r="12" customFormat="false" ht="15" hidden="false" customHeight="false" outlineLevel="1" collapsed="false">
      <c r="B12" s="56"/>
      <c r="C12" s="368" t="s">
        <v>579</v>
      </c>
      <c r="D12" s="56"/>
      <c r="E12" s="56"/>
      <c r="F12" s="56"/>
      <c r="G12" s="208" t="s">
        <v>278</v>
      </c>
      <c r="H12" s="369" t="n">
        <f aca="false">'3. Assumptions'!E53</f>
        <v>1000000</v>
      </c>
      <c r="I12" s="369" t="n">
        <f aca="false">'3. Assumptions'!F53</f>
        <v>1600000</v>
      </c>
      <c r="J12" s="369" t="n">
        <f aca="false">'3. Assumptions'!G53</f>
        <v>1600000</v>
      </c>
      <c r="K12" s="369" t="n">
        <f aca="false">'3. Assumptions'!H53</f>
        <v>1600000</v>
      </c>
      <c r="L12" s="369" t="n">
        <f aca="false">'3. Assumptions'!I53</f>
        <v>1600000</v>
      </c>
      <c r="M12" s="369" t="n">
        <f aca="false">'3. Assumptions'!J53</f>
        <v>1600000</v>
      </c>
      <c r="N12" s="369" t="n">
        <f aca="false">'3. Assumptions'!K53</f>
        <v>1600000</v>
      </c>
      <c r="O12" s="369" t="n">
        <f aca="false">'3. Assumptions'!L53</f>
        <v>1600000</v>
      </c>
      <c r="P12" s="369" t="n">
        <f aca="false">'3. Assumptions'!M53</f>
        <v>0</v>
      </c>
      <c r="Q12" s="369" t="n">
        <f aca="false">'3. Assumptions'!N53</f>
        <v>0</v>
      </c>
      <c r="R12" s="369" t="n">
        <f aca="false">'3. Assumptions'!O53</f>
        <v>0</v>
      </c>
      <c r="S12" s="369" t="n">
        <f aca="false">'3. Assumptions'!P53</f>
        <v>0</v>
      </c>
      <c r="T12" s="369" t="n">
        <f aca="false">'3. Assumptions'!Q53</f>
        <v>0</v>
      </c>
      <c r="U12" s="369" t="n">
        <f aca="false">'3. Assumptions'!R53</f>
        <v>0</v>
      </c>
      <c r="V12" s="369" t="n">
        <f aca="false">'3. Assumptions'!S53</f>
        <v>0</v>
      </c>
      <c r="W12" s="369" t="n">
        <f aca="false">'3. Assumptions'!T53</f>
        <v>0</v>
      </c>
      <c r="X12" s="369" t="n">
        <f aca="false">'3. Assumptions'!U53</f>
        <v>0</v>
      </c>
      <c r="Y12" s="369" t="n">
        <f aca="false">'3. Assumptions'!V53</f>
        <v>0</v>
      </c>
      <c r="Z12" s="369" t="n">
        <f aca="false">'3. Assumptions'!W53</f>
        <v>0</v>
      </c>
      <c r="AA12" s="369" t="n">
        <f aca="false">'3. Assumptions'!X53</f>
        <v>0</v>
      </c>
      <c r="AB12" s="369" t="n">
        <f aca="false">'3. Assumptions'!Y53</f>
        <v>0</v>
      </c>
      <c r="AC12" s="369" t="n">
        <f aca="false">'3. Assumptions'!Z53</f>
        <v>0</v>
      </c>
      <c r="AD12" s="369" t="n">
        <f aca="false">'3. Assumptions'!AA53</f>
        <v>0</v>
      </c>
      <c r="AE12" s="369" t="n">
        <f aca="false">'3. Assumptions'!AB53</f>
        <v>0</v>
      </c>
      <c r="AF12" s="369" t="n">
        <f aca="false">'3. Assumptions'!AC53</f>
        <v>0</v>
      </c>
      <c r="AG12" s="369" t="n">
        <f aca="false">'3. Assumptions'!AD53</f>
        <v>0</v>
      </c>
      <c r="AH12" s="369" t="n">
        <f aca="false">'3. Assumptions'!AE53</f>
        <v>0</v>
      </c>
      <c r="AI12" s="369" t="n">
        <f aca="false">'3. Assumptions'!AF53</f>
        <v>0</v>
      </c>
      <c r="AJ12" s="369" t="n">
        <f aca="false">'3. Assumptions'!AG53</f>
        <v>0</v>
      </c>
      <c r="AK12" s="369" t="n">
        <f aca="false">'3. Assumptions'!AH53</f>
        <v>0</v>
      </c>
      <c r="AL12" s="369" t="n">
        <f aca="false">'3. Assumptions'!AI53</f>
        <v>0</v>
      </c>
    </row>
    <row r="13" customFormat="false" ht="15" hidden="false" customHeight="false" outlineLevel="1" collapsed="false">
      <c r="B13" s="13" t="s">
        <v>279</v>
      </c>
      <c r="C13" s="370"/>
      <c r="D13" s="366"/>
      <c r="E13" s="371"/>
      <c r="F13" s="13"/>
      <c r="G13" s="366" t="s">
        <v>278</v>
      </c>
      <c r="H13" s="193" t="n">
        <f aca="false">SUM($H$12:H12)</f>
        <v>1000000</v>
      </c>
      <c r="I13" s="193" t="n">
        <f aca="false">SUM($H$12:I12)</f>
        <v>2600000</v>
      </c>
      <c r="J13" s="193" t="n">
        <f aca="false">SUM($H$12:J12)</f>
        <v>4200000</v>
      </c>
      <c r="K13" s="193" t="n">
        <f aca="false">SUM($H$12:K12)</f>
        <v>5800000</v>
      </c>
      <c r="L13" s="193" t="n">
        <f aca="false">SUM($H$12:L12)</f>
        <v>7400000</v>
      </c>
      <c r="M13" s="193" t="n">
        <f aca="false">SUM($H$12:M12)</f>
        <v>9000000</v>
      </c>
      <c r="N13" s="193" t="n">
        <f aca="false">SUM($H$12:N12)</f>
        <v>10600000</v>
      </c>
      <c r="O13" s="193" t="n">
        <f aca="false">SUM($H$12:O12)</f>
        <v>12200000</v>
      </c>
      <c r="P13" s="193" t="n">
        <f aca="false">SUM($H$12:P12)</f>
        <v>12200000</v>
      </c>
      <c r="Q13" s="193" t="n">
        <f aca="false">SUM($H$12:Q12)</f>
        <v>12200000</v>
      </c>
      <c r="R13" s="193" t="n">
        <f aca="false">SUM($H$12:R12)</f>
        <v>12200000</v>
      </c>
      <c r="S13" s="193" t="n">
        <f aca="false">SUM($H$12:S12)</f>
        <v>12200000</v>
      </c>
      <c r="T13" s="193" t="n">
        <f aca="false">SUM($H$12:T12)</f>
        <v>12200000</v>
      </c>
      <c r="U13" s="193" t="n">
        <f aca="false">SUM($H$12:U12)</f>
        <v>12200000</v>
      </c>
      <c r="V13" s="193" t="n">
        <f aca="false">SUM($H$12:V12)</f>
        <v>12200000</v>
      </c>
      <c r="W13" s="193" t="n">
        <f aca="false">SUM($H$12:W12)</f>
        <v>12200000</v>
      </c>
      <c r="X13" s="193" t="n">
        <f aca="false">SUM($H$12:X12)</f>
        <v>12200000</v>
      </c>
      <c r="Y13" s="193" t="n">
        <f aca="false">SUM($H$12:Y12)</f>
        <v>12200000</v>
      </c>
      <c r="Z13" s="193" t="n">
        <f aca="false">SUM($H$12:Z12)</f>
        <v>12200000</v>
      </c>
      <c r="AA13" s="193" t="n">
        <f aca="false">SUM($H$12:AA12)</f>
        <v>12200000</v>
      </c>
      <c r="AB13" s="193" t="n">
        <f aca="false">SUM($H$12:AB12)</f>
        <v>12200000</v>
      </c>
      <c r="AC13" s="193" t="n">
        <f aca="false">SUM($H$12:AC12)</f>
        <v>12200000</v>
      </c>
      <c r="AD13" s="193" t="n">
        <f aca="false">SUM($H$12:AD12)</f>
        <v>12200000</v>
      </c>
      <c r="AE13" s="193" t="n">
        <f aca="false">SUM($H$12:AE12)</f>
        <v>12200000</v>
      </c>
      <c r="AF13" s="193" t="n">
        <f aca="false">SUM($H$12:AF12)</f>
        <v>12200000</v>
      </c>
      <c r="AG13" s="193" t="n">
        <f aca="false">SUM($H$12:AG12)</f>
        <v>12200000</v>
      </c>
      <c r="AH13" s="193" t="n">
        <f aca="false">SUM($H$12:AH12)</f>
        <v>12200000</v>
      </c>
      <c r="AI13" s="193" t="n">
        <f aca="false">SUM($H$12:AI12)</f>
        <v>12200000</v>
      </c>
      <c r="AJ13" s="193" t="n">
        <f aca="false">SUM($H$12:AJ12)</f>
        <v>12200000</v>
      </c>
      <c r="AK13" s="193" t="n">
        <f aca="false">SUM($H$12:AK12)</f>
        <v>12200000</v>
      </c>
      <c r="AL13" s="193" t="n">
        <f aca="false">SUM($H$12:AL12)</f>
        <v>12200000</v>
      </c>
    </row>
    <row r="14" customFormat="false" ht="15" hidden="false" customHeight="false" outlineLevel="1" collapsed="false">
      <c r="C14" s="370"/>
      <c r="D14" s="30"/>
      <c r="E14" s="162"/>
      <c r="G14" s="30"/>
      <c r="H14" s="202"/>
      <c r="I14" s="202"/>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row>
    <row r="15" customFormat="false" ht="15" hidden="false" customHeight="false" outlineLevel="1" collapsed="false">
      <c r="B15" s="56"/>
      <c r="C15" s="368" t="s">
        <v>314</v>
      </c>
      <c r="D15" s="56"/>
      <c r="E15" s="56"/>
      <c r="F15" s="56"/>
      <c r="G15" s="208" t="s">
        <v>580</v>
      </c>
      <c r="H15" s="369" t="n">
        <f aca="false">'3. Assumptions'!E80</f>
        <v>1</v>
      </c>
      <c r="I15" s="369" t="n">
        <f aca="false">'3. Assumptions'!F80</f>
        <v>1</v>
      </c>
      <c r="J15" s="369" t="n">
        <f aca="false">'3. Assumptions'!G80</f>
        <v>0</v>
      </c>
      <c r="K15" s="369" t="n">
        <f aca="false">'3. Assumptions'!H80</f>
        <v>0</v>
      </c>
      <c r="L15" s="369" t="n">
        <f aca="false">'3. Assumptions'!I80</f>
        <v>0</v>
      </c>
      <c r="M15" s="369" t="n">
        <f aca="false">'3. Assumptions'!J80</f>
        <v>0</v>
      </c>
      <c r="N15" s="369" t="n">
        <f aca="false">'3. Assumptions'!K80</f>
        <v>0</v>
      </c>
      <c r="O15" s="369" t="n">
        <f aca="false">'3. Assumptions'!L80</f>
        <v>0</v>
      </c>
      <c r="P15" s="369" t="n">
        <f aca="false">'3. Assumptions'!M80</f>
        <v>0</v>
      </c>
      <c r="Q15" s="369" t="n">
        <f aca="false">'3. Assumptions'!N80</f>
        <v>0</v>
      </c>
      <c r="R15" s="369" t="n">
        <f aca="false">'3. Assumptions'!O80</f>
        <v>0</v>
      </c>
      <c r="S15" s="369" t="n">
        <f aca="false">'3. Assumptions'!P80</f>
        <v>0</v>
      </c>
      <c r="T15" s="369" t="n">
        <f aca="false">'3. Assumptions'!Q80</f>
        <v>0</v>
      </c>
      <c r="U15" s="369" t="n">
        <f aca="false">'3. Assumptions'!R80</f>
        <v>0</v>
      </c>
      <c r="V15" s="369" t="n">
        <f aca="false">'3. Assumptions'!S80</f>
        <v>0</v>
      </c>
      <c r="W15" s="369" t="n">
        <f aca="false">'3. Assumptions'!T80</f>
        <v>0</v>
      </c>
      <c r="X15" s="369" t="n">
        <f aca="false">'3. Assumptions'!U80</f>
        <v>0</v>
      </c>
      <c r="Y15" s="369" t="n">
        <f aca="false">'3. Assumptions'!V80</f>
        <v>0</v>
      </c>
      <c r="Z15" s="369" t="n">
        <f aca="false">'3. Assumptions'!W80</f>
        <v>0</v>
      </c>
      <c r="AA15" s="369" t="n">
        <f aca="false">'3. Assumptions'!X80</f>
        <v>0</v>
      </c>
      <c r="AB15" s="369" t="n">
        <f aca="false">'3. Assumptions'!Y80</f>
        <v>0</v>
      </c>
      <c r="AC15" s="369" t="n">
        <f aca="false">'3. Assumptions'!Z80</f>
        <v>0</v>
      </c>
      <c r="AD15" s="369" t="n">
        <f aca="false">'3. Assumptions'!AA80</f>
        <v>0</v>
      </c>
      <c r="AE15" s="369" t="n">
        <f aca="false">'3. Assumptions'!AB80</f>
        <v>0</v>
      </c>
      <c r="AF15" s="369" t="n">
        <f aca="false">'3. Assumptions'!AC80</f>
        <v>0</v>
      </c>
      <c r="AG15" s="369" t="n">
        <f aca="false">'3. Assumptions'!AD80</f>
        <v>0</v>
      </c>
      <c r="AH15" s="369" t="n">
        <f aca="false">'3. Assumptions'!AE80</f>
        <v>0</v>
      </c>
      <c r="AI15" s="369" t="n">
        <f aca="false">'3. Assumptions'!AF80</f>
        <v>0</v>
      </c>
      <c r="AJ15" s="369" t="n">
        <f aca="false">'3. Assumptions'!AG80</f>
        <v>0</v>
      </c>
      <c r="AK15" s="369" t="n">
        <f aca="false">'3. Assumptions'!AH80</f>
        <v>0</v>
      </c>
      <c r="AL15" s="369" t="n">
        <f aca="false">'3. Assumptions'!AI80</f>
        <v>0</v>
      </c>
    </row>
    <row r="16" customFormat="false" ht="15" hidden="false" customHeight="false" outlineLevel="1" collapsed="false">
      <c r="B16" s="13" t="s">
        <v>581</v>
      </c>
      <c r="C16" s="370"/>
      <c r="D16" s="366"/>
      <c r="E16" s="371"/>
      <c r="F16" s="13"/>
      <c r="G16" s="366" t="s">
        <v>580</v>
      </c>
      <c r="H16" s="193" t="n">
        <f aca="false">SUM($H$15:H15)</f>
        <v>1</v>
      </c>
      <c r="I16" s="193" t="n">
        <f aca="false">SUM($H$15:I15)</f>
        <v>2</v>
      </c>
      <c r="J16" s="193" t="n">
        <f aca="false">SUM($H$15:J15)</f>
        <v>2</v>
      </c>
      <c r="K16" s="193" t="n">
        <f aca="false">SUM($H$15:K15)</f>
        <v>2</v>
      </c>
      <c r="L16" s="193" t="n">
        <f aca="false">SUM($H$15:L15)</f>
        <v>2</v>
      </c>
      <c r="M16" s="193" t="n">
        <f aca="false">SUM($H$15:M15)</f>
        <v>2</v>
      </c>
      <c r="N16" s="193" t="n">
        <f aca="false">SUM($H$15:N15)</f>
        <v>2</v>
      </c>
      <c r="O16" s="193" t="n">
        <f aca="false">SUM($H$15:O15)</f>
        <v>2</v>
      </c>
      <c r="P16" s="193" t="n">
        <f aca="false">SUM($H$15:P15)</f>
        <v>2</v>
      </c>
      <c r="Q16" s="193" t="n">
        <f aca="false">SUM($H$15:Q15)</f>
        <v>2</v>
      </c>
      <c r="R16" s="193" t="n">
        <f aca="false">SUM($H$15:R15)</f>
        <v>2</v>
      </c>
      <c r="S16" s="193" t="n">
        <f aca="false">SUM($H$15:S15)</f>
        <v>2</v>
      </c>
      <c r="T16" s="193" t="n">
        <f aca="false">SUM($H$15:T15)</f>
        <v>2</v>
      </c>
      <c r="U16" s="193" t="n">
        <f aca="false">SUM($H$15:U15)</f>
        <v>2</v>
      </c>
      <c r="V16" s="193" t="n">
        <f aca="false">SUM($H$15:V15)</f>
        <v>2</v>
      </c>
      <c r="W16" s="193" t="n">
        <f aca="false">SUM($H$15:W15)</f>
        <v>2</v>
      </c>
      <c r="X16" s="193" t="n">
        <f aca="false">SUM($H$15:X15)</f>
        <v>2</v>
      </c>
      <c r="Y16" s="193" t="n">
        <f aca="false">SUM($H$15:Y15)</f>
        <v>2</v>
      </c>
      <c r="Z16" s="193" t="n">
        <f aca="false">SUM($H$15:Z15)</f>
        <v>2</v>
      </c>
      <c r="AA16" s="193" t="n">
        <f aca="false">SUM($H$15:AA15)</f>
        <v>2</v>
      </c>
      <c r="AB16" s="193" t="n">
        <f aca="false">SUM($H$15:AB15)</f>
        <v>2</v>
      </c>
      <c r="AC16" s="193" t="n">
        <f aca="false">SUM($H$15:AC15)</f>
        <v>2</v>
      </c>
      <c r="AD16" s="193" t="n">
        <f aca="false">SUM($H$15:AD15)</f>
        <v>2</v>
      </c>
      <c r="AE16" s="193" t="n">
        <f aca="false">SUM($H$15:AE15)</f>
        <v>2</v>
      </c>
      <c r="AF16" s="193" t="n">
        <f aca="false">SUM($H$15:AF15)</f>
        <v>2</v>
      </c>
      <c r="AG16" s="193" t="n">
        <f aca="false">SUM($H$15:AG15)</f>
        <v>2</v>
      </c>
      <c r="AH16" s="193" t="n">
        <f aca="false">SUM($H$15:AH15)</f>
        <v>2</v>
      </c>
      <c r="AI16" s="193" t="n">
        <f aca="false">SUM($H$15:AI15)</f>
        <v>2</v>
      </c>
      <c r="AJ16" s="193" t="n">
        <f aca="false">SUM($H$15:AJ15)</f>
        <v>2</v>
      </c>
      <c r="AK16" s="193" t="n">
        <f aca="false">SUM($H$15:AK15)</f>
        <v>2</v>
      </c>
      <c r="AL16" s="193" t="n">
        <f aca="false">SUM($H$15:AL15)</f>
        <v>2</v>
      </c>
    </row>
    <row r="17" customFormat="false" ht="15" hidden="false" customHeight="false" outlineLevel="1" collapsed="false">
      <c r="C17" s="370"/>
      <c r="D17" s="30"/>
      <c r="E17" s="162"/>
      <c r="G17" s="30"/>
      <c r="H17" s="202"/>
      <c r="I17" s="202"/>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row>
    <row r="18" customFormat="false" ht="15" hidden="false" customHeight="false" outlineLevel="1" collapsed="false">
      <c r="C18" s="14" t="s">
        <v>582</v>
      </c>
      <c r="D18" s="30" t="s">
        <v>583</v>
      </c>
      <c r="E18" s="271" t="n">
        <f aca="false">'3. Assumptions'!E60</f>
        <v>1000000</v>
      </c>
      <c r="G18" s="30" t="s">
        <v>584</v>
      </c>
      <c r="H18" s="236" t="n">
        <f aca="false">$E$18*H16</f>
        <v>1000000</v>
      </c>
      <c r="I18" s="236" t="n">
        <f aca="false">$E$18*I16</f>
        <v>2000000</v>
      </c>
      <c r="J18" s="236" t="n">
        <f aca="false">$E$18*J16</f>
        <v>2000000</v>
      </c>
      <c r="K18" s="236" t="n">
        <f aca="false">$E$18*K16</f>
        <v>2000000</v>
      </c>
      <c r="L18" s="236" t="n">
        <f aca="false">$E$18*L16</f>
        <v>2000000</v>
      </c>
      <c r="M18" s="236" t="n">
        <f aca="false">$E$18*M16</f>
        <v>2000000</v>
      </c>
      <c r="N18" s="236" t="n">
        <f aca="false">$E$18*N16</f>
        <v>2000000</v>
      </c>
      <c r="O18" s="236" t="n">
        <f aca="false">$E$18*O16</f>
        <v>2000000</v>
      </c>
      <c r="P18" s="236" t="n">
        <f aca="false">$E$18*P16</f>
        <v>2000000</v>
      </c>
      <c r="Q18" s="236" t="n">
        <f aca="false">$E$18*Q16</f>
        <v>2000000</v>
      </c>
      <c r="R18" s="236" t="n">
        <f aca="false">$E$18*R16</f>
        <v>2000000</v>
      </c>
      <c r="S18" s="236" t="n">
        <f aca="false">$E$18*S16</f>
        <v>2000000</v>
      </c>
      <c r="T18" s="236" t="n">
        <f aca="false">$E$18*T16</f>
        <v>2000000</v>
      </c>
      <c r="U18" s="236" t="n">
        <f aca="false">$E$18*U16</f>
        <v>2000000</v>
      </c>
      <c r="V18" s="236" t="n">
        <f aca="false">$E$18*V16</f>
        <v>2000000</v>
      </c>
      <c r="W18" s="236" t="n">
        <f aca="false">$E$18*W16</f>
        <v>2000000</v>
      </c>
      <c r="X18" s="236" t="n">
        <f aca="false">$E$18*X16</f>
        <v>2000000</v>
      </c>
      <c r="Y18" s="236" t="n">
        <f aca="false">$E$18*Y16</f>
        <v>2000000</v>
      </c>
      <c r="Z18" s="236" t="n">
        <f aca="false">$E$18*Z16</f>
        <v>2000000</v>
      </c>
      <c r="AA18" s="236" t="n">
        <f aca="false">$E$18*AA16</f>
        <v>2000000</v>
      </c>
      <c r="AB18" s="236" t="n">
        <f aca="false">$E$18*AB16</f>
        <v>2000000</v>
      </c>
      <c r="AC18" s="236" t="n">
        <f aca="false">$E$18*AC16</f>
        <v>2000000</v>
      </c>
      <c r="AD18" s="236" t="n">
        <f aca="false">$E$18*AD16</f>
        <v>2000000</v>
      </c>
      <c r="AE18" s="236" t="n">
        <f aca="false">$E$18*AE16</f>
        <v>2000000</v>
      </c>
      <c r="AF18" s="236" t="n">
        <f aca="false">$E$18*AF16</f>
        <v>2000000</v>
      </c>
      <c r="AG18" s="236" t="n">
        <f aca="false">$E$18*AG16</f>
        <v>2000000</v>
      </c>
      <c r="AH18" s="236" t="n">
        <f aca="false">$E$18*AH16</f>
        <v>2000000</v>
      </c>
      <c r="AI18" s="236" t="n">
        <f aca="false">$E$18*AI16</f>
        <v>2000000</v>
      </c>
      <c r="AJ18" s="236" t="n">
        <f aca="false">$E$18*AJ16</f>
        <v>2000000</v>
      </c>
      <c r="AK18" s="236" t="n">
        <f aca="false">$E$18*AK16</f>
        <v>2000000</v>
      </c>
      <c r="AL18" s="236" t="n">
        <f aca="false">$E$18*AL16</f>
        <v>2000000</v>
      </c>
    </row>
    <row r="19" customFormat="false" ht="15" hidden="false" customHeight="false" outlineLevel="1" collapsed="false">
      <c r="C19" s="370"/>
      <c r="D19" s="30"/>
      <c r="E19" s="162"/>
      <c r="G19" s="30"/>
      <c r="H19" s="202"/>
      <c r="I19" s="202"/>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row>
    <row r="20" customFormat="false" ht="15" hidden="false" customHeight="false" outlineLevel="1" collapsed="false">
      <c r="B20" s="13" t="s">
        <v>286</v>
      </c>
      <c r="C20" s="370"/>
      <c r="D20" s="30"/>
      <c r="E20" s="13"/>
      <c r="F20" s="13"/>
      <c r="G20" s="366"/>
      <c r="H20" s="193"/>
      <c r="I20" s="193"/>
      <c r="J20" s="193"/>
      <c r="K20" s="193"/>
      <c r="L20" s="193"/>
      <c r="M20" s="193"/>
      <c r="N20" s="193"/>
      <c r="O20" s="193"/>
      <c r="P20" s="193"/>
      <c r="Q20" s="193"/>
      <c r="R20" s="193"/>
      <c r="S20" s="193"/>
      <c r="T20" s="193"/>
      <c r="U20" s="193"/>
      <c r="V20" s="193"/>
      <c r="W20" s="193"/>
      <c r="X20" s="193"/>
      <c r="Y20" s="193"/>
      <c r="Z20" s="193"/>
      <c r="AA20" s="193"/>
      <c r="AB20" s="193"/>
      <c r="AC20" s="193"/>
      <c r="AD20" s="193"/>
      <c r="AE20" s="193"/>
      <c r="AF20" s="193"/>
      <c r="AG20" s="193"/>
      <c r="AH20" s="193"/>
      <c r="AI20" s="193"/>
      <c r="AJ20" s="193"/>
      <c r="AK20" s="193"/>
      <c r="AL20" s="193"/>
    </row>
    <row r="21" customFormat="false" ht="15" hidden="false" customHeight="false" outlineLevel="1" collapsed="false">
      <c r="B21" s="13"/>
      <c r="C21" s="14" t="s">
        <v>292</v>
      </c>
      <c r="D21" s="30" t="s">
        <v>585</v>
      </c>
      <c r="E21" s="271" t="n">
        <f aca="false">'3. Assumptions'!G64</f>
        <v>75000</v>
      </c>
      <c r="F21" s="13"/>
      <c r="G21" s="30" t="s">
        <v>112</v>
      </c>
      <c r="H21" s="236" t="n">
        <f aca="false">$E21*H$15*H$8</f>
        <v>76500</v>
      </c>
      <c r="I21" s="236" t="n">
        <f aca="false">$E21*I$15*I$8</f>
        <v>78030</v>
      </c>
      <c r="J21" s="236" t="n">
        <f aca="false">$E21*J$15*J$8</f>
        <v>0</v>
      </c>
      <c r="K21" s="236" t="n">
        <f aca="false">$E21*K$15*K$8</f>
        <v>0</v>
      </c>
      <c r="L21" s="236" t="n">
        <f aca="false">$E21*L$15*L$8</f>
        <v>0</v>
      </c>
      <c r="M21" s="236" t="n">
        <f aca="false">$E21*M$15*M$8</f>
        <v>0</v>
      </c>
      <c r="N21" s="236" t="n">
        <f aca="false">$E21*N$15*N$8</f>
        <v>0</v>
      </c>
      <c r="O21" s="236" t="n">
        <f aca="false">$E21*O$15*O$8</f>
        <v>0</v>
      </c>
      <c r="P21" s="236" t="n">
        <f aca="false">$E21*P$15*P$8</f>
        <v>0</v>
      </c>
      <c r="Q21" s="236" t="n">
        <f aca="false">$E21*Q$15*Q$8</f>
        <v>0</v>
      </c>
      <c r="R21" s="236" t="n">
        <f aca="false">$E21*R$15*R$8</f>
        <v>0</v>
      </c>
      <c r="S21" s="236" t="n">
        <f aca="false">$E21*S$15*S$8</f>
        <v>0</v>
      </c>
      <c r="T21" s="236" t="n">
        <f aca="false">$E21*T$15*T$8</f>
        <v>0</v>
      </c>
      <c r="U21" s="236" t="n">
        <f aca="false">$E21*U$15*U$8</f>
        <v>0</v>
      </c>
      <c r="V21" s="236" t="n">
        <f aca="false">$E21*V$15*V$8</f>
        <v>0</v>
      </c>
      <c r="W21" s="236" t="n">
        <f aca="false">$E21*W$15*W$8</f>
        <v>0</v>
      </c>
      <c r="X21" s="236" t="n">
        <f aca="false">$E21*X$15*X$8</f>
        <v>0</v>
      </c>
      <c r="Y21" s="236" t="n">
        <f aca="false">$E21*Y$15*Y$8</f>
        <v>0</v>
      </c>
      <c r="Z21" s="236" t="n">
        <f aca="false">$E21*Z$15*Z$8</f>
        <v>0</v>
      </c>
      <c r="AA21" s="236" t="n">
        <f aca="false">$E21*AA$15*AA$8</f>
        <v>0</v>
      </c>
      <c r="AB21" s="236" t="n">
        <f aca="false">$E21*AB$15*AB$8</f>
        <v>0</v>
      </c>
      <c r="AC21" s="236" t="n">
        <f aca="false">$E21*AC$15*AC$8</f>
        <v>0</v>
      </c>
      <c r="AD21" s="236" t="n">
        <f aca="false">$E21*AD$15*AD$8</f>
        <v>0</v>
      </c>
      <c r="AE21" s="236" t="n">
        <f aca="false">$E21*AE$15*AE$8</f>
        <v>0</v>
      </c>
      <c r="AF21" s="236" t="n">
        <f aca="false">$E21*AF$15*AF$8</f>
        <v>0</v>
      </c>
      <c r="AG21" s="236" t="n">
        <f aca="false">$E21*AG$15*AG$8</f>
        <v>0</v>
      </c>
      <c r="AH21" s="236" t="n">
        <f aca="false">$E21*AH$15*AH$8</f>
        <v>0</v>
      </c>
      <c r="AI21" s="236" t="n">
        <f aca="false">$E21*AI$15*AI$8</f>
        <v>0</v>
      </c>
      <c r="AJ21" s="236" t="n">
        <f aca="false">$E21*AJ$15*AJ$8</f>
        <v>0</v>
      </c>
      <c r="AK21" s="236" t="n">
        <f aca="false">$E21*AK$15*AK$8</f>
        <v>0</v>
      </c>
      <c r="AL21" s="236" t="n">
        <f aca="false">$E21*AL$15*AL$8</f>
        <v>0</v>
      </c>
    </row>
    <row r="22" customFormat="false" ht="15" hidden="false" customHeight="false" outlineLevel="1" collapsed="false">
      <c r="B22" s="13"/>
      <c r="C22" s="14" t="s">
        <v>295</v>
      </c>
      <c r="D22" s="30" t="s">
        <v>585</v>
      </c>
      <c r="E22" s="271" t="n">
        <f aca="false">SUM('3. Assumptions'!G65:G67)</f>
        <v>137000</v>
      </c>
      <c r="F22" s="13"/>
      <c r="G22" s="30" t="s">
        <v>112</v>
      </c>
      <c r="H22" s="236" t="n">
        <f aca="false">$E22*H$15*H$8</f>
        <v>139740</v>
      </c>
      <c r="I22" s="236" t="n">
        <f aca="false">$E22*I$15*I$8</f>
        <v>142534.8</v>
      </c>
      <c r="J22" s="236" t="n">
        <f aca="false">$E22*J$15*J$8</f>
        <v>0</v>
      </c>
      <c r="K22" s="236" t="n">
        <f aca="false">$E22*K$15*K$8</f>
        <v>0</v>
      </c>
      <c r="L22" s="236" t="n">
        <f aca="false">$E22*L$15*L$8</f>
        <v>0</v>
      </c>
      <c r="M22" s="236" t="n">
        <f aca="false">$E22*M$15*M$8</f>
        <v>0</v>
      </c>
      <c r="N22" s="236" t="n">
        <f aca="false">$E22*N$15*N$8</f>
        <v>0</v>
      </c>
      <c r="O22" s="236" t="n">
        <f aca="false">$E22*O$15*O$8</f>
        <v>0</v>
      </c>
      <c r="P22" s="236" t="n">
        <f aca="false">$E22*P$15*P$8</f>
        <v>0</v>
      </c>
      <c r="Q22" s="236" t="n">
        <f aca="false">$E22*Q$15*Q$8</f>
        <v>0</v>
      </c>
      <c r="R22" s="236" t="n">
        <f aca="false">$E22*R$15*R$8</f>
        <v>0</v>
      </c>
      <c r="S22" s="236" t="n">
        <f aca="false">$E22*S$15*S$8</f>
        <v>0</v>
      </c>
      <c r="T22" s="236" t="n">
        <f aca="false">$E22*T$15*T$8</f>
        <v>0</v>
      </c>
      <c r="U22" s="236" t="n">
        <f aca="false">$E22*U$15*U$8</f>
        <v>0</v>
      </c>
      <c r="V22" s="236" t="n">
        <f aca="false">$E22*V$15*V$8</f>
        <v>0</v>
      </c>
      <c r="W22" s="236" t="n">
        <f aca="false">$E22*W$15*W$8</f>
        <v>0</v>
      </c>
      <c r="X22" s="236" t="n">
        <f aca="false">$E22*X$15*X$8</f>
        <v>0</v>
      </c>
      <c r="Y22" s="236" t="n">
        <f aca="false">$E22*Y$15*Y$8</f>
        <v>0</v>
      </c>
      <c r="Z22" s="236" t="n">
        <f aca="false">$E22*Z$15*Z$8</f>
        <v>0</v>
      </c>
      <c r="AA22" s="236" t="n">
        <f aca="false">$E22*AA$15*AA$8</f>
        <v>0</v>
      </c>
      <c r="AB22" s="236" t="n">
        <f aca="false">$E22*AB$15*AB$8</f>
        <v>0</v>
      </c>
      <c r="AC22" s="236" t="n">
        <f aca="false">$E22*AC$15*AC$8</f>
        <v>0</v>
      </c>
      <c r="AD22" s="236" t="n">
        <f aca="false">$E22*AD$15*AD$8</f>
        <v>0</v>
      </c>
      <c r="AE22" s="236" t="n">
        <f aca="false">$E22*AE$15*AE$8</f>
        <v>0</v>
      </c>
      <c r="AF22" s="236" t="n">
        <f aca="false">$E22*AF$15*AF$8</f>
        <v>0</v>
      </c>
      <c r="AG22" s="236" t="n">
        <f aca="false">$E22*AG$15*AG$8</f>
        <v>0</v>
      </c>
      <c r="AH22" s="236" t="n">
        <f aca="false">$E22*AH$15*AH$8</f>
        <v>0</v>
      </c>
      <c r="AI22" s="236" t="n">
        <f aca="false">$E22*AI$15*AI$8</f>
        <v>0</v>
      </c>
      <c r="AJ22" s="236" t="n">
        <f aca="false">$E22*AJ$15*AJ$8</f>
        <v>0</v>
      </c>
      <c r="AK22" s="236" t="n">
        <f aca="false">$E22*AK$15*AK$8</f>
        <v>0</v>
      </c>
      <c r="AL22" s="236" t="n">
        <f aca="false">$E22*AL$15*AL$8</f>
        <v>0</v>
      </c>
    </row>
    <row r="23" customFormat="false" ht="15" hidden="false" customHeight="false" outlineLevel="1" collapsed="false">
      <c r="B23" s="13"/>
      <c r="C23" s="14" t="s">
        <v>310</v>
      </c>
      <c r="D23" s="30" t="s">
        <v>585</v>
      </c>
      <c r="E23" s="271" t="n">
        <f aca="false">SUM('3. Assumptions'!G74:G76)</f>
        <v>85250</v>
      </c>
      <c r="F23" s="13"/>
      <c r="G23" s="30" t="s">
        <v>112</v>
      </c>
      <c r="H23" s="236" t="n">
        <f aca="false">$E23*H$15*H$8</f>
        <v>86955</v>
      </c>
      <c r="I23" s="236" t="n">
        <f aca="false">$E23*I$15*I$8</f>
        <v>88694.1</v>
      </c>
      <c r="J23" s="236" t="n">
        <f aca="false">$E23*J$15*J$8</f>
        <v>0</v>
      </c>
      <c r="K23" s="236" t="n">
        <f aca="false">$E23*K$15*K$8</f>
        <v>0</v>
      </c>
      <c r="L23" s="236" t="n">
        <f aca="false">$E23*L$15*L$8</f>
        <v>0</v>
      </c>
      <c r="M23" s="236" t="n">
        <f aca="false">$E23*M$15*M$8</f>
        <v>0</v>
      </c>
      <c r="N23" s="236" t="n">
        <f aca="false">$E23*N$15*N$8</f>
        <v>0</v>
      </c>
      <c r="O23" s="236" t="n">
        <f aca="false">$E23*O$15*O$8</f>
        <v>0</v>
      </c>
      <c r="P23" s="236" t="n">
        <f aca="false">$E23*P$15*P$8</f>
        <v>0</v>
      </c>
      <c r="Q23" s="236" t="n">
        <f aca="false">$E23*Q$15*Q$8</f>
        <v>0</v>
      </c>
      <c r="R23" s="236" t="n">
        <f aca="false">$E23*R$15*R$8</f>
        <v>0</v>
      </c>
      <c r="S23" s="236" t="n">
        <f aca="false">$E23*S$15*S$8</f>
        <v>0</v>
      </c>
      <c r="T23" s="236" t="n">
        <f aca="false">$E23*T$15*T$8</f>
        <v>0</v>
      </c>
      <c r="U23" s="236" t="n">
        <f aca="false">$E23*U$15*U$8</f>
        <v>0</v>
      </c>
      <c r="V23" s="236" t="n">
        <f aca="false">$E23*V$15*V$8</f>
        <v>0</v>
      </c>
      <c r="W23" s="236" t="n">
        <f aca="false">$E23*W$15*W$8</f>
        <v>0</v>
      </c>
      <c r="X23" s="236" t="n">
        <f aca="false">$E23*X$15*X$8</f>
        <v>0</v>
      </c>
      <c r="Y23" s="236" t="n">
        <f aca="false">$E23*Y$15*Y$8</f>
        <v>0</v>
      </c>
      <c r="Z23" s="236" t="n">
        <f aca="false">$E23*Z$15*Z$8</f>
        <v>0</v>
      </c>
      <c r="AA23" s="236" t="n">
        <f aca="false">$E23*AA$15*AA$8</f>
        <v>0</v>
      </c>
      <c r="AB23" s="236" t="n">
        <f aca="false">$E23*AB$15*AB$8</f>
        <v>0</v>
      </c>
      <c r="AC23" s="236" t="n">
        <f aca="false">$E23*AC$15*AC$8</f>
        <v>0</v>
      </c>
      <c r="AD23" s="236" t="n">
        <f aca="false">$E23*AD$15*AD$8</f>
        <v>0</v>
      </c>
      <c r="AE23" s="236" t="n">
        <f aca="false">$E23*AE$15*AE$8</f>
        <v>0</v>
      </c>
      <c r="AF23" s="236" t="n">
        <f aca="false">$E23*AF$15*AF$8</f>
        <v>0</v>
      </c>
      <c r="AG23" s="236" t="n">
        <f aca="false">$E23*AG$15*AG$8</f>
        <v>0</v>
      </c>
      <c r="AH23" s="236" t="n">
        <f aca="false">$E23*AH$15*AH$8</f>
        <v>0</v>
      </c>
      <c r="AI23" s="236" t="n">
        <f aca="false">$E23*AI$15*AI$8</f>
        <v>0</v>
      </c>
      <c r="AJ23" s="236" t="n">
        <f aca="false">$E23*AJ$15*AJ$8</f>
        <v>0</v>
      </c>
      <c r="AK23" s="236" t="n">
        <f aca="false">$E23*AK$15*AK$8</f>
        <v>0</v>
      </c>
      <c r="AL23" s="236" t="n">
        <f aca="false">$E23*AL$15*AL$8</f>
        <v>0</v>
      </c>
    </row>
    <row r="24" customFormat="false" ht="15" hidden="false" customHeight="false" outlineLevel="1" collapsed="false">
      <c r="B24" s="13"/>
      <c r="C24" s="14" t="s">
        <v>301</v>
      </c>
      <c r="D24" s="30" t="s">
        <v>585</v>
      </c>
      <c r="E24" s="271" t="n">
        <f aca="false">SUM('3. Assumptions'!G68:G72)</f>
        <v>137593.75</v>
      </c>
      <c r="F24" s="13"/>
      <c r="G24" s="30" t="s">
        <v>112</v>
      </c>
      <c r="H24" s="236" t="n">
        <f aca="false">$E24*H$15*H$8</f>
        <v>140345.625</v>
      </c>
      <c r="I24" s="236" t="n">
        <f aca="false">$E24*I$15*I$8</f>
        <v>143152.5375</v>
      </c>
      <c r="J24" s="236" t="n">
        <f aca="false">$E24*J$15*J$8</f>
        <v>0</v>
      </c>
      <c r="K24" s="236" t="n">
        <f aca="false">$E24*K$15*K$8</f>
        <v>0</v>
      </c>
      <c r="L24" s="236" t="n">
        <f aca="false">$E24*L$15*L$8</f>
        <v>0</v>
      </c>
      <c r="M24" s="236" t="n">
        <f aca="false">$E24*M$15*M$8</f>
        <v>0</v>
      </c>
      <c r="N24" s="236" t="n">
        <f aca="false">$E24*N$15*N$8</f>
        <v>0</v>
      </c>
      <c r="O24" s="236" t="n">
        <f aca="false">$E24*O$15*O$8</f>
        <v>0</v>
      </c>
      <c r="P24" s="236" t="n">
        <f aca="false">$E24*P$15*P$8</f>
        <v>0</v>
      </c>
      <c r="Q24" s="236" t="n">
        <f aca="false">$E24*Q$15*Q$8</f>
        <v>0</v>
      </c>
      <c r="R24" s="236" t="n">
        <f aca="false">$E24*R$15*R$8</f>
        <v>0</v>
      </c>
      <c r="S24" s="236" t="n">
        <f aca="false">$E24*S$15*S$8</f>
        <v>0</v>
      </c>
      <c r="T24" s="236" t="n">
        <f aca="false">$E24*T$15*T$8</f>
        <v>0</v>
      </c>
      <c r="U24" s="236" t="n">
        <f aca="false">$E24*U$15*U$8</f>
        <v>0</v>
      </c>
      <c r="V24" s="236" t="n">
        <f aca="false">$E24*V$15*V$8</f>
        <v>0</v>
      </c>
      <c r="W24" s="236" t="n">
        <f aca="false">$E24*W$15*W$8</f>
        <v>0</v>
      </c>
      <c r="X24" s="236" t="n">
        <f aca="false">$E24*X$15*X$8</f>
        <v>0</v>
      </c>
      <c r="Y24" s="236" t="n">
        <f aca="false">$E24*Y$15*Y$8</f>
        <v>0</v>
      </c>
      <c r="Z24" s="236" t="n">
        <f aca="false">$E24*Z$15*Z$8</f>
        <v>0</v>
      </c>
      <c r="AA24" s="236" t="n">
        <f aca="false">$E24*AA$15*AA$8</f>
        <v>0</v>
      </c>
      <c r="AB24" s="236" t="n">
        <f aca="false">$E24*AB$15*AB$8</f>
        <v>0</v>
      </c>
      <c r="AC24" s="236" t="n">
        <f aca="false">$E24*AC$15*AC$8</f>
        <v>0</v>
      </c>
      <c r="AD24" s="236" t="n">
        <f aca="false">$E24*AD$15*AD$8</f>
        <v>0</v>
      </c>
      <c r="AE24" s="236" t="n">
        <f aca="false">$E24*AE$15*AE$8</f>
        <v>0</v>
      </c>
      <c r="AF24" s="236" t="n">
        <f aca="false">$E24*AF$15*AF$8</f>
        <v>0</v>
      </c>
      <c r="AG24" s="236" t="n">
        <f aca="false">$E24*AG$15*AG$8</f>
        <v>0</v>
      </c>
      <c r="AH24" s="236" t="n">
        <f aca="false">$E24*AH$15*AH$8</f>
        <v>0</v>
      </c>
      <c r="AI24" s="236" t="n">
        <f aca="false">$E24*AI$15*AI$8</f>
        <v>0</v>
      </c>
      <c r="AJ24" s="236" t="n">
        <f aca="false">$E24*AJ$15*AJ$8</f>
        <v>0</v>
      </c>
      <c r="AK24" s="236" t="n">
        <f aca="false">$E24*AK$15*AK$8</f>
        <v>0</v>
      </c>
      <c r="AL24" s="236" t="n">
        <f aca="false">$E24*AL$15*AL$8</f>
        <v>0</v>
      </c>
    </row>
    <row r="25" customFormat="false" ht="15" hidden="false" customHeight="false" outlineLevel="1" collapsed="false">
      <c r="B25" s="207"/>
      <c r="C25" s="368" t="s">
        <v>586</v>
      </c>
      <c r="D25" s="372" t="s">
        <v>585</v>
      </c>
      <c r="E25" s="271" t="n">
        <f aca="false">'3. Assumptions'!G73</f>
        <v>100000</v>
      </c>
      <c r="F25" s="207"/>
      <c r="G25" s="208" t="s">
        <v>112</v>
      </c>
      <c r="H25" s="369" t="n">
        <f aca="false">$E25*H$15*H$8</f>
        <v>102000</v>
      </c>
      <c r="I25" s="369" t="n">
        <f aca="false">$E25*I$15*I$8</f>
        <v>104040</v>
      </c>
      <c r="J25" s="369" t="n">
        <f aca="false">$E25*J$15*J$8</f>
        <v>0</v>
      </c>
      <c r="K25" s="369" t="n">
        <f aca="false">$E25*K$15*K$8</f>
        <v>0</v>
      </c>
      <c r="L25" s="369" t="n">
        <f aca="false">$E25*L$15*L$8</f>
        <v>0</v>
      </c>
      <c r="M25" s="369" t="n">
        <f aca="false">$E25*M$15*M$8</f>
        <v>0</v>
      </c>
      <c r="N25" s="369" t="n">
        <f aca="false">$E25*N$15*N$8</f>
        <v>0</v>
      </c>
      <c r="O25" s="369" t="n">
        <f aca="false">$E25*O$15*O$8</f>
        <v>0</v>
      </c>
      <c r="P25" s="369" t="n">
        <f aca="false">$E25*P$15*P$8</f>
        <v>0</v>
      </c>
      <c r="Q25" s="369" t="n">
        <f aca="false">$E25*Q$15*Q$8</f>
        <v>0</v>
      </c>
      <c r="R25" s="369" t="n">
        <f aca="false">$E25*R$15*R$8</f>
        <v>0</v>
      </c>
      <c r="S25" s="369" t="n">
        <f aca="false">$E25*S$15*S$8</f>
        <v>0</v>
      </c>
      <c r="T25" s="369" t="n">
        <f aca="false">$E25*T$15*T$8</f>
        <v>0</v>
      </c>
      <c r="U25" s="369" t="n">
        <f aca="false">$E25*U$15*U$8</f>
        <v>0</v>
      </c>
      <c r="V25" s="369" t="n">
        <f aca="false">$E25*V$15*V$8</f>
        <v>0</v>
      </c>
      <c r="W25" s="369" t="n">
        <f aca="false">$E25*W$15*W$8</f>
        <v>0</v>
      </c>
      <c r="X25" s="369" t="n">
        <f aca="false">$E25*X$15*X$8</f>
        <v>0</v>
      </c>
      <c r="Y25" s="369" t="n">
        <f aca="false">$E25*Y$15*Y$8</f>
        <v>0</v>
      </c>
      <c r="Z25" s="369" t="n">
        <f aca="false">$E25*Z$15*Z$8</f>
        <v>0</v>
      </c>
      <c r="AA25" s="369" t="n">
        <f aca="false">$E25*AA$15*AA$8</f>
        <v>0</v>
      </c>
      <c r="AB25" s="369" t="n">
        <f aca="false">$E25*AB$15*AB$8</f>
        <v>0</v>
      </c>
      <c r="AC25" s="369" t="n">
        <f aca="false">$E25*AC$15*AC$8</f>
        <v>0</v>
      </c>
      <c r="AD25" s="369" t="n">
        <f aca="false">$E25*AD$15*AD$8</f>
        <v>0</v>
      </c>
      <c r="AE25" s="369" t="n">
        <f aca="false">$E25*AE$15*AE$8</f>
        <v>0</v>
      </c>
      <c r="AF25" s="369" t="n">
        <f aca="false">$E25*AF$15*AF$8</f>
        <v>0</v>
      </c>
      <c r="AG25" s="369" t="n">
        <f aca="false">$E25*AG$15*AG$8</f>
        <v>0</v>
      </c>
      <c r="AH25" s="369" t="n">
        <f aca="false">$E25*AH$15*AH$8</f>
        <v>0</v>
      </c>
      <c r="AI25" s="369" t="n">
        <f aca="false">$E25*AI$15*AI$8</f>
        <v>0</v>
      </c>
      <c r="AJ25" s="369" t="n">
        <f aca="false">$E25*AJ$15*AJ$8</f>
        <v>0</v>
      </c>
      <c r="AK25" s="369" t="n">
        <f aca="false">$E25*AK$15*AK$8</f>
        <v>0</v>
      </c>
      <c r="AL25" s="369" t="n">
        <f aca="false">$E25*AL$15*AL$8</f>
        <v>0</v>
      </c>
    </row>
    <row r="26" customFormat="false" ht="15" hidden="false" customHeight="false" outlineLevel="1" collapsed="false">
      <c r="B26" s="13" t="str">
        <f aca="false">"Total "&amp;B20</f>
        <v>Total Nursery CAPEX</v>
      </c>
      <c r="C26" s="14"/>
      <c r="D26" s="30"/>
      <c r="E26" s="193" t="n">
        <f aca="false">SUM(E21:E25)</f>
        <v>534843.75</v>
      </c>
      <c r="F26" s="13"/>
      <c r="G26" s="366" t="s">
        <v>112</v>
      </c>
      <c r="H26" s="193" t="n">
        <f aca="false">SUM(H21:H25)</f>
        <v>545540.625</v>
      </c>
      <c r="I26" s="193" t="n">
        <f aca="false">SUM(I21:I25)</f>
        <v>556451.4375</v>
      </c>
      <c r="J26" s="193" t="n">
        <f aca="false">SUM(J21:J25)</f>
        <v>0</v>
      </c>
      <c r="K26" s="193" t="n">
        <f aca="false">SUM(K21:K25)</f>
        <v>0</v>
      </c>
      <c r="L26" s="193" t="n">
        <f aca="false">SUM(L21:L25)</f>
        <v>0</v>
      </c>
      <c r="M26" s="193" t="n">
        <f aca="false">SUM(M21:M25)</f>
        <v>0</v>
      </c>
      <c r="N26" s="193" t="n">
        <f aca="false">SUM(N21:N25)</f>
        <v>0</v>
      </c>
      <c r="O26" s="193" t="n">
        <f aca="false">SUM(O21:O25)</f>
        <v>0</v>
      </c>
      <c r="P26" s="193" t="n">
        <f aca="false">SUM(P21:P25)</f>
        <v>0</v>
      </c>
      <c r="Q26" s="193" t="n">
        <f aca="false">SUM(Q21:Q25)</f>
        <v>0</v>
      </c>
      <c r="R26" s="193" t="n">
        <f aca="false">SUM(R21:R25)</f>
        <v>0</v>
      </c>
      <c r="S26" s="193" t="n">
        <f aca="false">SUM(S21:S25)</f>
        <v>0</v>
      </c>
      <c r="T26" s="193" t="n">
        <f aca="false">SUM(T21:T25)</f>
        <v>0</v>
      </c>
      <c r="U26" s="193" t="n">
        <f aca="false">SUM(U21:U25)</f>
        <v>0</v>
      </c>
      <c r="V26" s="193" t="n">
        <f aca="false">SUM(V21:V25)</f>
        <v>0</v>
      </c>
      <c r="W26" s="193" t="n">
        <f aca="false">SUM(W21:W25)</f>
        <v>0</v>
      </c>
      <c r="X26" s="193" t="n">
        <f aca="false">SUM(X21:X25)</f>
        <v>0</v>
      </c>
      <c r="Y26" s="193" t="n">
        <f aca="false">SUM(Y21:Y25)</f>
        <v>0</v>
      </c>
      <c r="Z26" s="193" t="n">
        <f aca="false">SUM(Z21:Z25)</f>
        <v>0</v>
      </c>
      <c r="AA26" s="193" t="n">
        <f aca="false">SUM(AA21:AA25)</f>
        <v>0</v>
      </c>
      <c r="AB26" s="193" t="n">
        <f aca="false">SUM(AB21:AB25)</f>
        <v>0</v>
      </c>
      <c r="AC26" s="193" t="n">
        <f aca="false">SUM(AC21:AC25)</f>
        <v>0</v>
      </c>
      <c r="AD26" s="193" t="n">
        <f aca="false">SUM(AD21:AD25)</f>
        <v>0</v>
      </c>
      <c r="AE26" s="193" t="n">
        <f aca="false">SUM(AE21:AE25)</f>
        <v>0</v>
      </c>
      <c r="AF26" s="193" t="n">
        <f aca="false">SUM(AF21:AF25)</f>
        <v>0</v>
      </c>
      <c r="AG26" s="193" t="n">
        <f aca="false">SUM(AG21:AG25)</f>
        <v>0</v>
      </c>
      <c r="AH26" s="193" t="n">
        <f aca="false">SUM(AH21:AH25)</f>
        <v>0</v>
      </c>
      <c r="AI26" s="193" t="n">
        <f aca="false">SUM(AI21:AI25)</f>
        <v>0</v>
      </c>
      <c r="AJ26" s="193" t="n">
        <f aca="false">SUM(AJ21:AJ25)</f>
        <v>0</v>
      </c>
      <c r="AK26" s="193" t="n">
        <f aca="false">SUM(AK21:AK25)</f>
        <v>0</v>
      </c>
      <c r="AL26" s="193" t="n">
        <f aca="false">SUM(AL21:AL25)</f>
        <v>0</v>
      </c>
    </row>
    <row r="27" customFormat="false" ht="15" hidden="false" customHeight="false" outlineLevel="1" collapsed="false">
      <c r="C27" s="370"/>
      <c r="D27" s="30"/>
      <c r="E27" s="162"/>
      <c r="G27" s="30"/>
      <c r="H27" s="202"/>
      <c r="I27" s="202"/>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row>
    <row r="28" customFormat="false" ht="15" hidden="false" customHeight="false" outlineLevel="1" collapsed="false">
      <c r="B28" s="13" t="s">
        <v>316</v>
      </c>
      <c r="C28" s="370"/>
      <c r="D28" s="30"/>
      <c r="E28" s="162"/>
      <c r="G28" s="30"/>
      <c r="H28" s="202"/>
      <c r="I28" s="202"/>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row>
    <row r="29" customFormat="false" ht="15" hidden="false" customHeight="false" outlineLevel="1" collapsed="false">
      <c r="C29" s="14" t="s">
        <v>587</v>
      </c>
      <c r="D29" s="30" t="s">
        <v>588</v>
      </c>
      <c r="E29" s="373" t="n">
        <f aca="false">'3. Assumptions'!E85</f>
        <v>0.5</v>
      </c>
      <c r="G29" s="30" t="s">
        <v>112</v>
      </c>
      <c r="H29" s="236" t="n">
        <f aca="false">H$12*$E29*H$8</f>
        <v>510000</v>
      </c>
      <c r="I29" s="236" t="n">
        <f aca="false">I$12*$E29*I$8</f>
        <v>832320</v>
      </c>
      <c r="J29" s="236" t="n">
        <f aca="false">J$12*$E29*J$8</f>
        <v>848966.4</v>
      </c>
      <c r="K29" s="236" t="n">
        <f aca="false">K$12*$E29*K$8</f>
        <v>865945.728</v>
      </c>
      <c r="L29" s="236" t="n">
        <f aca="false">L$12*$E29*L$8</f>
        <v>883264.64256</v>
      </c>
      <c r="M29" s="236" t="n">
        <f aca="false">M$12*$E29*M$8</f>
        <v>900929.9354112</v>
      </c>
      <c r="N29" s="236" t="n">
        <f aca="false">N$12*$E29*N$8</f>
        <v>918948.534119424</v>
      </c>
      <c r="O29" s="236" t="n">
        <f aca="false">O$12*$E29*O$8</f>
        <v>937327.504801813</v>
      </c>
      <c r="P29" s="236" t="n">
        <f aca="false">P$12*$E29*P$8</f>
        <v>0</v>
      </c>
      <c r="Q29" s="236" t="n">
        <f aca="false">Q$12*$E29*Q$8</f>
        <v>0</v>
      </c>
      <c r="R29" s="236" t="n">
        <f aca="false">R$12*$E29*R$8</f>
        <v>0</v>
      </c>
      <c r="S29" s="236" t="n">
        <f aca="false">S$12*$E29*S$8</f>
        <v>0</v>
      </c>
      <c r="T29" s="236" t="n">
        <f aca="false">T$12*$E29*T$8</f>
        <v>0</v>
      </c>
      <c r="U29" s="236" t="n">
        <f aca="false">U$12*$E29*U$8</f>
        <v>0</v>
      </c>
      <c r="V29" s="236" t="n">
        <f aca="false">V$12*$E29*V$8</f>
        <v>0</v>
      </c>
      <c r="W29" s="236" t="n">
        <f aca="false">W$12*$E29*W$8</f>
        <v>0</v>
      </c>
      <c r="X29" s="236" t="n">
        <f aca="false">X$12*$E29*X$8</f>
        <v>0</v>
      </c>
      <c r="Y29" s="236" t="n">
        <f aca="false">Y$12*$E29*Y$8</f>
        <v>0</v>
      </c>
      <c r="Z29" s="236" t="n">
        <f aca="false">Z$12*$E29*Z$8</f>
        <v>0</v>
      </c>
      <c r="AA29" s="236" t="n">
        <f aca="false">AA$12*$E29*AA$8</f>
        <v>0</v>
      </c>
      <c r="AB29" s="236" t="n">
        <f aca="false">AB$12*$E29*AB$8</f>
        <v>0</v>
      </c>
      <c r="AC29" s="236" t="n">
        <f aca="false">AC$12*$E29*AC$8</f>
        <v>0</v>
      </c>
      <c r="AD29" s="236" t="n">
        <f aca="false">AD$12*$E29*AD$8</f>
        <v>0</v>
      </c>
      <c r="AE29" s="236" t="n">
        <f aca="false">AE$12*$E29*AE$8</f>
        <v>0</v>
      </c>
      <c r="AF29" s="236" t="n">
        <f aca="false">AF$12*$E29*AF$8</f>
        <v>0</v>
      </c>
      <c r="AG29" s="236" t="n">
        <f aca="false">AG$12*$E29*AG$8</f>
        <v>0</v>
      </c>
      <c r="AH29" s="236" t="n">
        <f aca="false">AH$12*$E29*AH$8</f>
        <v>0</v>
      </c>
      <c r="AI29" s="236" t="n">
        <f aca="false">AI$12*$E29*AI$8</f>
        <v>0</v>
      </c>
      <c r="AJ29" s="236" t="n">
        <f aca="false">AJ$12*$E29*AJ$8</f>
        <v>0</v>
      </c>
      <c r="AK29" s="236" t="n">
        <f aca="false">AK$12*$E29*AK$8</f>
        <v>0</v>
      </c>
      <c r="AL29" s="236" t="n">
        <f aca="false">AL$12*$E29*AL$8</f>
        <v>0</v>
      </c>
    </row>
    <row r="30" customFormat="false" ht="15" hidden="false" customHeight="false" outlineLevel="1" collapsed="false">
      <c r="B30" s="56"/>
      <c r="C30" s="368" t="s">
        <v>320</v>
      </c>
      <c r="D30" s="208" t="s">
        <v>589</v>
      </c>
      <c r="E30" s="373" t="n">
        <f aca="false">'3. Assumptions'!E86</f>
        <v>0.3</v>
      </c>
      <c r="F30" s="56"/>
      <c r="G30" s="208" t="s">
        <v>112</v>
      </c>
      <c r="H30" s="369" t="n">
        <f aca="false">H$12*$E30*H$8</f>
        <v>306000</v>
      </c>
      <c r="I30" s="369" t="n">
        <f aca="false">I$12*$E30*I$8</f>
        <v>499392</v>
      </c>
      <c r="J30" s="369" t="n">
        <f aca="false">J$12*$E30*J$8</f>
        <v>509379.84</v>
      </c>
      <c r="K30" s="369" t="n">
        <f aca="false">K$12*$E30*K$8</f>
        <v>519567.4368</v>
      </c>
      <c r="L30" s="369" t="n">
        <f aca="false">L$12*$E30*L$8</f>
        <v>529958.785536</v>
      </c>
      <c r="M30" s="369" t="n">
        <f aca="false">M$12*$E30*M$8</f>
        <v>540557.96124672</v>
      </c>
      <c r="N30" s="369" t="n">
        <f aca="false">N$12*$E30*N$8</f>
        <v>551369.120471655</v>
      </c>
      <c r="O30" s="369" t="n">
        <f aca="false">O$12*$E30*O$8</f>
        <v>562396.502881088</v>
      </c>
      <c r="P30" s="369" t="n">
        <f aca="false">P$12*$E30*P$8</f>
        <v>0</v>
      </c>
      <c r="Q30" s="369" t="n">
        <f aca="false">Q$12*$E30*Q$8</f>
        <v>0</v>
      </c>
      <c r="R30" s="369" t="n">
        <f aca="false">R$12*$E30*R$8</f>
        <v>0</v>
      </c>
      <c r="S30" s="369" t="n">
        <f aca="false">S$12*$E30*S$8</f>
        <v>0</v>
      </c>
      <c r="T30" s="369" t="n">
        <f aca="false">T$12*$E30*T$8</f>
        <v>0</v>
      </c>
      <c r="U30" s="369" t="n">
        <f aca="false">U$12*$E30*U$8</f>
        <v>0</v>
      </c>
      <c r="V30" s="369" t="n">
        <f aca="false">V$12*$E30*V$8</f>
        <v>0</v>
      </c>
      <c r="W30" s="369" t="n">
        <f aca="false">W$12*$E30*W$8</f>
        <v>0</v>
      </c>
      <c r="X30" s="369" t="n">
        <f aca="false">X$12*$E30*X$8</f>
        <v>0</v>
      </c>
      <c r="Y30" s="369" t="n">
        <f aca="false">Y$12*$E30*Y$8</f>
        <v>0</v>
      </c>
      <c r="Z30" s="369" t="n">
        <f aca="false">Z$12*$E30*Z$8</f>
        <v>0</v>
      </c>
      <c r="AA30" s="369" t="n">
        <f aca="false">AA$12*$E30*AA$8</f>
        <v>0</v>
      </c>
      <c r="AB30" s="369" t="n">
        <f aca="false">AB$12*$E30*AB$8</f>
        <v>0</v>
      </c>
      <c r="AC30" s="369" t="n">
        <f aca="false">AC$12*$E30*AC$8</f>
        <v>0</v>
      </c>
      <c r="AD30" s="369" t="n">
        <f aca="false">AD$12*$E30*AD$8</f>
        <v>0</v>
      </c>
      <c r="AE30" s="369" t="n">
        <f aca="false">AE$12*$E30*AE$8</f>
        <v>0</v>
      </c>
      <c r="AF30" s="369" t="n">
        <f aca="false">AF$12*$E30*AF$8</f>
        <v>0</v>
      </c>
      <c r="AG30" s="369" t="n">
        <f aca="false">AG$12*$E30*AG$8</f>
        <v>0</v>
      </c>
      <c r="AH30" s="369" t="n">
        <f aca="false">AH$12*$E30*AH$8</f>
        <v>0</v>
      </c>
      <c r="AI30" s="369" t="n">
        <f aca="false">AI$12*$E30*AI$8</f>
        <v>0</v>
      </c>
      <c r="AJ30" s="369" t="n">
        <f aca="false">AJ$12*$E30*AJ$8</f>
        <v>0</v>
      </c>
      <c r="AK30" s="369" t="n">
        <f aca="false">AK$12*$E30*AK$8</f>
        <v>0</v>
      </c>
      <c r="AL30" s="369" t="n">
        <f aca="false">AL$12*$E30*AL$8</f>
        <v>0</v>
      </c>
    </row>
    <row r="31" customFormat="false" ht="15" hidden="false" customHeight="false" outlineLevel="1" collapsed="false">
      <c r="B31" s="13" t="str">
        <f aca="false">"Total "&amp;B28</f>
        <v>Total Nursery OPEX</v>
      </c>
      <c r="D31" s="30"/>
      <c r="E31" s="162"/>
      <c r="G31" s="366" t="s">
        <v>112</v>
      </c>
      <c r="H31" s="193" t="n">
        <f aca="false">SUM(H29:H30)</f>
        <v>816000</v>
      </c>
      <c r="I31" s="193" t="n">
        <f aca="false">SUM(I29:I30)</f>
        <v>1331712</v>
      </c>
      <c r="J31" s="193" t="n">
        <f aca="false">SUM(J29:J30)</f>
        <v>1358346.24</v>
      </c>
      <c r="K31" s="193" t="n">
        <f aca="false">SUM(K29:K30)</f>
        <v>1385513.1648</v>
      </c>
      <c r="L31" s="193" t="n">
        <f aca="false">SUM(L29:L30)</f>
        <v>1413223.428096</v>
      </c>
      <c r="M31" s="193" t="n">
        <f aca="false">SUM(M29:M30)</f>
        <v>1441487.89665792</v>
      </c>
      <c r="N31" s="193" t="n">
        <f aca="false">SUM(N29:N30)</f>
        <v>1470317.65459108</v>
      </c>
      <c r="O31" s="193" t="n">
        <f aca="false">SUM(O29:O30)</f>
        <v>1499724.0076829</v>
      </c>
      <c r="P31" s="193" t="n">
        <f aca="false">SUM(P29:P30)</f>
        <v>0</v>
      </c>
      <c r="Q31" s="193" t="n">
        <f aca="false">SUM(Q29:Q30)</f>
        <v>0</v>
      </c>
      <c r="R31" s="193" t="n">
        <f aca="false">SUM(R29:R30)</f>
        <v>0</v>
      </c>
      <c r="S31" s="193" t="n">
        <f aca="false">SUM(S29:S30)</f>
        <v>0</v>
      </c>
      <c r="T31" s="193" t="n">
        <f aca="false">SUM(T29:T30)</f>
        <v>0</v>
      </c>
      <c r="U31" s="193" t="n">
        <f aca="false">SUM(U29:U30)</f>
        <v>0</v>
      </c>
      <c r="V31" s="193" t="n">
        <f aca="false">SUM(V29:V30)</f>
        <v>0</v>
      </c>
      <c r="W31" s="193" t="n">
        <f aca="false">SUM(W29:W30)</f>
        <v>0</v>
      </c>
      <c r="X31" s="193" t="n">
        <f aca="false">SUM(X29:X30)</f>
        <v>0</v>
      </c>
      <c r="Y31" s="193" t="n">
        <f aca="false">SUM(Y29:Y30)</f>
        <v>0</v>
      </c>
      <c r="Z31" s="193" t="n">
        <f aca="false">SUM(Z29:Z30)</f>
        <v>0</v>
      </c>
      <c r="AA31" s="193" t="n">
        <f aca="false">SUM(AA29:AA30)</f>
        <v>0</v>
      </c>
      <c r="AB31" s="193" t="n">
        <f aca="false">SUM(AB29:AB30)</f>
        <v>0</v>
      </c>
      <c r="AC31" s="193" t="n">
        <f aca="false">SUM(AC29:AC30)</f>
        <v>0</v>
      </c>
      <c r="AD31" s="193" t="n">
        <f aca="false">SUM(AD29:AD30)</f>
        <v>0</v>
      </c>
      <c r="AE31" s="193" t="n">
        <f aca="false">SUM(AE29:AE30)</f>
        <v>0</v>
      </c>
      <c r="AF31" s="193" t="n">
        <f aca="false">SUM(AF29:AF30)</f>
        <v>0</v>
      </c>
      <c r="AG31" s="193" t="n">
        <f aca="false">SUM(AG29:AG30)</f>
        <v>0</v>
      </c>
      <c r="AH31" s="193" t="n">
        <f aca="false">SUM(AH29:AH30)</f>
        <v>0</v>
      </c>
      <c r="AI31" s="193" t="n">
        <f aca="false">SUM(AI29:AI30)</f>
        <v>0</v>
      </c>
      <c r="AJ31" s="193" t="n">
        <f aca="false">SUM(AJ29:AJ30)</f>
        <v>0</v>
      </c>
      <c r="AK31" s="193" t="n">
        <f aca="false">SUM(AK29:AK30)</f>
        <v>0</v>
      </c>
      <c r="AL31" s="193" t="n">
        <f aca="false">SUM(AL29:AL30)</f>
        <v>0</v>
      </c>
    </row>
    <row r="32" customFormat="false" ht="15" hidden="false" customHeight="false" outlineLevel="1" collapsed="false">
      <c r="B32" s="13"/>
      <c r="D32" s="30"/>
      <c r="E32" s="162"/>
      <c r="G32" s="366"/>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row>
    <row r="33" customFormat="false" ht="15" hidden="false" customHeight="false" outlineLevel="0" collapsed="false">
      <c r="B33" s="363" t="s">
        <v>590</v>
      </c>
      <c r="C33" s="363"/>
      <c r="D33" s="364"/>
      <c r="E33" s="363"/>
      <c r="F33" s="363"/>
      <c r="G33" s="365"/>
      <c r="H33" s="363"/>
      <c r="I33" s="363"/>
      <c r="J33" s="363"/>
      <c r="K33" s="363"/>
      <c r="L33" s="363"/>
      <c r="M33" s="363"/>
      <c r="N33" s="363"/>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row>
    <row r="34" customFormat="false" ht="15" hidden="false" customHeight="false" outlineLevel="1" collapsed="false">
      <c r="D34" s="30"/>
    </row>
    <row r="35" customFormat="false" ht="15" hidden="false" customHeight="false" outlineLevel="1" collapsed="false">
      <c r="B35" s="13" t="s">
        <v>591</v>
      </c>
      <c r="C35" s="370"/>
      <c r="D35" s="30"/>
      <c r="E35" s="374" t="s">
        <v>317</v>
      </c>
      <c r="G35" s="30"/>
      <c r="H35" s="202"/>
      <c r="I35" s="202"/>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row>
    <row r="36" customFormat="false" ht="15" hidden="false" customHeight="false" outlineLevel="1" collapsed="false">
      <c r="B36" s="13"/>
      <c r="C36" s="14" t="s">
        <v>592</v>
      </c>
      <c r="D36" s="30"/>
      <c r="E36" s="374"/>
      <c r="G36" s="30" t="s">
        <v>278</v>
      </c>
      <c r="H36" s="202"/>
      <c r="I36" s="236" t="n">
        <f aca="false">H12</f>
        <v>1000000</v>
      </c>
      <c r="J36" s="236" t="n">
        <f aca="false">I12</f>
        <v>1600000</v>
      </c>
      <c r="K36" s="236" t="n">
        <f aca="false">J12</f>
        <v>1600000</v>
      </c>
      <c r="L36" s="236" t="n">
        <f aca="false">K12</f>
        <v>1600000</v>
      </c>
      <c r="M36" s="236" t="n">
        <f aca="false">L12</f>
        <v>1600000</v>
      </c>
      <c r="N36" s="236" t="n">
        <f aca="false">M12</f>
        <v>1600000</v>
      </c>
      <c r="O36" s="236" t="n">
        <f aca="false">N12</f>
        <v>1600000</v>
      </c>
      <c r="P36" s="236" t="n">
        <f aca="false">O12</f>
        <v>1600000</v>
      </c>
      <c r="Q36" s="236" t="n">
        <f aca="false">P12</f>
        <v>0</v>
      </c>
      <c r="R36" s="236" t="n">
        <f aca="false">Q12</f>
        <v>0</v>
      </c>
      <c r="S36" s="236" t="n">
        <f aca="false">R12</f>
        <v>0</v>
      </c>
      <c r="T36" s="236" t="n">
        <f aca="false">S12</f>
        <v>0</v>
      </c>
      <c r="U36" s="236" t="n">
        <f aca="false">T12</f>
        <v>0</v>
      </c>
      <c r="V36" s="236" t="n">
        <f aca="false">U12</f>
        <v>0</v>
      </c>
      <c r="W36" s="236" t="n">
        <f aca="false">V12</f>
        <v>0</v>
      </c>
      <c r="X36" s="236" t="n">
        <f aca="false">W12</f>
        <v>0</v>
      </c>
      <c r="Y36" s="236" t="n">
        <f aca="false">X12</f>
        <v>0</v>
      </c>
      <c r="Z36" s="236" t="n">
        <f aca="false">Y12</f>
        <v>0</v>
      </c>
      <c r="AA36" s="236" t="n">
        <f aca="false">Z12</f>
        <v>0</v>
      </c>
      <c r="AB36" s="236" t="n">
        <f aca="false">AA12</f>
        <v>0</v>
      </c>
      <c r="AC36" s="236" t="n">
        <f aca="false">AB12</f>
        <v>0</v>
      </c>
      <c r="AD36" s="236" t="n">
        <f aca="false">AC12</f>
        <v>0</v>
      </c>
      <c r="AE36" s="236" t="n">
        <f aca="false">AD12</f>
        <v>0</v>
      </c>
      <c r="AF36" s="236" t="n">
        <f aca="false">AE12</f>
        <v>0</v>
      </c>
      <c r="AG36" s="236" t="n">
        <f aca="false">AF12</f>
        <v>0</v>
      </c>
      <c r="AH36" s="236" t="n">
        <f aca="false">AG12</f>
        <v>0</v>
      </c>
      <c r="AI36" s="236" t="n">
        <f aca="false">AH12</f>
        <v>0</v>
      </c>
      <c r="AJ36" s="236" t="n">
        <f aca="false">AI12</f>
        <v>0</v>
      </c>
      <c r="AK36" s="236" t="n">
        <f aca="false">AJ12</f>
        <v>0</v>
      </c>
      <c r="AL36" s="236" t="n">
        <f aca="false">AK12</f>
        <v>0</v>
      </c>
    </row>
    <row r="37" customFormat="false" ht="15" hidden="false" customHeight="false" outlineLevel="1" collapsed="false">
      <c r="B37" s="56"/>
      <c r="C37" s="368" t="s">
        <v>593</v>
      </c>
      <c r="D37" s="208" t="s">
        <v>319</v>
      </c>
      <c r="E37" s="375" t="n">
        <f aca="false">'3. Assumptions'!E91</f>
        <v>0.4</v>
      </c>
      <c r="F37" s="56"/>
      <c r="G37" s="208" t="s">
        <v>112</v>
      </c>
      <c r="H37" s="369" t="n">
        <f aca="false">H36*$E37*H8</f>
        <v>0</v>
      </c>
      <c r="I37" s="369" t="n">
        <f aca="false">I36*$E37*I8</f>
        <v>416160</v>
      </c>
      <c r="J37" s="369" t="n">
        <f aca="false">J36*$E37*J8</f>
        <v>679173.12</v>
      </c>
      <c r="K37" s="369" t="n">
        <f aca="false">K36*$E37*K8</f>
        <v>692756.5824</v>
      </c>
      <c r="L37" s="369" t="n">
        <f aca="false">L36*$E37*L8</f>
        <v>706611.714048</v>
      </c>
      <c r="M37" s="369" t="n">
        <f aca="false">M36*$E37*M8</f>
        <v>720743.94832896</v>
      </c>
      <c r="N37" s="369" t="n">
        <f aca="false">N36*$E37*N8</f>
        <v>735158.827295539</v>
      </c>
      <c r="O37" s="369" t="n">
        <f aca="false">O36*$E37*O8</f>
        <v>749862.00384145</v>
      </c>
      <c r="P37" s="369" t="n">
        <f aca="false">P36*$E37*P8</f>
        <v>764859.243918279</v>
      </c>
      <c r="Q37" s="369" t="n">
        <f aca="false">Q36*$E37*Q8</f>
        <v>0</v>
      </c>
      <c r="R37" s="369" t="n">
        <f aca="false">R36*$E37*R8</f>
        <v>0</v>
      </c>
      <c r="S37" s="369" t="n">
        <f aca="false">S36*$E37*S8</f>
        <v>0</v>
      </c>
      <c r="T37" s="369" t="n">
        <f aca="false">T36*$E37*T8</f>
        <v>0</v>
      </c>
      <c r="U37" s="369" t="n">
        <f aca="false">U36*$E37*U8</f>
        <v>0</v>
      </c>
      <c r="V37" s="369" t="n">
        <f aca="false">V36*$E37*V8</f>
        <v>0</v>
      </c>
      <c r="W37" s="369" t="n">
        <f aca="false">W36*$E37*W8</f>
        <v>0</v>
      </c>
      <c r="X37" s="369" t="n">
        <f aca="false">X36*$E37*X8</f>
        <v>0</v>
      </c>
      <c r="Y37" s="369" t="n">
        <f aca="false">Y36*$E37*Y8</f>
        <v>0</v>
      </c>
      <c r="Z37" s="369" t="n">
        <f aca="false">Z36*$E37*Z8</f>
        <v>0</v>
      </c>
      <c r="AA37" s="369" t="n">
        <f aca="false">AA36*$E37*AA8</f>
        <v>0</v>
      </c>
      <c r="AB37" s="369" t="n">
        <f aca="false">AB36*$E37*AB8</f>
        <v>0</v>
      </c>
      <c r="AC37" s="369" t="n">
        <f aca="false">AC36*$E37*AC8</f>
        <v>0</v>
      </c>
      <c r="AD37" s="369" t="n">
        <f aca="false">AD36*$E37*AD8</f>
        <v>0</v>
      </c>
      <c r="AE37" s="369" t="n">
        <f aca="false">AE36*$E37*AE8</f>
        <v>0</v>
      </c>
      <c r="AF37" s="369" t="n">
        <f aca="false">AF36*$E37*AF8</f>
        <v>0</v>
      </c>
      <c r="AG37" s="369" t="n">
        <f aca="false">AG36*$E37*AG8</f>
        <v>0</v>
      </c>
      <c r="AH37" s="369" t="n">
        <f aca="false">AH36*$E37*AH8</f>
        <v>0</v>
      </c>
      <c r="AI37" s="369" t="n">
        <f aca="false">AI36*$E37*AI8</f>
        <v>0</v>
      </c>
      <c r="AJ37" s="369" t="n">
        <f aca="false">AJ36*$E37*AJ8</f>
        <v>0</v>
      </c>
      <c r="AK37" s="369" t="n">
        <f aca="false">AK36*$E37*AK8</f>
        <v>0</v>
      </c>
      <c r="AL37" s="369" t="n">
        <f aca="false">AL36*$E37*AL8</f>
        <v>0</v>
      </c>
    </row>
    <row r="38" customFormat="false" ht="15" hidden="false" customHeight="false" outlineLevel="1" collapsed="false">
      <c r="B38" s="13" t="str">
        <f aca="false">"Total "&amp;B35</f>
        <v>Total Plantation &amp; Transportation Cost</v>
      </c>
      <c r="C38" s="14"/>
      <c r="D38" s="30"/>
      <c r="E38" s="376"/>
      <c r="G38" s="366" t="s">
        <v>112</v>
      </c>
      <c r="H38" s="193" t="n">
        <f aca="false">H37</f>
        <v>0</v>
      </c>
      <c r="I38" s="193" t="n">
        <f aca="false">I37</f>
        <v>416160</v>
      </c>
      <c r="J38" s="193" t="n">
        <f aca="false">J37</f>
        <v>679173.12</v>
      </c>
      <c r="K38" s="193" t="n">
        <f aca="false">K37</f>
        <v>692756.5824</v>
      </c>
      <c r="L38" s="193" t="n">
        <f aca="false">L37</f>
        <v>706611.714048</v>
      </c>
      <c r="M38" s="193" t="n">
        <f aca="false">M37</f>
        <v>720743.94832896</v>
      </c>
      <c r="N38" s="193" t="n">
        <f aca="false">N37</f>
        <v>735158.827295539</v>
      </c>
      <c r="O38" s="193" t="n">
        <f aca="false">O37</f>
        <v>749862.00384145</v>
      </c>
      <c r="P38" s="193" t="n">
        <f aca="false">P37</f>
        <v>764859.243918279</v>
      </c>
      <c r="Q38" s="193" t="n">
        <f aca="false">Q37</f>
        <v>0</v>
      </c>
      <c r="R38" s="193" t="n">
        <f aca="false">R37</f>
        <v>0</v>
      </c>
      <c r="S38" s="193" t="n">
        <f aca="false">S37</f>
        <v>0</v>
      </c>
      <c r="T38" s="193" t="n">
        <f aca="false">T37</f>
        <v>0</v>
      </c>
      <c r="U38" s="193" t="n">
        <f aca="false">U37</f>
        <v>0</v>
      </c>
      <c r="V38" s="193" t="n">
        <f aca="false">V37</f>
        <v>0</v>
      </c>
      <c r="W38" s="193" t="n">
        <f aca="false">W37</f>
        <v>0</v>
      </c>
      <c r="X38" s="193" t="n">
        <f aca="false">X37</f>
        <v>0</v>
      </c>
      <c r="Y38" s="193" t="n">
        <f aca="false">Y37</f>
        <v>0</v>
      </c>
      <c r="Z38" s="193" t="n">
        <f aca="false">Z37</f>
        <v>0</v>
      </c>
      <c r="AA38" s="193" t="n">
        <f aca="false">AA37</f>
        <v>0</v>
      </c>
      <c r="AB38" s="193" t="n">
        <f aca="false">AB37</f>
        <v>0</v>
      </c>
      <c r="AC38" s="193" t="n">
        <f aca="false">AC37</f>
        <v>0</v>
      </c>
      <c r="AD38" s="193" t="n">
        <f aca="false">AD37</f>
        <v>0</v>
      </c>
      <c r="AE38" s="193" t="n">
        <f aca="false">AE37</f>
        <v>0</v>
      </c>
      <c r="AF38" s="193" t="n">
        <f aca="false">AF37</f>
        <v>0</v>
      </c>
      <c r="AG38" s="193" t="n">
        <f aca="false">AG37</f>
        <v>0</v>
      </c>
      <c r="AH38" s="193" t="n">
        <f aca="false">AH37</f>
        <v>0</v>
      </c>
      <c r="AI38" s="193" t="n">
        <f aca="false">AI37</f>
        <v>0</v>
      </c>
      <c r="AJ38" s="193" t="n">
        <f aca="false">AJ37</f>
        <v>0</v>
      </c>
      <c r="AK38" s="193" t="n">
        <f aca="false">AK37</f>
        <v>0</v>
      </c>
      <c r="AL38" s="193" t="n">
        <f aca="false">AL37</f>
        <v>0</v>
      </c>
    </row>
    <row r="39" customFormat="false" ht="15" hidden="false" customHeight="false" outlineLevel="1" collapsed="false">
      <c r="C39" s="370"/>
      <c r="D39" s="30"/>
      <c r="E39" s="162"/>
      <c r="G39" s="30"/>
      <c r="H39" s="202"/>
      <c r="I39" s="202"/>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row>
    <row r="40" customFormat="false" ht="15" hidden="false" customHeight="false" outlineLevel="1" collapsed="false">
      <c r="C40" s="14" t="s">
        <v>594</v>
      </c>
      <c r="D40" s="30"/>
      <c r="E40" s="162"/>
      <c r="G40" s="30" t="s">
        <v>278</v>
      </c>
      <c r="H40" s="236"/>
      <c r="I40" s="236" t="n">
        <f aca="false">I36</f>
        <v>1000000</v>
      </c>
      <c r="J40" s="236" t="n">
        <f aca="false">J36</f>
        <v>1600000</v>
      </c>
      <c r="K40" s="236" t="n">
        <f aca="false">K36</f>
        <v>1600000</v>
      </c>
      <c r="L40" s="236" t="n">
        <f aca="false">L36</f>
        <v>1600000</v>
      </c>
      <c r="M40" s="236" t="n">
        <f aca="false">M36</f>
        <v>1600000</v>
      </c>
      <c r="N40" s="236" t="n">
        <f aca="false">N36</f>
        <v>1600000</v>
      </c>
      <c r="O40" s="236" t="n">
        <f aca="false">O36</f>
        <v>1600000</v>
      </c>
      <c r="P40" s="236" t="n">
        <f aca="false">P36</f>
        <v>1600000</v>
      </c>
      <c r="Q40" s="236" t="n">
        <f aca="false">Q36</f>
        <v>0</v>
      </c>
      <c r="R40" s="236" t="n">
        <f aca="false">R36</f>
        <v>0</v>
      </c>
      <c r="S40" s="236" t="n">
        <f aca="false">S36</f>
        <v>0</v>
      </c>
      <c r="T40" s="236" t="n">
        <f aca="false">T36</f>
        <v>0</v>
      </c>
      <c r="U40" s="236" t="n">
        <f aca="false">U36</f>
        <v>0</v>
      </c>
      <c r="V40" s="236" t="n">
        <f aca="false">V36</f>
        <v>0</v>
      </c>
      <c r="W40" s="236" t="n">
        <f aca="false">W36</f>
        <v>0</v>
      </c>
      <c r="X40" s="236" t="n">
        <f aca="false">X36</f>
        <v>0</v>
      </c>
      <c r="Y40" s="236" t="n">
        <f aca="false">Y36</f>
        <v>0</v>
      </c>
      <c r="Z40" s="236" t="n">
        <f aca="false">Z36</f>
        <v>0</v>
      </c>
      <c r="AA40" s="236" t="n">
        <f aca="false">AA36</f>
        <v>0</v>
      </c>
      <c r="AB40" s="236" t="n">
        <f aca="false">AB36</f>
        <v>0</v>
      </c>
      <c r="AC40" s="236" t="n">
        <f aca="false">AC36</f>
        <v>0</v>
      </c>
      <c r="AD40" s="236" t="n">
        <f aca="false">AD36</f>
        <v>0</v>
      </c>
      <c r="AE40" s="236" t="n">
        <f aca="false">AE36</f>
        <v>0</v>
      </c>
      <c r="AF40" s="236" t="n">
        <f aca="false">AF36</f>
        <v>0</v>
      </c>
      <c r="AG40" s="236" t="n">
        <f aca="false">AG36</f>
        <v>0</v>
      </c>
      <c r="AH40" s="236" t="n">
        <f aca="false">AH36</f>
        <v>0</v>
      </c>
      <c r="AI40" s="236" t="n">
        <f aca="false">AI36</f>
        <v>0</v>
      </c>
      <c r="AJ40" s="236" t="n">
        <f aca="false">AJ36</f>
        <v>0</v>
      </c>
      <c r="AK40" s="236" t="n">
        <f aca="false">AK36</f>
        <v>0</v>
      </c>
      <c r="AL40" s="236" t="n">
        <f aca="false">AL36</f>
        <v>0</v>
      </c>
    </row>
    <row r="41" customFormat="false" ht="15" hidden="false" customHeight="false" outlineLevel="1" collapsed="false">
      <c r="B41" s="56"/>
      <c r="C41" s="368" t="s">
        <v>595</v>
      </c>
      <c r="D41" s="208"/>
      <c r="E41" s="377" t="n">
        <f aca="false">'3. Assumptions'!E56</f>
        <v>0.15</v>
      </c>
      <c r="F41" s="56"/>
      <c r="G41" s="208" t="s">
        <v>278</v>
      </c>
      <c r="H41" s="369"/>
      <c r="I41" s="369" t="n">
        <f aca="false">H40*$E41</f>
        <v>0</v>
      </c>
      <c r="J41" s="369" t="n">
        <f aca="false">I40*$E41</f>
        <v>150000</v>
      </c>
      <c r="K41" s="369" t="n">
        <f aca="false">J40*$E41</f>
        <v>240000</v>
      </c>
      <c r="L41" s="369" t="n">
        <f aca="false">K40*$E41</f>
        <v>240000</v>
      </c>
      <c r="M41" s="369" t="n">
        <f aca="false">L40*$E41</f>
        <v>240000</v>
      </c>
      <c r="N41" s="369" t="n">
        <f aca="false">M40*$E41</f>
        <v>240000</v>
      </c>
      <c r="O41" s="369" t="n">
        <f aca="false">N40*$E41</f>
        <v>240000</v>
      </c>
      <c r="P41" s="369" t="n">
        <f aca="false">O40*$E41</f>
        <v>240000</v>
      </c>
      <c r="Q41" s="369" t="n">
        <f aca="false">P40*$E41</f>
        <v>240000</v>
      </c>
      <c r="R41" s="369" t="n">
        <f aca="false">Q40*$E41</f>
        <v>0</v>
      </c>
      <c r="S41" s="369" t="n">
        <f aca="false">R40*$E41</f>
        <v>0</v>
      </c>
      <c r="T41" s="369" t="n">
        <f aca="false">S40*$E41</f>
        <v>0</v>
      </c>
      <c r="U41" s="369" t="n">
        <f aca="false">T40*$E41</f>
        <v>0</v>
      </c>
      <c r="V41" s="369" t="n">
        <f aca="false">U40*$E41</f>
        <v>0</v>
      </c>
      <c r="W41" s="369" t="n">
        <f aca="false">V40*$E41</f>
        <v>0</v>
      </c>
      <c r="X41" s="369" t="n">
        <f aca="false">W40*$E41</f>
        <v>0</v>
      </c>
      <c r="Y41" s="369" t="n">
        <f aca="false">X40*$E41</f>
        <v>0</v>
      </c>
      <c r="Z41" s="369" t="n">
        <f aca="false">Y40*$E41</f>
        <v>0</v>
      </c>
      <c r="AA41" s="369" t="n">
        <f aca="false">Z40*$E41</f>
        <v>0</v>
      </c>
      <c r="AB41" s="369" t="n">
        <f aca="false">AA40*$E41</f>
        <v>0</v>
      </c>
      <c r="AC41" s="369" t="n">
        <f aca="false">AB40*$E41</f>
        <v>0</v>
      </c>
      <c r="AD41" s="369" t="n">
        <f aca="false">AC40*$E41</f>
        <v>0</v>
      </c>
      <c r="AE41" s="369" t="n">
        <f aca="false">AD40*$E41</f>
        <v>0</v>
      </c>
      <c r="AF41" s="369" t="n">
        <f aca="false">AE40*$E41</f>
        <v>0</v>
      </c>
      <c r="AG41" s="369" t="n">
        <f aca="false">AF40*$E41</f>
        <v>0</v>
      </c>
      <c r="AH41" s="369" t="n">
        <f aca="false">AG40*$E41</f>
        <v>0</v>
      </c>
      <c r="AI41" s="369" t="n">
        <f aca="false">AH40*$E41</f>
        <v>0</v>
      </c>
      <c r="AJ41" s="369" t="n">
        <f aca="false">AI40*$E41</f>
        <v>0</v>
      </c>
      <c r="AK41" s="369" t="n">
        <f aca="false">AJ40*$E41</f>
        <v>0</v>
      </c>
      <c r="AL41" s="369" t="n">
        <f aca="false">AK40*$E41</f>
        <v>0</v>
      </c>
    </row>
    <row r="42" customFormat="false" ht="15" hidden="false" customHeight="false" outlineLevel="1" collapsed="false">
      <c r="B42" s="0" t="s">
        <v>596</v>
      </c>
      <c r="C42" s="370"/>
      <c r="D42" s="30"/>
      <c r="E42" s="162"/>
      <c r="G42" s="30" t="s">
        <v>278</v>
      </c>
      <c r="H42" s="236" t="n">
        <f aca="false">H40-I41</f>
        <v>0</v>
      </c>
      <c r="I42" s="236" t="n">
        <f aca="false">I40-J41</f>
        <v>850000</v>
      </c>
      <c r="J42" s="236" t="n">
        <f aca="false">J40-K41</f>
        <v>1360000</v>
      </c>
      <c r="K42" s="236" t="n">
        <f aca="false">K40-L41</f>
        <v>1360000</v>
      </c>
      <c r="L42" s="236" t="n">
        <f aca="false">L40-M41</f>
        <v>1360000</v>
      </c>
      <c r="M42" s="236" t="n">
        <f aca="false">M40-N41</f>
        <v>1360000</v>
      </c>
      <c r="N42" s="236" t="n">
        <f aca="false">N40-O41</f>
        <v>1360000</v>
      </c>
      <c r="O42" s="236" t="n">
        <f aca="false">O40-P41</f>
        <v>1360000</v>
      </c>
      <c r="P42" s="236" t="n">
        <f aca="false">P40-Q41</f>
        <v>1360000</v>
      </c>
      <c r="Q42" s="236" t="n">
        <f aca="false">Q40-R41</f>
        <v>0</v>
      </c>
      <c r="R42" s="236" t="n">
        <f aca="false">R40-S41</f>
        <v>0</v>
      </c>
      <c r="S42" s="236" t="n">
        <f aca="false">S40-T41</f>
        <v>0</v>
      </c>
      <c r="T42" s="236" t="n">
        <f aca="false">T40-U41</f>
        <v>0</v>
      </c>
      <c r="U42" s="236" t="n">
        <f aca="false">U40-V41</f>
        <v>0</v>
      </c>
      <c r="V42" s="236" t="n">
        <f aca="false">V40-W41</f>
        <v>0</v>
      </c>
      <c r="W42" s="236" t="n">
        <f aca="false">W40-X41</f>
        <v>0</v>
      </c>
      <c r="X42" s="236" t="n">
        <f aca="false">X40-Y41</f>
        <v>0</v>
      </c>
      <c r="Y42" s="236" t="n">
        <f aca="false">Y40-Z41</f>
        <v>0</v>
      </c>
      <c r="Z42" s="236" t="n">
        <f aca="false">Z40-AA41</f>
        <v>0</v>
      </c>
      <c r="AA42" s="236" t="n">
        <f aca="false">AA40-AB41</f>
        <v>0</v>
      </c>
      <c r="AB42" s="236" t="n">
        <f aca="false">AB40-AC41</f>
        <v>0</v>
      </c>
      <c r="AC42" s="236" t="n">
        <f aca="false">AC40-AD41</f>
        <v>0</v>
      </c>
      <c r="AD42" s="236" t="n">
        <f aca="false">AD40-AE41</f>
        <v>0</v>
      </c>
      <c r="AE42" s="236" t="n">
        <f aca="false">AE40-AF41</f>
        <v>0</v>
      </c>
      <c r="AF42" s="236" t="n">
        <f aca="false">AF40-AG41</f>
        <v>0</v>
      </c>
      <c r="AG42" s="236" t="n">
        <f aca="false">AG40-AH41</f>
        <v>0</v>
      </c>
      <c r="AH42" s="236" t="n">
        <f aca="false">AH40-AI41</f>
        <v>0</v>
      </c>
      <c r="AI42" s="236" t="n">
        <f aca="false">AI40-AJ41</f>
        <v>0</v>
      </c>
      <c r="AJ42" s="236" t="n">
        <f aca="false">AJ40-AK41</f>
        <v>0</v>
      </c>
      <c r="AK42" s="236" t="n">
        <f aca="false">AK40-AL41</f>
        <v>0</v>
      </c>
      <c r="AL42" s="236" t="n">
        <f aca="false">AL40-AM41</f>
        <v>0</v>
      </c>
    </row>
    <row r="43" customFormat="false" ht="15" hidden="false" customHeight="false" outlineLevel="1" collapsed="false">
      <c r="A43" s="13"/>
      <c r="B43" s="13" t="s">
        <v>597</v>
      </c>
      <c r="D43" s="30"/>
      <c r="E43" s="162"/>
      <c r="G43" s="30" t="s">
        <v>278</v>
      </c>
      <c r="H43" s="193" t="n">
        <f aca="false">SUM($H$42:H42)</f>
        <v>0</v>
      </c>
      <c r="I43" s="193" t="n">
        <f aca="false">SUM($H$42:I42)</f>
        <v>850000</v>
      </c>
      <c r="J43" s="193" t="n">
        <f aca="false">SUM($H$42:J42)</f>
        <v>2210000</v>
      </c>
      <c r="K43" s="193" t="n">
        <f aca="false">SUM($H$42:K42)</f>
        <v>3570000</v>
      </c>
      <c r="L43" s="193" t="n">
        <f aca="false">SUM($H$42:L42)</f>
        <v>4930000</v>
      </c>
      <c r="M43" s="193" t="n">
        <f aca="false">SUM($H$42:M42)</f>
        <v>6290000</v>
      </c>
      <c r="N43" s="193" t="n">
        <f aca="false">SUM($H$42:N42)</f>
        <v>7650000</v>
      </c>
      <c r="O43" s="193" t="n">
        <f aca="false">SUM($H$42:O42)</f>
        <v>9010000</v>
      </c>
      <c r="P43" s="193" t="n">
        <f aca="false">SUM($H$42:P42)</f>
        <v>10370000</v>
      </c>
      <c r="Q43" s="193" t="n">
        <f aca="false">SUM($H$42:Q42)</f>
        <v>10370000</v>
      </c>
      <c r="R43" s="193" t="n">
        <f aca="false">SUM($H$42:R42)</f>
        <v>10370000</v>
      </c>
      <c r="S43" s="193" t="n">
        <f aca="false">SUM($H$42:S42)</f>
        <v>10370000</v>
      </c>
      <c r="T43" s="193" t="n">
        <f aca="false">SUM($H$42:T42)</f>
        <v>10370000</v>
      </c>
      <c r="U43" s="193" t="n">
        <f aca="false">SUM($H$42:U42)</f>
        <v>10370000</v>
      </c>
      <c r="V43" s="193" t="n">
        <f aca="false">SUM($H$42:V42)</f>
        <v>10370000</v>
      </c>
      <c r="W43" s="193" t="n">
        <f aca="false">SUM($H$42:W42)</f>
        <v>10370000</v>
      </c>
      <c r="X43" s="193" t="n">
        <f aca="false">SUM($H$42:X42)</f>
        <v>10370000</v>
      </c>
      <c r="Y43" s="193" t="n">
        <f aca="false">SUM($H$42:Y42)</f>
        <v>10370000</v>
      </c>
      <c r="Z43" s="193" t="n">
        <f aca="false">SUM($H$42:Z42)</f>
        <v>10370000</v>
      </c>
      <c r="AA43" s="193" t="n">
        <f aca="false">SUM($H$42:AA42)</f>
        <v>10370000</v>
      </c>
      <c r="AB43" s="193" t="n">
        <f aca="false">SUM($H$42:AB42)</f>
        <v>10370000</v>
      </c>
      <c r="AC43" s="193" t="n">
        <f aca="false">SUM($H$42:AC42)</f>
        <v>10370000</v>
      </c>
      <c r="AD43" s="193" t="n">
        <f aca="false">SUM($H$42:AD42)</f>
        <v>10370000</v>
      </c>
      <c r="AE43" s="193" t="n">
        <f aca="false">SUM($H$42:AE42)</f>
        <v>10370000</v>
      </c>
      <c r="AF43" s="193" t="n">
        <f aca="false">SUM($H$42:AF42)</f>
        <v>10370000</v>
      </c>
      <c r="AG43" s="193" t="n">
        <f aca="false">SUM($H$42:AG42)</f>
        <v>10370000</v>
      </c>
      <c r="AH43" s="193" t="n">
        <f aca="false">SUM($H$42:AH42)</f>
        <v>10370000</v>
      </c>
      <c r="AI43" s="193" t="n">
        <f aca="false">SUM($H$42:AI42)</f>
        <v>10370000</v>
      </c>
      <c r="AJ43" s="193" t="n">
        <f aca="false">SUM($H$42:AJ42)</f>
        <v>10370000</v>
      </c>
      <c r="AK43" s="193" t="n">
        <f aca="false">SUM($H$42:AK42)</f>
        <v>10370000</v>
      </c>
      <c r="AL43" s="193" t="n">
        <f aca="false">SUM($H$42:AL42)</f>
        <v>10370000</v>
      </c>
    </row>
    <row r="44" customFormat="false" ht="15" hidden="false" customHeight="false" outlineLevel="1" collapsed="false">
      <c r="C44" s="370"/>
      <c r="D44" s="30"/>
      <c r="E44" s="162"/>
      <c r="G44" s="30"/>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row>
    <row r="45" customFormat="false" ht="15" hidden="false" customHeight="false" outlineLevel="1" collapsed="false">
      <c r="B45" s="13" t="s">
        <v>598</v>
      </c>
      <c r="C45" s="370"/>
      <c r="D45" s="30"/>
      <c r="E45" s="162"/>
      <c r="G45" s="30"/>
      <c r="H45" s="236"/>
      <c r="I45" s="236"/>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row>
    <row r="46" customFormat="false" ht="15" hidden="false" customHeight="false" outlineLevel="1" collapsed="false">
      <c r="C46" s="370" t="n">
        <v>2024</v>
      </c>
      <c r="D46" s="30"/>
      <c r="E46" s="162"/>
      <c r="G46" s="30" t="s">
        <v>278</v>
      </c>
      <c r="H46" s="202"/>
      <c r="I46" s="202"/>
      <c r="J46" s="55" t="n">
        <f aca="false">I40-J41</f>
        <v>850000</v>
      </c>
      <c r="K46" s="55" t="n">
        <f aca="false">I40-J41</f>
        <v>850000</v>
      </c>
      <c r="L46" s="55" t="n">
        <f aca="false">K46</f>
        <v>850000</v>
      </c>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row>
    <row r="47" customFormat="false" ht="15" hidden="false" customHeight="false" outlineLevel="1" collapsed="false">
      <c r="C47" s="370" t="n">
        <f aca="false">C46+1</f>
        <v>2025</v>
      </c>
      <c r="D47" s="30"/>
      <c r="E47" s="162"/>
      <c r="G47" s="30" t="s">
        <v>278</v>
      </c>
      <c r="H47" s="202"/>
      <c r="I47" s="202"/>
      <c r="J47" s="55"/>
      <c r="K47" s="55" t="n">
        <f aca="false">J40-K41</f>
        <v>1360000</v>
      </c>
      <c r="L47" s="55" t="n">
        <f aca="false">J40-K41</f>
        <v>1360000</v>
      </c>
      <c r="M47" s="55" t="n">
        <f aca="false">L47</f>
        <v>1360000</v>
      </c>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row>
    <row r="48" customFormat="false" ht="15" hidden="false" customHeight="false" outlineLevel="1" collapsed="false">
      <c r="C48" s="370" t="n">
        <f aca="false">C47+1</f>
        <v>2026</v>
      </c>
      <c r="D48" s="30"/>
      <c r="E48" s="162"/>
      <c r="G48" s="30" t="s">
        <v>278</v>
      </c>
      <c r="H48" s="202"/>
      <c r="I48" s="202"/>
      <c r="J48" s="55"/>
      <c r="K48" s="55"/>
      <c r="L48" s="55" t="n">
        <f aca="false">K40-L41</f>
        <v>1360000</v>
      </c>
      <c r="M48" s="55" t="n">
        <f aca="false">K40-L41</f>
        <v>1360000</v>
      </c>
      <c r="N48" s="55" t="n">
        <f aca="false">M48</f>
        <v>1360000</v>
      </c>
      <c r="O48" s="55"/>
      <c r="P48" s="55"/>
      <c r="Q48" s="55"/>
      <c r="R48" s="55"/>
      <c r="S48" s="55"/>
      <c r="T48" s="55"/>
      <c r="U48" s="55"/>
      <c r="V48" s="55"/>
      <c r="W48" s="55"/>
      <c r="X48" s="55"/>
      <c r="Y48" s="55"/>
      <c r="Z48" s="55"/>
      <c r="AA48" s="55"/>
      <c r="AB48" s="55"/>
      <c r="AC48" s="55"/>
      <c r="AD48" s="55"/>
      <c r="AE48" s="55"/>
      <c r="AF48" s="55"/>
      <c r="AG48" s="55"/>
      <c r="AH48" s="55"/>
      <c r="AI48" s="55"/>
      <c r="AJ48" s="55"/>
      <c r="AK48" s="55"/>
      <c r="AL48" s="55"/>
    </row>
    <row r="49" customFormat="false" ht="15" hidden="false" customHeight="false" outlineLevel="1" collapsed="false">
      <c r="C49" s="370" t="n">
        <f aca="false">C48+1</f>
        <v>2027</v>
      </c>
      <c r="D49" s="30"/>
      <c r="E49" s="162"/>
      <c r="G49" s="30" t="s">
        <v>278</v>
      </c>
      <c r="H49" s="202"/>
      <c r="I49" s="202"/>
      <c r="J49" s="55"/>
      <c r="K49" s="55"/>
      <c r="L49" s="55"/>
      <c r="M49" s="55" t="n">
        <f aca="false">L40-M41</f>
        <v>1360000</v>
      </c>
      <c r="N49" s="55" t="n">
        <f aca="false">L40-M41</f>
        <v>1360000</v>
      </c>
      <c r="O49" s="55" t="n">
        <f aca="false">N49</f>
        <v>1360000</v>
      </c>
      <c r="P49" s="55"/>
      <c r="Q49" s="55"/>
      <c r="R49" s="55"/>
      <c r="S49" s="55"/>
      <c r="T49" s="55"/>
      <c r="U49" s="55"/>
      <c r="V49" s="55"/>
      <c r="W49" s="55"/>
      <c r="X49" s="55"/>
      <c r="Y49" s="55"/>
      <c r="Z49" s="55"/>
      <c r="AA49" s="55"/>
      <c r="AB49" s="55"/>
      <c r="AC49" s="55"/>
      <c r="AD49" s="55"/>
      <c r="AE49" s="55"/>
      <c r="AF49" s="55"/>
      <c r="AG49" s="55"/>
      <c r="AH49" s="55"/>
      <c r="AI49" s="55"/>
      <c r="AJ49" s="55"/>
      <c r="AK49" s="55"/>
      <c r="AL49" s="55"/>
    </row>
    <row r="50" customFormat="false" ht="15" hidden="false" customHeight="false" outlineLevel="1" collapsed="false">
      <c r="C50" s="370" t="n">
        <f aca="false">C49+1</f>
        <v>2028</v>
      </c>
      <c r="D50" s="30"/>
      <c r="E50" s="162"/>
      <c r="G50" s="30" t="s">
        <v>278</v>
      </c>
      <c r="H50" s="202"/>
      <c r="I50" s="202"/>
      <c r="J50" s="55"/>
      <c r="K50" s="55"/>
      <c r="L50" s="55"/>
      <c r="M50" s="55"/>
      <c r="N50" s="55" t="n">
        <f aca="false">M40-N41</f>
        <v>1360000</v>
      </c>
      <c r="O50" s="55" t="n">
        <f aca="false">M40-N41</f>
        <v>1360000</v>
      </c>
      <c r="P50" s="55" t="n">
        <f aca="false">O50</f>
        <v>1360000</v>
      </c>
      <c r="Q50" s="55"/>
      <c r="R50" s="55"/>
      <c r="S50" s="55"/>
      <c r="T50" s="55"/>
      <c r="U50" s="55"/>
      <c r="V50" s="55"/>
      <c r="W50" s="55"/>
      <c r="X50" s="55"/>
      <c r="Y50" s="55"/>
      <c r="Z50" s="55"/>
      <c r="AA50" s="55"/>
      <c r="AB50" s="55"/>
      <c r="AC50" s="55"/>
      <c r="AD50" s="55"/>
      <c r="AE50" s="55"/>
      <c r="AF50" s="55"/>
      <c r="AG50" s="55"/>
      <c r="AH50" s="55"/>
      <c r="AI50" s="55"/>
      <c r="AJ50" s="55"/>
      <c r="AK50" s="55"/>
      <c r="AL50" s="55"/>
    </row>
    <row r="51" customFormat="false" ht="15" hidden="false" customHeight="false" outlineLevel="1" collapsed="false">
      <c r="C51" s="370" t="n">
        <f aca="false">C50+1</f>
        <v>2029</v>
      </c>
      <c r="D51" s="30"/>
      <c r="E51" s="162"/>
      <c r="G51" s="30" t="s">
        <v>278</v>
      </c>
      <c r="H51" s="202"/>
      <c r="I51" s="202"/>
      <c r="J51" s="55"/>
      <c r="K51" s="55"/>
      <c r="L51" s="55"/>
      <c r="M51" s="55"/>
      <c r="N51" s="55"/>
      <c r="O51" s="55" t="n">
        <f aca="false">N40-O41</f>
        <v>1360000</v>
      </c>
      <c r="P51" s="55" t="n">
        <f aca="false">N40-O41</f>
        <v>1360000</v>
      </c>
      <c r="Q51" s="55" t="n">
        <f aca="false">P51</f>
        <v>1360000</v>
      </c>
      <c r="R51" s="55"/>
      <c r="S51" s="55"/>
      <c r="T51" s="55"/>
      <c r="U51" s="55"/>
      <c r="V51" s="55"/>
      <c r="W51" s="55"/>
      <c r="X51" s="55"/>
      <c r="Y51" s="55"/>
      <c r="Z51" s="55"/>
      <c r="AA51" s="55"/>
      <c r="AB51" s="55"/>
      <c r="AC51" s="55"/>
      <c r="AD51" s="55"/>
      <c r="AE51" s="55"/>
      <c r="AF51" s="55"/>
      <c r="AG51" s="55"/>
      <c r="AH51" s="55"/>
      <c r="AI51" s="55"/>
      <c r="AJ51" s="55"/>
      <c r="AK51" s="55"/>
      <c r="AL51" s="55"/>
    </row>
    <row r="52" customFormat="false" ht="15" hidden="false" customHeight="false" outlineLevel="1" collapsed="false">
      <c r="C52" s="370" t="n">
        <f aca="false">C51+1</f>
        <v>2030</v>
      </c>
      <c r="D52" s="30"/>
      <c r="E52" s="162"/>
      <c r="G52" s="30" t="s">
        <v>278</v>
      </c>
      <c r="H52" s="202"/>
      <c r="I52" s="202"/>
      <c r="J52" s="55"/>
      <c r="K52" s="55"/>
      <c r="L52" s="55"/>
      <c r="M52" s="55"/>
      <c r="N52" s="55"/>
      <c r="O52" s="55"/>
      <c r="P52" s="55" t="n">
        <f aca="false">O40-P41</f>
        <v>1360000</v>
      </c>
      <c r="Q52" s="55" t="n">
        <f aca="false">O40-P41</f>
        <v>1360000</v>
      </c>
      <c r="R52" s="55" t="n">
        <f aca="false">Q52</f>
        <v>1360000</v>
      </c>
      <c r="S52" s="55"/>
      <c r="T52" s="55"/>
      <c r="U52" s="55"/>
      <c r="V52" s="55"/>
      <c r="W52" s="55"/>
      <c r="X52" s="55"/>
      <c r="Y52" s="55"/>
      <c r="Z52" s="55"/>
      <c r="AA52" s="55"/>
      <c r="AB52" s="55"/>
      <c r="AC52" s="55"/>
      <c r="AD52" s="55"/>
      <c r="AE52" s="55"/>
      <c r="AF52" s="55"/>
      <c r="AG52" s="55"/>
      <c r="AH52" s="55"/>
      <c r="AI52" s="55"/>
      <c r="AJ52" s="55"/>
      <c r="AK52" s="55"/>
      <c r="AL52" s="55"/>
    </row>
    <row r="53" customFormat="false" ht="15" hidden="false" customHeight="false" outlineLevel="1" collapsed="false">
      <c r="B53" s="56"/>
      <c r="C53" s="378" t="n">
        <f aca="false">C52+1</f>
        <v>2031</v>
      </c>
      <c r="D53" s="208"/>
      <c r="E53" s="379"/>
      <c r="F53" s="56"/>
      <c r="G53" s="208" t="s">
        <v>278</v>
      </c>
      <c r="H53" s="380"/>
      <c r="I53" s="380"/>
      <c r="J53" s="59"/>
      <c r="K53" s="59"/>
      <c r="L53" s="59"/>
      <c r="M53" s="59"/>
      <c r="N53" s="59"/>
      <c r="O53" s="59"/>
      <c r="P53" s="59"/>
      <c r="Q53" s="59" t="n">
        <f aca="false">P40-Q41</f>
        <v>1360000</v>
      </c>
      <c r="R53" s="59" t="n">
        <f aca="false">P40-Q41</f>
        <v>1360000</v>
      </c>
      <c r="S53" s="59" t="n">
        <f aca="false">R53</f>
        <v>1360000</v>
      </c>
      <c r="T53" s="59"/>
      <c r="U53" s="59"/>
      <c r="V53" s="59"/>
      <c r="W53" s="59"/>
      <c r="X53" s="59"/>
      <c r="Y53" s="59"/>
      <c r="Z53" s="59"/>
      <c r="AA53" s="59"/>
      <c r="AB53" s="59"/>
      <c r="AC53" s="59"/>
      <c r="AD53" s="59"/>
      <c r="AE53" s="59"/>
      <c r="AF53" s="59"/>
      <c r="AG53" s="59"/>
      <c r="AH53" s="59"/>
      <c r="AI53" s="59"/>
      <c r="AJ53" s="59"/>
      <c r="AK53" s="59"/>
      <c r="AL53" s="59"/>
    </row>
    <row r="54" customFormat="false" ht="15" hidden="false" customHeight="false" outlineLevel="1" collapsed="false">
      <c r="B54" s="13" t="str">
        <f aca="false">"Total "&amp;B45</f>
        <v>Total # of trees to be Maintained</v>
      </c>
      <c r="C54" s="370"/>
      <c r="D54" s="30"/>
      <c r="E54" s="162"/>
      <c r="G54" s="366" t="s">
        <v>278</v>
      </c>
      <c r="H54" s="193" t="n">
        <f aca="false">SUM(H46:H53)</f>
        <v>0</v>
      </c>
      <c r="I54" s="193" t="n">
        <f aca="false">SUM(I46:I53)</f>
        <v>0</v>
      </c>
      <c r="J54" s="193" t="n">
        <f aca="false">SUM(J46:J53)</f>
        <v>850000</v>
      </c>
      <c r="K54" s="193" t="n">
        <f aca="false">SUM(K46:K53)</f>
        <v>2210000</v>
      </c>
      <c r="L54" s="193" t="n">
        <f aca="false">SUM(L46:L53)</f>
        <v>3570000</v>
      </c>
      <c r="M54" s="193" t="n">
        <f aca="false">SUM(M46:M53)</f>
        <v>4080000</v>
      </c>
      <c r="N54" s="193" t="n">
        <f aca="false">SUM(N46:N53)</f>
        <v>4080000</v>
      </c>
      <c r="O54" s="193" t="n">
        <f aca="false">SUM(O46:O53)</f>
        <v>4080000</v>
      </c>
      <c r="P54" s="193" t="n">
        <f aca="false">SUM(P46:P53)</f>
        <v>4080000</v>
      </c>
      <c r="Q54" s="193" t="n">
        <f aca="false">SUM(Q46:Q53)</f>
        <v>4080000</v>
      </c>
      <c r="R54" s="193" t="n">
        <f aca="false">SUM(R46:R53)</f>
        <v>2720000</v>
      </c>
      <c r="S54" s="193" t="n">
        <f aca="false">SUM(S46:S53)</f>
        <v>1360000</v>
      </c>
      <c r="T54" s="193" t="n">
        <f aca="false">SUM(T46:T53)</f>
        <v>0</v>
      </c>
      <c r="U54" s="193" t="n">
        <f aca="false">SUM(U46:U53)</f>
        <v>0</v>
      </c>
      <c r="V54" s="193" t="n">
        <f aca="false">SUM(V46:V53)</f>
        <v>0</v>
      </c>
      <c r="W54" s="193" t="n">
        <f aca="false">SUM(W46:W53)</f>
        <v>0</v>
      </c>
      <c r="X54" s="193" t="n">
        <f aca="false">SUM(X46:X53)</f>
        <v>0</v>
      </c>
      <c r="Y54" s="193" t="n">
        <f aca="false">SUM(Y46:Y53)</f>
        <v>0</v>
      </c>
      <c r="Z54" s="193" t="n">
        <f aca="false">SUM(Z46:Z53)</f>
        <v>0</v>
      </c>
      <c r="AA54" s="193" t="n">
        <f aca="false">SUM(AA46:AA53)</f>
        <v>0</v>
      </c>
      <c r="AB54" s="193" t="n">
        <f aca="false">SUM(AB46:AB53)</f>
        <v>0</v>
      </c>
      <c r="AC54" s="193" t="n">
        <f aca="false">SUM(AC46:AC53)</f>
        <v>0</v>
      </c>
      <c r="AD54" s="193" t="n">
        <f aca="false">SUM(AD46:AD53)</f>
        <v>0</v>
      </c>
      <c r="AE54" s="193" t="n">
        <f aca="false">SUM(AE46:AE53)</f>
        <v>0</v>
      </c>
      <c r="AF54" s="193" t="n">
        <f aca="false">SUM(AF46:AF53)</f>
        <v>0</v>
      </c>
      <c r="AG54" s="193" t="n">
        <f aca="false">SUM(AG46:AG53)</f>
        <v>0</v>
      </c>
      <c r="AH54" s="193" t="n">
        <f aca="false">SUM(AH46:AH53)</f>
        <v>0</v>
      </c>
      <c r="AI54" s="193" t="n">
        <f aca="false">SUM(AI46:AI53)</f>
        <v>0</v>
      </c>
      <c r="AJ54" s="193" t="n">
        <f aca="false">SUM(AJ46:AJ53)</f>
        <v>0</v>
      </c>
      <c r="AK54" s="193" t="n">
        <f aca="false">SUM(AK46:AK53)</f>
        <v>0</v>
      </c>
      <c r="AL54" s="193" t="n">
        <f aca="false">SUM(AL46:AL53)</f>
        <v>0</v>
      </c>
    </row>
    <row r="55" customFormat="false" ht="15" hidden="false" customHeight="false" outlineLevel="1" collapsed="false">
      <c r="C55" s="370"/>
      <c r="D55" s="30"/>
      <c r="E55" s="162"/>
      <c r="G55" s="30"/>
      <c r="H55" s="202"/>
      <c r="I55" s="202"/>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row>
    <row r="56" customFormat="false" ht="15" hidden="false" customHeight="false" outlineLevel="1" collapsed="false">
      <c r="B56" s="13" t="s">
        <v>599</v>
      </c>
      <c r="C56" s="370"/>
      <c r="D56" s="30"/>
      <c r="E56" s="373" t="n">
        <f aca="false">'3. Assumptions'!E92</f>
        <v>0.1</v>
      </c>
      <c r="G56" s="366" t="s">
        <v>112</v>
      </c>
      <c r="H56" s="193" t="n">
        <f aca="false">$E56*H54*H8</f>
        <v>0</v>
      </c>
      <c r="I56" s="193" t="n">
        <f aca="false">$E56*I54*I8</f>
        <v>0</v>
      </c>
      <c r="J56" s="193" t="n">
        <f aca="false">$E56*J54*J8</f>
        <v>90202.68</v>
      </c>
      <c r="K56" s="193" t="n">
        <f aca="false">$E56*K54*K8</f>
        <v>239217.50736</v>
      </c>
      <c r="L56" s="193" t="n">
        <f aca="false">$E56*L54*L8</f>
        <v>394156.8467424</v>
      </c>
      <c r="M56" s="193" t="n">
        <f aca="false">$E56*M54*M8</f>
        <v>459474.267059712</v>
      </c>
      <c r="N56" s="193" t="n">
        <f aca="false">$E56*N54*N8</f>
        <v>468663.752400906</v>
      </c>
      <c r="O56" s="193" t="n">
        <f aca="false">$E56*O54*O8</f>
        <v>478037.027448924</v>
      </c>
      <c r="P56" s="193" t="n">
        <f aca="false">$E56*P54*P8</f>
        <v>487597.767997903</v>
      </c>
      <c r="Q56" s="193" t="n">
        <f aca="false">$E56*Q54*Q8</f>
        <v>497349.723357861</v>
      </c>
      <c r="R56" s="193" t="n">
        <f aca="false">$E56*R54*R8</f>
        <v>338197.811883346</v>
      </c>
      <c r="S56" s="193" t="n">
        <f aca="false">$E56*S54*S8</f>
        <v>172480.884060506</v>
      </c>
      <c r="T56" s="193" t="n">
        <f aca="false">$E56*T54*T8</f>
        <v>0</v>
      </c>
      <c r="U56" s="193" t="n">
        <f aca="false">$E56*U54*U8</f>
        <v>0</v>
      </c>
      <c r="V56" s="193" t="n">
        <f aca="false">$E56*V54*V8</f>
        <v>0</v>
      </c>
      <c r="W56" s="193" t="n">
        <f aca="false">$E56*W54*W8</f>
        <v>0</v>
      </c>
      <c r="X56" s="193" t="n">
        <f aca="false">$E56*X54*X8</f>
        <v>0</v>
      </c>
      <c r="Y56" s="193" t="n">
        <f aca="false">$E56*Y54*Y8</f>
        <v>0</v>
      </c>
      <c r="Z56" s="193" t="n">
        <f aca="false">$E56*Z54*Z8</f>
        <v>0</v>
      </c>
      <c r="AA56" s="193" t="n">
        <f aca="false">$E56*AA54*AA8</f>
        <v>0</v>
      </c>
      <c r="AB56" s="193" t="n">
        <f aca="false">$E56*AB54*AB8</f>
        <v>0</v>
      </c>
      <c r="AC56" s="193" t="n">
        <f aca="false">$E56*AC54*AC8</f>
        <v>0</v>
      </c>
      <c r="AD56" s="193" t="n">
        <f aca="false">$E56*AD54*AD8</f>
        <v>0</v>
      </c>
      <c r="AE56" s="193" t="n">
        <f aca="false">$E56*AE54*AE8</f>
        <v>0</v>
      </c>
      <c r="AF56" s="193" t="n">
        <f aca="false">$E56*AF54*AF8</f>
        <v>0</v>
      </c>
      <c r="AG56" s="193" t="n">
        <f aca="false">$E56*AG54*AG8</f>
        <v>0</v>
      </c>
      <c r="AH56" s="193" t="n">
        <f aca="false">$E56*AH54*AH8</f>
        <v>0</v>
      </c>
      <c r="AI56" s="193" t="n">
        <f aca="false">$E56*AI54*AI8</f>
        <v>0</v>
      </c>
      <c r="AJ56" s="193" t="n">
        <f aca="false">$E56*AJ54*AJ8</f>
        <v>0</v>
      </c>
      <c r="AK56" s="193" t="n">
        <f aca="false">$E56*AK54*AK8</f>
        <v>0</v>
      </c>
      <c r="AL56" s="193" t="n">
        <f aca="false">$E56*AL54*AL8</f>
        <v>0</v>
      </c>
    </row>
    <row r="57" customFormat="false" ht="15" hidden="false" customHeight="false" outlineLevel="1" collapsed="false">
      <c r="C57" s="370"/>
      <c r="D57" s="30"/>
      <c r="E57" s="162"/>
      <c r="G57" s="30"/>
      <c r="H57" s="202"/>
      <c r="I57" s="202"/>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row>
    <row r="58" customFormat="false" ht="15" hidden="false" customHeight="false" outlineLevel="0" collapsed="false">
      <c r="B58" s="363" t="s">
        <v>325</v>
      </c>
      <c r="C58" s="363"/>
      <c r="D58" s="364"/>
      <c r="E58" s="363"/>
      <c r="F58" s="363"/>
      <c r="G58" s="365"/>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c r="AG58" s="363"/>
      <c r="AH58" s="363"/>
      <c r="AI58" s="363"/>
      <c r="AJ58" s="363"/>
      <c r="AK58" s="363"/>
      <c r="AL58" s="363"/>
    </row>
    <row r="59" customFormat="false" ht="15" hidden="false" customHeight="false" outlineLevel="1" collapsed="false">
      <c r="C59" s="370"/>
      <c r="D59" s="30"/>
      <c r="E59" s="162"/>
      <c r="G59" s="30"/>
      <c r="H59" s="202"/>
      <c r="I59" s="202"/>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row>
    <row r="60" customFormat="false" ht="15" hidden="false" customHeight="false" outlineLevel="1" collapsed="false">
      <c r="B60" s="381" t="s">
        <v>326</v>
      </c>
      <c r="C60" s="382"/>
      <c r="D60" s="374" t="s">
        <v>600</v>
      </c>
      <c r="E60" s="33" t="s">
        <v>601</v>
      </c>
      <c r="G60" s="30"/>
      <c r="H60" s="202"/>
      <c r="I60" s="202"/>
    </row>
    <row r="61" customFormat="false" ht="15" hidden="false" customHeight="false" outlineLevel="1" collapsed="false">
      <c r="C61" s="13" t="s">
        <v>331</v>
      </c>
      <c r="D61" s="374"/>
      <c r="G61" s="30"/>
      <c r="H61" s="202"/>
      <c r="I61" s="202"/>
    </row>
    <row r="62" customFormat="false" ht="15" hidden="false" customHeight="false" outlineLevel="1" collapsed="false">
      <c r="C62" s="383" t="str">
        <f aca="false">'3. Assumptions'!C98</f>
        <v>Country Manager</v>
      </c>
      <c r="G62" s="30" t="s">
        <v>602</v>
      </c>
      <c r="H62" s="236" t="n">
        <f aca="false">'3. Assumptions'!G98</f>
        <v>1</v>
      </c>
      <c r="I62" s="236" t="n">
        <f aca="false">'3. Assumptions'!H98</f>
        <v>1</v>
      </c>
      <c r="J62" s="236" t="n">
        <f aca="false">'3. Assumptions'!I98</f>
        <v>1</v>
      </c>
      <c r="K62" s="236" t="n">
        <f aca="false">'3. Assumptions'!J98</f>
        <v>1</v>
      </c>
      <c r="L62" s="236" t="n">
        <f aca="false">'3. Assumptions'!K98</f>
        <v>1</v>
      </c>
      <c r="M62" s="236" t="n">
        <f aca="false">'3. Assumptions'!L98</f>
        <v>1</v>
      </c>
      <c r="N62" s="236" t="n">
        <f aca="false">'3. Assumptions'!M98</f>
        <v>1</v>
      </c>
      <c r="O62" s="236" t="n">
        <f aca="false">'3. Assumptions'!N98</f>
        <v>1</v>
      </c>
      <c r="P62" s="236" t="n">
        <f aca="false">'3. Assumptions'!O98</f>
        <v>1</v>
      </c>
      <c r="Q62" s="236" t="n">
        <f aca="false">P62</f>
        <v>1</v>
      </c>
      <c r="R62" s="236" t="n">
        <f aca="false">Q62</f>
        <v>1</v>
      </c>
      <c r="S62" s="236" t="n">
        <f aca="false">R62</f>
        <v>1</v>
      </c>
      <c r="T62" s="236" t="n">
        <f aca="false">S62</f>
        <v>1</v>
      </c>
      <c r="U62" s="236" t="n">
        <f aca="false">T62</f>
        <v>1</v>
      </c>
      <c r="V62" s="236" t="n">
        <f aca="false">U62</f>
        <v>1</v>
      </c>
      <c r="W62" s="236" t="n">
        <f aca="false">V62</f>
        <v>1</v>
      </c>
      <c r="X62" s="236" t="n">
        <f aca="false">W62</f>
        <v>1</v>
      </c>
      <c r="Y62" s="236" t="n">
        <f aca="false">X62</f>
        <v>1</v>
      </c>
      <c r="Z62" s="236" t="n">
        <f aca="false">Y62</f>
        <v>1</v>
      </c>
      <c r="AA62" s="236" t="n">
        <f aca="false">Z62</f>
        <v>1</v>
      </c>
      <c r="AB62" s="236" t="n">
        <f aca="false">AA62</f>
        <v>1</v>
      </c>
      <c r="AC62" s="236" t="n">
        <f aca="false">AB62</f>
        <v>1</v>
      </c>
      <c r="AD62" s="236" t="n">
        <f aca="false">AC62</f>
        <v>1</v>
      </c>
      <c r="AE62" s="236" t="n">
        <f aca="false">AD62</f>
        <v>1</v>
      </c>
      <c r="AF62" s="236" t="n">
        <f aca="false">AE62</f>
        <v>1</v>
      </c>
      <c r="AG62" s="236" t="n">
        <f aca="false">AF62</f>
        <v>1</v>
      </c>
      <c r="AH62" s="236" t="n">
        <f aca="false">AG62</f>
        <v>1</v>
      </c>
      <c r="AI62" s="236" t="n">
        <f aca="false">AH62</f>
        <v>1</v>
      </c>
      <c r="AJ62" s="236" t="n">
        <f aca="false">AI62</f>
        <v>1</v>
      </c>
      <c r="AK62" s="236" t="n">
        <f aca="false">AJ62</f>
        <v>1</v>
      </c>
      <c r="AL62" s="236" t="n">
        <f aca="false">AK62</f>
        <v>1</v>
      </c>
    </row>
    <row r="63" customFormat="false" ht="15" hidden="false" customHeight="false" outlineLevel="1" collapsed="false">
      <c r="C63" s="383" t="str">
        <f aca="false">'3. Assumptions'!C99</f>
        <v>Director of Reforestation Operations</v>
      </c>
      <c r="G63" s="30" t="s">
        <v>602</v>
      </c>
      <c r="H63" s="236" t="n">
        <f aca="false">'3. Assumptions'!G99</f>
        <v>0</v>
      </c>
      <c r="I63" s="236" t="n">
        <f aca="false">'3. Assumptions'!H99</f>
        <v>1</v>
      </c>
      <c r="J63" s="236" t="n">
        <f aca="false">'3. Assumptions'!I99</f>
        <v>1</v>
      </c>
      <c r="K63" s="236" t="n">
        <f aca="false">'3. Assumptions'!J99</f>
        <v>1</v>
      </c>
      <c r="L63" s="236" t="n">
        <f aca="false">'3. Assumptions'!K99</f>
        <v>1</v>
      </c>
      <c r="M63" s="236" t="n">
        <f aca="false">'3. Assumptions'!L99</f>
        <v>1</v>
      </c>
      <c r="N63" s="236" t="n">
        <f aca="false">'3. Assumptions'!M99</f>
        <v>1</v>
      </c>
      <c r="O63" s="236" t="n">
        <f aca="false">'3. Assumptions'!N99</f>
        <v>1</v>
      </c>
      <c r="P63" s="236" t="n">
        <f aca="false">'3. Assumptions'!O99</f>
        <v>1</v>
      </c>
      <c r="Q63" s="236" t="n">
        <f aca="false">P63</f>
        <v>1</v>
      </c>
      <c r="R63" s="236" t="n">
        <f aca="false">Q63</f>
        <v>1</v>
      </c>
      <c r="S63" s="236" t="n">
        <f aca="false">R63</f>
        <v>1</v>
      </c>
      <c r="T63" s="236" t="n">
        <f aca="false">S63</f>
        <v>1</v>
      </c>
      <c r="U63" s="236" t="n">
        <f aca="false">T63</f>
        <v>1</v>
      </c>
      <c r="V63" s="236" t="n">
        <f aca="false">U63</f>
        <v>1</v>
      </c>
      <c r="W63" s="236" t="n">
        <f aca="false">V63</f>
        <v>1</v>
      </c>
      <c r="X63" s="236" t="n">
        <f aca="false">W63</f>
        <v>1</v>
      </c>
      <c r="Y63" s="236" t="n">
        <f aca="false">X63</f>
        <v>1</v>
      </c>
      <c r="Z63" s="236" t="n">
        <f aca="false">Y63</f>
        <v>1</v>
      </c>
      <c r="AA63" s="236" t="n">
        <f aca="false">Z63</f>
        <v>1</v>
      </c>
      <c r="AB63" s="236" t="n">
        <f aca="false">AA63</f>
        <v>1</v>
      </c>
      <c r="AC63" s="236" t="n">
        <f aca="false">AB63</f>
        <v>1</v>
      </c>
      <c r="AD63" s="236" t="n">
        <f aca="false">AC63</f>
        <v>1</v>
      </c>
      <c r="AE63" s="236" t="n">
        <f aca="false">AD63</f>
        <v>1</v>
      </c>
      <c r="AF63" s="236" t="n">
        <f aca="false">AE63</f>
        <v>1</v>
      </c>
      <c r="AG63" s="236" t="n">
        <f aca="false">AF63</f>
        <v>1</v>
      </c>
      <c r="AH63" s="236" t="n">
        <f aca="false">AG63</f>
        <v>1</v>
      </c>
      <c r="AI63" s="236" t="n">
        <f aca="false">AH63</f>
        <v>1</v>
      </c>
      <c r="AJ63" s="236" t="n">
        <f aca="false">AI63</f>
        <v>1</v>
      </c>
      <c r="AK63" s="236" t="n">
        <f aca="false">AJ63</f>
        <v>1</v>
      </c>
      <c r="AL63" s="236" t="n">
        <f aca="false">AK63</f>
        <v>1</v>
      </c>
    </row>
    <row r="64" customFormat="false" ht="15" hidden="false" customHeight="false" outlineLevel="1" collapsed="false">
      <c r="C64" s="383" t="str">
        <f aca="false">'3. Assumptions'!C100</f>
        <v>CFO</v>
      </c>
      <c r="G64" s="30" t="s">
        <v>602</v>
      </c>
      <c r="H64" s="236" t="n">
        <f aca="false">'3. Assumptions'!G100</f>
        <v>1</v>
      </c>
      <c r="I64" s="236" t="n">
        <f aca="false">'3. Assumptions'!H100</f>
        <v>1</v>
      </c>
      <c r="J64" s="236" t="n">
        <f aca="false">'3. Assumptions'!I100</f>
        <v>1</v>
      </c>
      <c r="K64" s="236" t="n">
        <f aca="false">'3. Assumptions'!J100</f>
        <v>1</v>
      </c>
      <c r="L64" s="236" t="n">
        <f aca="false">'3. Assumptions'!K100</f>
        <v>1</v>
      </c>
      <c r="M64" s="236" t="n">
        <f aca="false">'3. Assumptions'!L100</f>
        <v>1</v>
      </c>
      <c r="N64" s="236" t="n">
        <f aca="false">'3. Assumptions'!M100</f>
        <v>1</v>
      </c>
      <c r="O64" s="236" t="n">
        <f aca="false">'3. Assumptions'!N100</f>
        <v>1</v>
      </c>
      <c r="P64" s="236" t="n">
        <f aca="false">'3. Assumptions'!O100</f>
        <v>1</v>
      </c>
      <c r="Q64" s="236" t="n">
        <f aca="false">P64</f>
        <v>1</v>
      </c>
      <c r="R64" s="236" t="n">
        <f aca="false">Q64</f>
        <v>1</v>
      </c>
      <c r="S64" s="236" t="n">
        <f aca="false">R64</f>
        <v>1</v>
      </c>
      <c r="T64" s="236" t="n">
        <f aca="false">S64</f>
        <v>1</v>
      </c>
      <c r="U64" s="236" t="n">
        <f aca="false">T64</f>
        <v>1</v>
      </c>
      <c r="V64" s="236" t="n">
        <f aca="false">U64</f>
        <v>1</v>
      </c>
      <c r="W64" s="236" t="n">
        <f aca="false">V64</f>
        <v>1</v>
      </c>
      <c r="X64" s="236" t="n">
        <f aca="false">W64</f>
        <v>1</v>
      </c>
      <c r="Y64" s="236" t="n">
        <f aca="false">X64</f>
        <v>1</v>
      </c>
      <c r="Z64" s="236" t="n">
        <f aca="false">Y64</f>
        <v>1</v>
      </c>
      <c r="AA64" s="236" t="n">
        <f aca="false">Z64</f>
        <v>1</v>
      </c>
      <c r="AB64" s="236" t="n">
        <f aca="false">AA64</f>
        <v>1</v>
      </c>
      <c r="AC64" s="236" t="n">
        <f aca="false">AB64</f>
        <v>1</v>
      </c>
      <c r="AD64" s="236" t="n">
        <f aca="false">AC64</f>
        <v>1</v>
      </c>
      <c r="AE64" s="236" t="n">
        <f aca="false">AD64</f>
        <v>1</v>
      </c>
      <c r="AF64" s="236" t="n">
        <f aca="false">AE64</f>
        <v>1</v>
      </c>
      <c r="AG64" s="236" t="n">
        <f aca="false">AF64</f>
        <v>1</v>
      </c>
      <c r="AH64" s="236" t="n">
        <f aca="false">AG64</f>
        <v>1</v>
      </c>
      <c r="AI64" s="236" t="n">
        <f aca="false">AH64</f>
        <v>1</v>
      </c>
      <c r="AJ64" s="236" t="n">
        <f aca="false">AI64</f>
        <v>1</v>
      </c>
      <c r="AK64" s="236" t="n">
        <f aca="false">AJ64</f>
        <v>1</v>
      </c>
      <c r="AL64" s="236" t="n">
        <f aca="false">AK64</f>
        <v>1</v>
      </c>
    </row>
    <row r="65" customFormat="false" ht="15" hidden="false" customHeight="false" outlineLevel="1" collapsed="false">
      <c r="C65" s="383" t="str">
        <f aca="false">'3. Assumptions'!C101</f>
        <v>Director of HR</v>
      </c>
      <c r="G65" s="30" t="s">
        <v>602</v>
      </c>
      <c r="H65" s="236" t="n">
        <f aca="false">'3. Assumptions'!G101</f>
        <v>0</v>
      </c>
      <c r="I65" s="236" t="n">
        <f aca="false">'3. Assumptions'!H101</f>
        <v>1</v>
      </c>
      <c r="J65" s="236" t="n">
        <f aca="false">'3. Assumptions'!I101</f>
        <v>1</v>
      </c>
      <c r="K65" s="236" t="n">
        <f aca="false">'3. Assumptions'!J101</f>
        <v>1</v>
      </c>
      <c r="L65" s="236" t="n">
        <f aca="false">'3. Assumptions'!K101</f>
        <v>1</v>
      </c>
      <c r="M65" s="236" t="n">
        <f aca="false">'3. Assumptions'!L101</f>
        <v>1</v>
      </c>
      <c r="N65" s="236" t="n">
        <f aca="false">'3. Assumptions'!M101</f>
        <v>1</v>
      </c>
      <c r="O65" s="236" t="n">
        <f aca="false">'3. Assumptions'!N101</f>
        <v>1</v>
      </c>
      <c r="P65" s="236" t="n">
        <f aca="false">'3. Assumptions'!O101</f>
        <v>1</v>
      </c>
      <c r="Q65" s="236" t="n">
        <f aca="false">P65</f>
        <v>1</v>
      </c>
      <c r="R65" s="236" t="n">
        <f aca="false">Q65</f>
        <v>1</v>
      </c>
      <c r="S65" s="236" t="n">
        <f aca="false">R65</f>
        <v>1</v>
      </c>
      <c r="T65" s="236" t="n">
        <f aca="false">S65</f>
        <v>1</v>
      </c>
      <c r="U65" s="236" t="n">
        <f aca="false">T65</f>
        <v>1</v>
      </c>
      <c r="V65" s="236" t="n">
        <f aca="false">U65</f>
        <v>1</v>
      </c>
      <c r="W65" s="236" t="n">
        <f aca="false">V65</f>
        <v>1</v>
      </c>
      <c r="X65" s="236" t="n">
        <f aca="false">W65</f>
        <v>1</v>
      </c>
      <c r="Y65" s="236" t="n">
        <f aca="false">X65</f>
        <v>1</v>
      </c>
      <c r="Z65" s="236" t="n">
        <f aca="false">Y65</f>
        <v>1</v>
      </c>
      <c r="AA65" s="236" t="n">
        <f aca="false">Z65</f>
        <v>1</v>
      </c>
      <c r="AB65" s="236" t="n">
        <f aca="false">AA65</f>
        <v>1</v>
      </c>
      <c r="AC65" s="236" t="n">
        <f aca="false">AB65</f>
        <v>1</v>
      </c>
      <c r="AD65" s="236" t="n">
        <f aca="false">AC65</f>
        <v>1</v>
      </c>
      <c r="AE65" s="236" t="n">
        <f aca="false">AD65</f>
        <v>1</v>
      </c>
      <c r="AF65" s="236" t="n">
        <f aca="false">AE65</f>
        <v>1</v>
      </c>
      <c r="AG65" s="236" t="n">
        <f aca="false">AF65</f>
        <v>1</v>
      </c>
      <c r="AH65" s="236" t="n">
        <f aca="false">AG65</f>
        <v>1</v>
      </c>
      <c r="AI65" s="236" t="n">
        <f aca="false">AH65</f>
        <v>1</v>
      </c>
      <c r="AJ65" s="236" t="n">
        <f aca="false">AI65</f>
        <v>1</v>
      </c>
      <c r="AK65" s="236" t="n">
        <f aca="false">AJ65</f>
        <v>1</v>
      </c>
      <c r="AL65" s="236" t="n">
        <f aca="false">AK65</f>
        <v>1</v>
      </c>
    </row>
    <row r="66" customFormat="false" ht="15" hidden="false" customHeight="false" outlineLevel="1" collapsed="false">
      <c r="C66" s="383" t="str">
        <f aca="false">'3. Assumptions'!C102</f>
        <v>Director of Partnership&amp;ITC</v>
      </c>
      <c r="G66" s="30" t="s">
        <v>602</v>
      </c>
      <c r="H66" s="236" t="n">
        <f aca="false">'3. Assumptions'!G102</f>
        <v>1</v>
      </c>
      <c r="I66" s="236" t="n">
        <f aca="false">'3. Assumptions'!H102</f>
        <v>1</v>
      </c>
      <c r="J66" s="236" t="n">
        <f aca="false">'3. Assumptions'!I102</f>
        <v>1</v>
      </c>
      <c r="K66" s="236" t="n">
        <f aca="false">'3. Assumptions'!J102</f>
        <v>1</v>
      </c>
      <c r="L66" s="236" t="n">
        <f aca="false">'3. Assumptions'!K102</f>
        <v>1</v>
      </c>
      <c r="M66" s="236" t="n">
        <f aca="false">'3. Assumptions'!L102</f>
        <v>1</v>
      </c>
      <c r="N66" s="236" t="n">
        <f aca="false">'3. Assumptions'!M102</f>
        <v>1</v>
      </c>
      <c r="O66" s="236" t="n">
        <f aca="false">'3. Assumptions'!N102</f>
        <v>1</v>
      </c>
      <c r="P66" s="236" t="n">
        <f aca="false">'3. Assumptions'!O102</f>
        <v>1</v>
      </c>
      <c r="Q66" s="236" t="n">
        <f aca="false">P66</f>
        <v>1</v>
      </c>
      <c r="R66" s="236" t="n">
        <f aca="false">Q66</f>
        <v>1</v>
      </c>
      <c r="S66" s="236" t="n">
        <f aca="false">R66</f>
        <v>1</v>
      </c>
      <c r="T66" s="236" t="n">
        <f aca="false">S66</f>
        <v>1</v>
      </c>
      <c r="U66" s="236" t="n">
        <f aca="false">T66</f>
        <v>1</v>
      </c>
      <c r="V66" s="236" t="n">
        <f aca="false">U66</f>
        <v>1</v>
      </c>
      <c r="W66" s="236" t="n">
        <f aca="false">V66</f>
        <v>1</v>
      </c>
      <c r="X66" s="236" t="n">
        <f aca="false">W66</f>
        <v>1</v>
      </c>
      <c r="Y66" s="236" t="n">
        <f aca="false">X66</f>
        <v>1</v>
      </c>
      <c r="Z66" s="236" t="n">
        <f aca="false">Y66</f>
        <v>1</v>
      </c>
      <c r="AA66" s="236" t="n">
        <f aca="false">Z66</f>
        <v>1</v>
      </c>
      <c r="AB66" s="236" t="n">
        <f aca="false">AA66</f>
        <v>1</v>
      </c>
      <c r="AC66" s="236" t="n">
        <f aca="false">AB66</f>
        <v>1</v>
      </c>
      <c r="AD66" s="236" t="n">
        <f aca="false">AC66</f>
        <v>1</v>
      </c>
      <c r="AE66" s="236" t="n">
        <f aca="false">AD66</f>
        <v>1</v>
      </c>
      <c r="AF66" s="236" t="n">
        <f aca="false">AE66</f>
        <v>1</v>
      </c>
      <c r="AG66" s="236" t="n">
        <f aca="false">AF66</f>
        <v>1</v>
      </c>
      <c r="AH66" s="236" t="n">
        <f aca="false">AG66</f>
        <v>1</v>
      </c>
      <c r="AI66" s="236" t="n">
        <f aca="false">AH66</f>
        <v>1</v>
      </c>
      <c r="AJ66" s="236" t="n">
        <f aca="false">AI66</f>
        <v>1</v>
      </c>
      <c r="AK66" s="236" t="n">
        <f aca="false">AJ66</f>
        <v>1</v>
      </c>
      <c r="AL66" s="236" t="n">
        <f aca="false">AK66</f>
        <v>1</v>
      </c>
    </row>
    <row r="67" customFormat="false" ht="15" hidden="false" customHeight="false" outlineLevel="1" collapsed="false">
      <c r="C67" s="383" t="str">
        <f aca="false">'3. Assumptions'!C103</f>
        <v>Managers</v>
      </c>
      <c r="G67" s="30" t="s">
        <v>602</v>
      </c>
      <c r="H67" s="236" t="n">
        <f aca="false">'3. Assumptions'!G103</f>
        <v>10</v>
      </c>
      <c r="I67" s="236" t="n">
        <f aca="false">'3. Assumptions'!H103</f>
        <v>4</v>
      </c>
      <c r="J67" s="236" t="n">
        <f aca="false">'3. Assumptions'!I103</f>
        <v>4</v>
      </c>
      <c r="K67" s="236" t="n">
        <f aca="false">'3. Assumptions'!J103</f>
        <v>4</v>
      </c>
      <c r="L67" s="236" t="n">
        <f aca="false">'3. Assumptions'!K103</f>
        <v>6</v>
      </c>
      <c r="M67" s="236" t="n">
        <f aca="false">'3. Assumptions'!L103</f>
        <v>6</v>
      </c>
      <c r="N67" s="236" t="n">
        <f aca="false">'3. Assumptions'!M103</f>
        <v>8</v>
      </c>
      <c r="O67" s="236" t="n">
        <f aca="false">'3. Assumptions'!N103</f>
        <v>8</v>
      </c>
      <c r="P67" s="236" t="n">
        <f aca="false">'3. Assumptions'!O103</f>
        <v>8</v>
      </c>
      <c r="Q67" s="236" t="n">
        <f aca="false">P67</f>
        <v>8</v>
      </c>
      <c r="R67" s="236" t="n">
        <f aca="false">Q67</f>
        <v>8</v>
      </c>
      <c r="S67" s="236" t="n">
        <f aca="false">R67</f>
        <v>8</v>
      </c>
      <c r="T67" s="236" t="n">
        <f aca="false">S67</f>
        <v>8</v>
      </c>
      <c r="U67" s="236" t="n">
        <f aca="false">T67</f>
        <v>8</v>
      </c>
      <c r="V67" s="236" t="n">
        <f aca="false">U67</f>
        <v>8</v>
      </c>
      <c r="W67" s="236" t="n">
        <f aca="false">V67</f>
        <v>8</v>
      </c>
      <c r="X67" s="236" t="n">
        <f aca="false">W67</f>
        <v>8</v>
      </c>
      <c r="Y67" s="236" t="n">
        <f aca="false">X67</f>
        <v>8</v>
      </c>
      <c r="Z67" s="236" t="n">
        <f aca="false">Y67</f>
        <v>8</v>
      </c>
      <c r="AA67" s="236" t="n">
        <f aca="false">Z67</f>
        <v>8</v>
      </c>
      <c r="AB67" s="236" t="n">
        <f aca="false">AA67</f>
        <v>8</v>
      </c>
      <c r="AC67" s="236" t="n">
        <f aca="false">AB67</f>
        <v>8</v>
      </c>
      <c r="AD67" s="236" t="n">
        <f aca="false">AC67</f>
        <v>8</v>
      </c>
      <c r="AE67" s="236" t="n">
        <f aca="false">AD67</f>
        <v>8</v>
      </c>
      <c r="AF67" s="236" t="n">
        <f aca="false">AE67</f>
        <v>8</v>
      </c>
      <c r="AG67" s="236" t="n">
        <f aca="false">AF67</f>
        <v>8</v>
      </c>
      <c r="AH67" s="236" t="n">
        <f aca="false">AG67</f>
        <v>8</v>
      </c>
      <c r="AI67" s="236" t="n">
        <f aca="false">AH67</f>
        <v>8</v>
      </c>
      <c r="AJ67" s="236" t="n">
        <f aca="false">AI67</f>
        <v>8</v>
      </c>
      <c r="AK67" s="236" t="n">
        <f aca="false">AJ67</f>
        <v>8</v>
      </c>
      <c r="AL67" s="236" t="n">
        <f aca="false">AK67</f>
        <v>8</v>
      </c>
    </row>
    <row r="68" customFormat="false" ht="15" hidden="false" customHeight="false" outlineLevel="1" collapsed="false">
      <c r="C68" s="383" t="str">
        <f aca="false">'3. Assumptions'!C104</f>
        <v>Technical Staff</v>
      </c>
      <c r="G68" s="30" t="s">
        <v>602</v>
      </c>
      <c r="H68" s="236" t="n">
        <f aca="false">'3. Assumptions'!G104</f>
        <v>4</v>
      </c>
      <c r="I68" s="236" t="n">
        <f aca="false">'3. Assumptions'!H104</f>
        <v>4</v>
      </c>
      <c r="J68" s="236" t="n">
        <f aca="false">'3. Assumptions'!I104</f>
        <v>4</v>
      </c>
      <c r="K68" s="236" t="n">
        <f aca="false">'3. Assumptions'!J104</f>
        <v>4</v>
      </c>
      <c r="L68" s="236" t="n">
        <f aca="false">'3. Assumptions'!K104</f>
        <v>6</v>
      </c>
      <c r="M68" s="236" t="n">
        <f aca="false">'3. Assumptions'!L104</f>
        <v>6</v>
      </c>
      <c r="N68" s="236" t="n">
        <f aca="false">'3. Assumptions'!M104</f>
        <v>8</v>
      </c>
      <c r="O68" s="236" t="n">
        <f aca="false">'3. Assumptions'!N104</f>
        <v>8</v>
      </c>
      <c r="P68" s="236" t="n">
        <f aca="false">'3. Assumptions'!O104</f>
        <v>8</v>
      </c>
      <c r="Q68" s="236" t="n">
        <f aca="false">P68</f>
        <v>8</v>
      </c>
      <c r="R68" s="236" t="n">
        <f aca="false">Q68</f>
        <v>8</v>
      </c>
      <c r="S68" s="236" t="n">
        <f aca="false">R68</f>
        <v>8</v>
      </c>
      <c r="T68" s="236" t="n">
        <f aca="false">S68</f>
        <v>8</v>
      </c>
      <c r="U68" s="236" t="n">
        <f aca="false">T68</f>
        <v>8</v>
      </c>
      <c r="V68" s="236" t="n">
        <f aca="false">U68</f>
        <v>8</v>
      </c>
      <c r="W68" s="236" t="n">
        <f aca="false">V68</f>
        <v>8</v>
      </c>
      <c r="X68" s="236" t="n">
        <f aca="false">W68</f>
        <v>8</v>
      </c>
      <c r="Y68" s="236" t="n">
        <f aca="false">X68</f>
        <v>8</v>
      </c>
      <c r="Z68" s="236" t="n">
        <f aca="false">Y68</f>
        <v>8</v>
      </c>
      <c r="AA68" s="236" t="n">
        <f aca="false">Z68</f>
        <v>8</v>
      </c>
      <c r="AB68" s="236" t="n">
        <f aca="false">AA68</f>
        <v>8</v>
      </c>
      <c r="AC68" s="236" t="n">
        <f aca="false">AB68</f>
        <v>8</v>
      </c>
      <c r="AD68" s="236" t="n">
        <f aca="false">AC68</f>
        <v>8</v>
      </c>
      <c r="AE68" s="236" t="n">
        <f aca="false">AD68</f>
        <v>8</v>
      </c>
      <c r="AF68" s="236" t="n">
        <f aca="false">AE68</f>
        <v>8</v>
      </c>
      <c r="AG68" s="236" t="n">
        <f aca="false">AF68</f>
        <v>8</v>
      </c>
      <c r="AH68" s="236" t="n">
        <f aca="false">AG68</f>
        <v>8</v>
      </c>
      <c r="AI68" s="236" t="n">
        <f aca="false">AH68</f>
        <v>8</v>
      </c>
      <c r="AJ68" s="236" t="n">
        <f aca="false">AI68</f>
        <v>8</v>
      </c>
      <c r="AK68" s="236" t="n">
        <f aca="false">AJ68</f>
        <v>8</v>
      </c>
      <c r="AL68" s="236" t="n">
        <f aca="false">AK68</f>
        <v>8</v>
      </c>
    </row>
    <row r="69" customFormat="false" ht="15" hidden="false" customHeight="false" outlineLevel="1" collapsed="false">
      <c r="C69" s="383" t="str">
        <f aca="false">'3. Assumptions'!C105</f>
        <v>Forest Engineer</v>
      </c>
      <c r="G69" s="30" t="s">
        <v>602</v>
      </c>
      <c r="H69" s="236" t="n">
        <f aca="false">'3. Assumptions'!G105</f>
        <v>2</v>
      </c>
      <c r="I69" s="236" t="n">
        <f aca="false">'3. Assumptions'!H105</f>
        <v>2</v>
      </c>
      <c r="J69" s="236" t="n">
        <f aca="false">'3. Assumptions'!I105</f>
        <v>2</v>
      </c>
      <c r="K69" s="236" t="n">
        <f aca="false">'3. Assumptions'!J105</f>
        <v>2</v>
      </c>
      <c r="L69" s="236" t="n">
        <f aca="false">'3. Assumptions'!K105</f>
        <v>3</v>
      </c>
      <c r="M69" s="236" t="n">
        <f aca="false">'3. Assumptions'!L105</f>
        <v>3</v>
      </c>
      <c r="N69" s="236" t="n">
        <f aca="false">'3. Assumptions'!M105</f>
        <v>4</v>
      </c>
      <c r="O69" s="236" t="n">
        <f aca="false">'3. Assumptions'!N105</f>
        <v>4</v>
      </c>
      <c r="P69" s="236" t="n">
        <f aca="false">'3. Assumptions'!O105</f>
        <v>4</v>
      </c>
      <c r="Q69" s="236" t="n">
        <f aca="false">P69</f>
        <v>4</v>
      </c>
      <c r="R69" s="236" t="n">
        <f aca="false">Q69</f>
        <v>4</v>
      </c>
      <c r="S69" s="236" t="n">
        <f aca="false">R69</f>
        <v>4</v>
      </c>
      <c r="T69" s="236" t="n">
        <f aca="false">S69</f>
        <v>4</v>
      </c>
      <c r="U69" s="236" t="n">
        <f aca="false">T69</f>
        <v>4</v>
      </c>
      <c r="V69" s="236" t="n">
        <f aca="false">U69</f>
        <v>4</v>
      </c>
      <c r="W69" s="236" t="n">
        <f aca="false">V69</f>
        <v>4</v>
      </c>
      <c r="X69" s="236" t="n">
        <f aca="false">W69</f>
        <v>4</v>
      </c>
      <c r="Y69" s="236" t="n">
        <f aca="false">X69</f>
        <v>4</v>
      </c>
      <c r="Z69" s="236" t="n">
        <f aca="false">Y69</f>
        <v>4</v>
      </c>
      <c r="AA69" s="236" t="n">
        <f aca="false">Z69</f>
        <v>4</v>
      </c>
      <c r="AB69" s="236" t="n">
        <f aca="false">AA69</f>
        <v>4</v>
      </c>
      <c r="AC69" s="236" t="n">
        <f aca="false">AB69</f>
        <v>4</v>
      </c>
      <c r="AD69" s="236" t="n">
        <f aca="false">AC69</f>
        <v>4</v>
      </c>
      <c r="AE69" s="236" t="n">
        <f aca="false">AD69</f>
        <v>4</v>
      </c>
      <c r="AF69" s="236" t="n">
        <f aca="false">AE69</f>
        <v>4</v>
      </c>
      <c r="AG69" s="236" t="n">
        <f aca="false">AF69</f>
        <v>4</v>
      </c>
      <c r="AH69" s="236" t="n">
        <f aca="false">AG69</f>
        <v>4</v>
      </c>
      <c r="AI69" s="236" t="n">
        <f aca="false">AH69</f>
        <v>4</v>
      </c>
      <c r="AJ69" s="236" t="n">
        <f aca="false">AI69</f>
        <v>4</v>
      </c>
      <c r="AK69" s="236" t="n">
        <f aca="false">AJ69</f>
        <v>4</v>
      </c>
      <c r="AL69" s="236" t="n">
        <f aca="false">AK69</f>
        <v>4</v>
      </c>
    </row>
    <row r="70" customFormat="false" ht="15" hidden="false" customHeight="false" outlineLevel="1" collapsed="false">
      <c r="C70" s="383" t="str">
        <f aca="false">'3. Assumptions'!C106</f>
        <v>Employees</v>
      </c>
      <c r="G70" s="30" t="s">
        <v>602</v>
      </c>
      <c r="H70" s="236" t="n">
        <f aca="false">'3. Assumptions'!G106</f>
        <v>8</v>
      </c>
      <c r="I70" s="236" t="n">
        <f aca="false">'3. Assumptions'!H106</f>
        <v>8</v>
      </c>
      <c r="J70" s="236" t="n">
        <f aca="false">'3. Assumptions'!I106</f>
        <v>8</v>
      </c>
      <c r="K70" s="236" t="n">
        <f aca="false">'3. Assumptions'!J106</f>
        <v>8</v>
      </c>
      <c r="L70" s="236" t="n">
        <f aca="false">'3. Assumptions'!K106</f>
        <v>12</v>
      </c>
      <c r="M70" s="236" t="n">
        <f aca="false">'3. Assumptions'!L106</f>
        <v>12</v>
      </c>
      <c r="N70" s="236" t="n">
        <f aca="false">'3. Assumptions'!M106</f>
        <v>16</v>
      </c>
      <c r="O70" s="236" t="n">
        <f aca="false">'3. Assumptions'!N106</f>
        <v>16</v>
      </c>
      <c r="P70" s="236" t="n">
        <f aca="false">'3. Assumptions'!O106</f>
        <v>16</v>
      </c>
      <c r="Q70" s="236" t="n">
        <f aca="false">P70</f>
        <v>16</v>
      </c>
      <c r="R70" s="236" t="n">
        <f aca="false">Q70</f>
        <v>16</v>
      </c>
      <c r="S70" s="236" t="n">
        <f aca="false">R70</f>
        <v>16</v>
      </c>
      <c r="T70" s="236" t="n">
        <f aca="false">S70</f>
        <v>16</v>
      </c>
      <c r="U70" s="236" t="n">
        <f aca="false">T70</f>
        <v>16</v>
      </c>
      <c r="V70" s="236" t="n">
        <f aca="false">U70</f>
        <v>16</v>
      </c>
      <c r="W70" s="236" t="n">
        <f aca="false">V70</f>
        <v>16</v>
      </c>
      <c r="X70" s="236" t="n">
        <f aca="false">W70</f>
        <v>16</v>
      </c>
      <c r="Y70" s="236" t="n">
        <f aca="false">X70</f>
        <v>16</v>
      </c>
      <c r="Z70" s="236" t="n">
        <f aca="false">Y70</f>
        <v>16</v>
      </c>
      <c r="AA70" s="236" t="n">
        <f aca="false">Z70</f>
        <v>16</v>
      </c>
      <c r="AB70" s="236" t="n">
        <f aca="false">AA70</f>
        <v>16</v>
      </c>
      <c r="AC70" s="236" t="n">
        <f aca="false">AB70</f>
        <v>16</v>
      </c>
      <c r="AD70" s="236" t="n">
        <f aca="false">AC70</f>
        <v>16</v>
      </c>
      <c r="AE70" s="236" t="n">
        <f aca="false">AD70</f>
        <v>16</v>
      </c>
      <c r="AF70" s="236" t="n">
        <f aca="false">AE70</f>
        <v>16</v>
      </c>
      <c r="AG70" s="236" t="n">
        <f aca="false">AF70</f>
        <v>16</v>
      </c>
      <c r="AH70" s="236" t="n">
        <f aca="false">AG70</f>
        <v>16</v>
      </c>
      <c r="AI70" s="236" t="n">
        <f aca="false">AH70</f>
        <v>16</v>
      </c>
      <c r="AJ70" s="236" t="n">
        <f aca="false">AI70</f>
        <v>16</v>
      </c>
      <c r="AK70" s="236" t="n">
        <f aca="false">AJ70</f>
        <v>16</v>
      </c>
      <c r="AL70" s="236" t="n">
        <f aca="false">AK70</f>
        <v>16</v>
      </c>
    </row>
    <row r="71" customFormat="false" ht="15" hidden="false" customHeight="false" outlineLevel="1" collapsed="false">
      <c r="C71" s="383" t="str">
        <f aca="false">'3. Assumptions'!C107</f>
        <v>Executive Secretary</v>
      </c>
      <c r="G71" s="30" t="s">
        <v>602</v>
      </c>
      <c r="H71" s="236" t="n">
        <f aca="false">'3. Assumptions'!G107</f>
        <v>1</v>
      </c>
      <c r="I71" s="236" t="n">
        <f aca="false">'3. Assumptions'!H107</f>
        <v>1</v>
      </c>
      <c r="J71" s="236" t="n">
        <f aca="false">'3. Assumptions'!I107</f>
        <v>1</v>
      </c>
      <c r="K71" s="236" t="n">
        <f aca="false">'3. Assumptions'!J107</f>
        <v>1</v>
      </c>
      <c r="L71" s="236" t="n">
        <f aca="false">'3. Assumptions'!K107</f>
        <v>1</v>
      </c>
      <c r="M71" s="236" t="n">
        <f aca="false">'3. Assumptions'!L107</f>
        <v>1</v>
      </c>
      <c r="N71" s="236" t="n">
        <f aca="false">'3. Assumptions'!M107</f>
        <v>1</v>
      </c>
      <c r="O71" s="236" t="n">
        <f aca="false">'3. Assumptions'!N107</f>
        <v>1</v>
      </c>
      <c r="P71" s="236" t="n">
        <f aca="false">'3. Assumptions'!O107</f>
        <v>1</v>
      </c>
      <c r="Q71" s="236" t="n">
        <f aca="false">P71</f>
        <v>1</v>
      </c>
      <c r="R71" s="236" t="n">
        <f aca="false">Q71</f>
        <v>1</v>
      </c>
      <c r="S71" s="236" t="n">
        <f aca="false">R71</f>
        <v>1</v>
      </c>
      <c r="T71" s="236" t="n">
        <f aca="false">S71</f>
        <v>1</v>
      </c>
      <c r="U71" s="236" t="n">
        <f aca="false">T71</f>
        <v>1</v>
      </c>
      <c r="V71" s="236" t="n">
        <f aca="false">U71</f>
        <v>1</v>
      </c>
      <c r="W71" s="236" t="n">
        <f aca="false">V71</f>
        <v>1</v>
      </c>
      <c r="X71" s="236" t="n">
        <f aca="false">W71</f>
        <v>1</v>
      </c>
      <c r="Y71" s="236" t="n">
        <f aca="false">X71</f>
        <v>1</v>
      </c>
      <c r="Z71" s="236" t="n">
        <f aca="false">Y71</f>
        <v>1</v>
      </c>
      <c r="AA71" s="236" t="n">
        <f aca="false">Z71</f>
        <v>1</v>
      </c>
      <c r="AB71" s="236" t="n">
        <f aca="false">AA71</f>
        <v>1</v>
      </c>
      <c r="AC71" s="236" t="n">
        <f aca="false">AB71</f>
        <v>1</v>
      </c>
      <c r="AD71" s="236" t="n">
        <f aca="false">AC71</f>
        <v>1</v>
      </c>
      <c r="AE71" s="236" t="n">
        <f aca="false">AD71</f>
        <v>1</v>
      </c>
      <c r="AF71" s="236" t="n">
        <f aca="false">AE71</f>
        <v>1</v>
      </c>
      <c r="AG71" s="236" t="n">
        <f aca="false">AF71</f>
        <v>1</v>
      </c>
      <c r="AH71" s="236" t="n">
        <f aca="false">AG71</f>
        <v>1</v>
      </c>
      <c r="AI71" s="236" t="n">
        <f aca="false">AH71</f>
        <v>1</v>
      </c>
      <c r="AJ71" s="236" t="n">
        <f aca="false">AI71</f>
        <v>1</v>
      </c>
      <c r="AK71" s="236" t="n">
        <f aca="false">AJ71</f>
        <v>1</v>
      </c>
      <c r="AL71" s="236" t="n">
        <f aca="false">AK71</f>
        <v>1</v>
      </c>
    </row>
    <row r="72" customFormat="false" ht="15" hidden="false" customHeight="false" outlineLevel="1" collapsed="false">
      <c r="C72" s="383" t="str">
        <f aca="false">'3. Assumptions'!C108</f>
        <v>Secretaries</v>
      </c>
      <c r="G72" s="30" t="s">
        <v>602</v>
      </c>
      <c r="H72" s="236" t="n">
        <f aca="false">'3. Assumptions'!G108</f>
        <v>7</v>
      </c>
      <c r="I72" s="236" t="n">
        <f aca="false">'3. Assumptions'!H108</f>
        <v>3</v>
      </c>
      <c r="J72" s="236" t="n">
        <f aca="false">'3. Assumptions'!I108</f>
        <v>3</v>
      </c>
      <c r="K72" s="236" t="n">
        <f aca="false">'3. Assumptions'!J108</f>
        <v>3</v>
      </c>
      <c r="L72" s="236" t="n">
        <f aca="false">'3. Assumptions'!K108</f>
        <v>4</v>
      </c>
      <c r="M72" s="236" t="n">
        <f aca="false">'3. Assumptions'!L108</f>
        <v>4</v>
      </c>
      <c r="N72" s="236" t="n">
        <f aca="false">'3. Assumptions'!M108</f>
        <v>5</v>
      </c>
      <c r="O72" s="236" t="n">
        <f aca="false">'3. Assumptions'!N108</f>
        <v>5</v>
      </c>
      <c r="P72" s="236" t="n">
        <f aca="false">'3. Assumptions'!O108</f>
        <v>5</v>
      </c>
      <c r="Q72" s="236" t="n">
        <f aca="false">P72</f>
        <v>5</v>
      </c>
      <c r="R72" s="236" t="n">
        <f aca="false">Q72</f>
        <v>5</v>
      </c>
      <c r="S72" s="236" t="n">
        <f aca="false">R72</f>
        <v>5</v>
      </c>
      <c r="T72" s="236" t="n">
        <f aca="false">S72</f>
        <v>5</v>
      </c>
      <c r="U72" s="236" t="n">
        <f aca="false">T72</f>
        <v>5</v>
      </c>
      <c r="V72" s="236" t="n">
        <f aca="false">U72</f>
        <v>5</v>
      </c>
      <c r="W72" s="236" t="n">
        <f aca="false">V72</f>
        <v>5</v>
      </c>
      <c r="X72" s="236" t="n">
        <f aca="false">W72</f>
        <v>5</v>
      </c>
      <c r="Y72" s="236" t="n">
        <f aca="false">X72</f>
        <v>5</v>
      </c>
      <c r="Z72" s="236" t="n">
        <f aca="false">Y72</f>
        <v>5</v>
      </c>
      <c r="AA72" s="236" t="n">
        <f aca="false">Z72</f>
        <v>5</v>
      </c>
      <c r="AB72" s="236" t="n">
        <f aca="false">AA72</f>
        <v>5</v>
      </c>
      <c r="AC72" s="236" t="n">
        <f aca="false">AB72</f>
        <v>5</v>
      </c>
      <c r="AD72" s="236" t="n">
        <f aca="false">AC72</f>
        <v>5</v>
      </c>
      <c r="AE72" s="236" t="n">
        <f aca="false">AD72</f>
        <v>5</v>
      </c>
      <c r="AF72" s="236" t="n">
        <f aca="false">AE72</f>
        <v>5</v>
      </c>
      <c r="AG72" s="236" t="n">
        <f aca="false">AF72</f>
        <v>5</v>
      </c>
      <c r="AH72" s="236" t="n">
        <f aca="false">AG72</f>
        <v>5</v>
      </c>
      <c r="AI72" s="236" t="n">
        <f aca="false">AH72</f>
        <v>5</v>
      </c>
      <c r="AJ72" s="236" t="n">
        <f aca="false">AI72</f>
        <v>5</v>
      </c>
      <c r="AK72" s="236" t="n">
        <f aca="false">AJ72</f>
        <v>5</v>
      </c>
      <c r="AL72" s="236" t="n">
        <f aca="false">AK72</f>
        <v>5</v>
      </c>
    </row>
    <row r="73" customFormat="false" ht="15" hidden="false" customHeight="false" outlineLevel="1" collapsed="false">
      <c r="C73" s="383" t="str">
        <f aca="false">'3. Assumptions'!C109</f>
        <v>Trainees/Students</v>
      </c>
      <c r="G73" s="30" t="s">
        <v>602</v>
      </c>
      <c r="H73" s="236" t="n">
        <f aca="false">'3. Assumptions'!G109</f>
        <v>10</v>
      </c>
      <c r="I73" s="236" t="n">
        <f aca="false">'3. Assumptions'!H109</f>
        <v>10</v>
      </c>
      <c r="J73" s="236" t="n">
        <f aca="false">'3. Assumptions'!I109</f>
        <v>10</v>
      </c>
      <c r="K73" s="236" t="n">
        <f aca="false">'3. Assumptions'!J109</f>
        <v>10</v>
      </c>
      <c r="L73" s="236" t="n">
        <f aca="false">'3. Assumptions'!K109</f>
        <v>15</v>
      </c>
      <c r="M73" s="236" t="n">
        <f aca="false">'3. Assumptions'!L109</f>
        <v>15</v>
      </c>
      <c r="N73" s="236" t="n">
        <f aca="false">'3. Assumptions'!M109</f>
        <v>20</v>
      </c>
      <c r="O73" s="236" t="n">
        <f aca="false">'3. Assumptions'!N109</f>
        <v>20</v>
      </c>
      <c r="P73" s="236" t="n">
        <f aca="false">'3. Assumptions'!O109</f>
        <v>20</v>
      </c>
      <c r="Q73" s="236" t="n">
        <f aca="false">P73</f>
        <v>20</v>
      </c>
      <c r="R73" s="236" t="n">
        <f aca="false">Q73</f>
        <v>20</v>
      </c>
      <c r="S73" s="236" t="n">
        <f aca="false">R73</f>
        <v>20</v>
      </c>
      <c r="T73" s="236" t="n">
        <f aca="false">S73</f>
        <v>20</v>
      </c>
      <c r="U73" s="236" t="n">
        <f aca="false">T73</f>
        <v>20</v>
      </c>
      <c r="V73" s="236" t="n">
        <f aca="false">U73</f>
        <v>20</v>
      </c>
      <c r="W73" s="236" t="n">
        <f aca="false">V73</f>
        <v>20</v>
      </c>
      <c r="X73" s="236" t="n">
        <f aca="false">W73</f>
        <v>20</v>
      </c>
      <c r="Y73" s="236" t="n">
        <f aca="false">X73</f>
        <v>20</v>
      </c>
      <c r="Z73" s="236" t="n">
        <f aca="false">Y73</f>
        <v>20</v>
      </c>
      <c r="AA73" s="236" t="n">
        <f aca="false">Z73</f>
        <v>20</v>
      </c>
      <c r="AB73" s="236" t="n">
        <f aca="false">AA73</f>
        <v>20</v>
      </c>
      <c r="AC73" s="236" t="n">
        <f aca="false">AB73</f>
        <v>20</v>
      </c>
      <c r="AD73" s="236" t="n">
        <f aca="false">AC73</f>
        <v>20</v>
      </c>
      <c r="AE73" s="236" t="n">
        <f aca="false">AD73</f>
        <v>20</v>
      </c>
      <c r="AF73" s="236" t="n">
        <f aca="false">AE73</f>
        <v>20</v>
      </c>
      <c r="AG73" s="236" t="n">
        <f aca="false">AF73</f>
        <v>20</v>
      </c>
      <c r="AH73" s="236" t="n">
        <f aca="false">AG73</f>
        <v>20</v>
      </c>
      <c r="AI73" s="236" t="n">
        <f aca="false">AH73</f>
        <v>20</v>
      </c>
      <c r="AJ73" s="236" t="n">
        <f aca="false">AI73</f>
        <v>20</v>
      </c>
      <c r="AK73" s="236" t="n">
        <f aca="false">AJ73</f>
        <v>20</v>
      </c>
      <c r="AL73" s="236" t="n">
        <f aca="false">AK73</f>
        <v>20</v>
      </c>
    </row>
    <row r="74" customFormat="false" ht="15" hidden="false" customHeight="false" outlineLevel="1" collapsed="false">
      <c r="C74" s="383" t="str">
        <f aca="false">'3. Assumptions'!C110</f>
        <v>Drivers</v>
      </c>
      <c r="G74" s="30" t="s">
        <v>602</v>
      </c>
      <c r="H74" s="236" t="n">
        <f aca="false">'3. Assumptions'!G110</f>
        <v>4</v>
      </c>
      <c r="I74" s="236" t="n">
        <f aca="false">'3. Assumptions'!H110</f>
        <v>4</v>
      </c>
      <c r="J74" s="236" t="n">
        <f aca="false">'3. Assumptions'!I110</f>
        <v>4</v>
      </c>
      <c r="K74" s="236" t="n">
        <f aca="false">'3. Assumptions'!J110</f>
        <v>4</v>
      </c>
      <c r="L74" s="236" t="n">
        <f aca="false">'3. Assumptions'!K110</f>
        <v>6</v>
      </c>
      <c r="M74" s="236" t="n">
        <f aca="false">'3. Assumptions'!L110</f>
        <v>6</v>
      </c>
      <c r="N74" s="236" t="n">
        <f aca="false">'3. Assumptions'!M110</f>
        <v>8</v>
      </c>
      <c r="O74" s="236" t="n">
        <f aca="false">'3. Assumptions'!N110</f>
        <v>8</v>
      </c>
      <c r="P74" s="236" t="n">
        <f aca="false">'3. Assumptions'!O110</f>
        <v>8</v>
      </c>
      <c r="Q74" s="236" t="n">
        <f aca="false">P74</f>
        <v>8</v>
      </c>
      <c r="R74" s="236" t="n">
        <f aca="false">Q74</f>
        <v>8</v>
      </c>
      <c r="S74" s="236" t="n">
        <f aca="false">R74</f>
        <v>8</v>
      </c>
      <c r="T74" s="236" t="n">
        <f aca="false">S74</f>
        <v>8</v>
      </c>
      <c r="U74" s="236" t="n">
        <f aca="false">T74</f>
        <v>8</v>
      </c>
      <c r="V74" s="236" t="n">
        <f aca="false">U74</f>
        <v>8</v>
      </c>
      <c r="W74" s="236" t="n">
        <f aca="false">V74</f>
        <v>8</v>
      </c>
      <c r="X74" s="236" t="n">
        <f aca="false">W74</f>
        <v>8</v>
      </c>
      <c r="Y74" s="236" t="n">
        <f aca="false">X74</f>
        <v>8</v>
      </c>
      <c r="Z74" s="236" t="n">
        <f aca="false">Y74</f>
        <v>8</v>
      </c>
      <c r="AA74" s="236" t="n">
        <f aca="false">Z74</f>
        <v>8</v>
      </c>
      <c r="AB74" s="236" t="n">
        <f aca="false">AA74</f>
        <v>8</v>
      </c>
      <c r="AC74" s="236" t="n">
        <f aca="false">AB74</f>
        <v>8</v>
      </c>
      <c r="AD74" s="236" t="n">
        <f aca="false">AC74</f>
        <v>8</v>
      </c>
      <c r="AE74" s="236" t="n">
        <f aca="false">AD74</f>
        <v>8</v>
      </c>
      <c r="AF74" s="236" t="n">
        <f aca="false">AE74</f>
        <v>8</v>
      </c>
      <c r="AG74" s="236" t="n">
        <f aca="false">AF74</f>
        <v>8</v>
      </c>
      <c r="AH74" s="236" t="n">
        <f aca="false">AG74</f>
        <v>8</v>
      </c>
      <c r="AI74" s="236" t="n">
        <f aca="false">AH74</f>
        <v>8</v>
      </c>
      <c r="AJ74" s="236" t="n">
        <f aca="false">AI74</f>
        <v>8</v>
      </c>
      <c r="AK74" s="236" t="n">
        <f aca="false">AJ74</f>
        <v>8</v>
      </c>
      <c r="AL74" s="236" t="n">
        <f aca="false">AK74</f>
        <v>8</v>
      </c>
    </row>
    <row r="75" customFormat="false" ht="15" hidden="false" customHeight="false" outlineLevel="1" collapsed="false">
      <c r="C75" s="383" t="str">
        <f aca="false">'3. Assumptions'!C111</f>
        <v>Accountant</v>
      </c>
      <c r="G75" s="30" t="s">
        <v>602</v>
      </c>
      <c r="H75" s="236" t="n">
        <f aca="false">'3. Assumptions'!G111</f>
        <v>2</v>
      </c>
      <c r="I75" s="236" t="n">
        <f aca="false">'3. Assumptions'!H111</f>
        <v>2</v>
      </c>
      <c r="J75" s="236" t="n">
        <f aca="false">'3. Assumptions'!I111</f>
        <v>2</v>
      </c>
      <c r="K75" s="236" t="n">
        <f aca="false">'3. Assumptions'!J111</f>
        <v>2</v>
      </c>
      <c r="L75" s="236" t="n">
        <f aca="false">'3. Assumptions'!K111</f>
        <v>3</v>
      </c>
      <c r="M75" s="236" t="n">
        <f aca="false">'3. Assumptions'!L111</f>
        <v>3</v>
      </c>
      <c r="N75" s="236" t="n">
        <f aca="false">'3. Assumptions'!M111</f>
        <v>4</v>
      </c>
      <c r="O75" s="236" t="n">
        <f aca="false">'3. Assumptions'!N111</f>
        <v>4</v>
      </c>
      <c r="P75" s="236" t="n">
        <f aca="false">'3. Assumptions'!O111</f>
        <v>4</v>
      </c>
      <c r="Q75" s="236" t="n">
        <f aca="false">P75</f>
        <v>4</v>
      </c>
      <c r="R75" s="236" t="n">
        <f aca="false">Q75</f>
        <v>4</v>
      </c>
      <c r="S75" s="236" t="n">
        <f aca="false">R75</f>
        <v>4</v>
      </c>
      <c r="T75" s="236" t="n">
        <f aca="false">S75</f>
        <v>4</v>
      </c>
      <c r="U75" s="236" t="n">
        <f aca="false">T75</f>
        <v>4</v>
      </c>
      <c r="V75" s="236" t="n">
        <f aca="false">U75</f>
        <v>4</v>
      </c>
      <c r="W75" s="236" t="n">
        <f aca="false">V75</f>
        <v>4</v>
      </c>
      <c r="X75" s="236" t="n">
        <f aca="false">W75</f>
        <v>4</v>
      </c>
      <c r="Y75" s="236" t="n">
        <f aca="false">X75</f>
        <v>4</v>
      </c>
      <c r="Z75" s="236" t="n">
        <f aca="false">Y75</f>
        <v>4</v>
      </c>
      <c r="AA75" s="236" t="n">
        <f aca="false">Z75</f>
        <v>4</v>
      </c>
      <c r="AB75" s="236" t="n">
        <f aca="false">AA75</f>
        <v>4</v>
      </c>
      <c r="AC75" s="236" t="n">
        <f aca="false">AB75</f>
        <v>4</v>
      </c>
      <c r="AD75" s="236" t="n">
        <f aca="false">AC75</f>
        <v>4</v>
      </c>
      <c r="AE75" s="236" t="n">
        <f aca="false">AD75</f>
        <v>4</v>
      </c>
      <c r="AF75" s="236" t="n">
        <f aca="false">AE75</f>
        <v>4</v>
      </c>
      <c r="AG75" s="236" t="n">
        <f aca="false">AF75</f>
        <v>4</v>
      </c>
      <c r="AH75" s="236" t="n">
        <f aca="false">AG75</f>
        <v>4</v>
      </c>
      <c r="AI75" s="236" t="n">
        <f aca="false">AH75</f>
        <v>4</v>
      </c>
      <c r="AJ75" s="236" t="n">
        <f aca="false">AI75</f>
        <v>4</v>
      </c>
      <c r="AK75" s="236" t="n">
        <f aca="false">AJ75</f>
        <v>4</v>
      </c>
      <c r="AL75" s="236" t="n">
        <f aca="false">AK75</f>
        <v>4</v>
      </c>
    </row>
    <row r="76" customFormat="false" ht="15" hidden="false" customHeight="false" outlineLevel="1" collapsed="false">
      <c r="C76" s="383" t="str">
        <f aca="false">'3. Assumptions'!C112</f>
        <v>Field Agent</v>
      </c>
      <c r="G76" s="30" t="s">
        <v>602</v>
      </c>
      <c r="H76" s="236" t="n">
        <f aca="false">'3. Assumptions'!G112</f>
        <v>2</v>
      </c>
      <c r="I76" s="236" t="n">
        <f aca="false">'3. Assumptions'!H112</f>
        <v>2</v>
      </c>
      <c r="J76" s="236" t="n">
        <f aca="false">'3. Assumptions'!I112</f>
        <v>2</v>
      </c>
      <c r="K76" s="236" t="n">
        <f aca="false">'3. Assumptions'!J112</f>
        <v>2</v>
      </c>
      <c r="L76" s="236" t="n">
        <f aca="false">'3. Assumptions'!K112</f>
        <v>3</v>
      </c>
      <c r="M76" s="236" t="n">
        <f aca="false">'3. Assumptions'!L112</f>
        <v>3</v>
      </c>
      <c r="N76" s="236" t="n">
        <f aca="false">'3. Assumptions'!M112</f>
        <v>4</v>
      </c>
      <c r="O76" s="236" t="n">
        <f aca="false">'3. Assumptions'!N112</f>
        <v>4</v>
      </c>
      <c r="P76" s="236" t="n">
        <f aca="false">'3. Assumptions'!O112</f>
        <v>4</v>
      </c>
      <c r="Q76" s="236" t="n">
        <f aca="false">P76</f>
        <v>4</v>
      </c>
      <c r="R76" s="236" t="n">
        <f aca="false">Q76</f>
        <v>4</v>
      </c>
      <c r="S76" s="236" t="n">
        <f aca="false">R76</f>
        <v>4</v>
      </c>
      <c r="T76" s="236" t="n">
        <f aca="false">S76</f>
        <v>4</v>
      </c>
      <c r="U76" s="236" t="n">
        <f aca="false">T76</f>
        <v>4</v>
      </c>
      <c r="V76" s="236" t="n">
        <f aca="false">U76</f>
        <v>4</v>
      </c>
      <c r="W76" s="236" t="n">
        <f aca="false">V76</f>
        <v>4</v>
      </c>
      <c r="X76" s="236" t="n">
        <f aca="false">W76</f>
        <v>4</v>
      </c>
      <c r="Y76" s="236" t="n">
        <f aca="false">X76</f>
        <v>4</v>
      </c>
      <c r="Z76" s="236" t="n">
        <f aca="false">Y76</f>
        <v>4</v>
      </c>
      <c r="AA76" s="236" t="n">
        <f aca="false">Z76</f>
        <v>4</v>
      </c>
      <c r="AB76" s="236" t="n">
        <f aca="false">AA76</f>
        <v>4</v>
      </c>
      <c r="AC76" s="236" t="n">
        <f aca="false">AB76</f>
        <v>4</v>
      </c>
      <c r="AD76" s="236" t="n">
        <f aca="false">AC76</f>
        <v>4</v>
      </c>
      <c r="AE76" s="236" t="n">
        <f aca="false">AD76</f>
        <v>4</v>
      </c>
      <c r="AF76" s="236" t="n">
        <f aca="false">AE76</f>
        <v>4</v>
      </c>
      <c r="AG76" s="236" t="n">
        <f aca="false">AF76</f>
        <v>4</v>
      </c>
      <c r="AH76" s="236" t="n">
        <f aca="false">AG76</f>
        <v>4</v>
      </c>
      <c r="AI76" s="236" t="n">
        <f aca="false">AH76</f>
        <v>4</v>
      </c>
      <c r="AJ76" s="236" t="n">
        <f aca="false">AI76</f>
        <v>4</v>
      </c>
      <c r="AK76" s="236" t="n">
        <f aca="false">AJ76</f>
        <v>4</v>
      </c>
      <c r="AL76" s="236" t="n">
        <f aca="false">AK76</f>
        <v>4</v>
      </c>
    </row>
    <row r="77" customFormat="false" ht="15" hidden="false" customHeight="false" outlineLevel="1" collapsed="false">
      <c r="C77" s="383" t="str">
        <f aca="false">'3. Assumptions'!C113</f>
        <v>Maintenance Personnel</v>
      </c>
      <c r="G77" s="30" t="s">
        <v>602</v>
      </c>
      <c r="H77" s="236" t="n">
        <f aca="false">'3. Assumptions'!G113</f>
        <v>8</v>
      </c>
      <c r="I77" s="236" t="n">
        <f aca="false">'3. Assumptions'!H113</f>
        <v>4</v>
      </c>
      <c r="J77" s="236" t="n">
        <f aca="false">'3. Assumptions'!I113</f>
        <v>4</v>
      </c>
      <c r="K77" s="236" t="n">
        <f aca="false">'3. Assumptions'!J113</f>
        <v>4</v>
      </c>
      <c r="L77" s="236" t="n">
        <f aca="false">'3. Assumptions'!K113</f>
        <v>6</v>
      </c>
      <c r="M77" s="236" t="n">
        <f aca="false">'3. Assumptions'!L113</f>
        <v>6</v>
      </c>
      <c r="N77" s="236" t="n">
        <f aca="false">'3. Assumptions'!M113</f>
        <v>8</v>
      </c>
      <c r="O77" s="236" t="n">
        <f aca="false">'3. Assumptions'!N113</f>
        <v>8</v>
      </c>
      <c r="P77" s="236" t="n">
        <f aca="false">'3. Assumptions'!O113</f>
        <v>8</v>
      </c>
      <c r="Q77" s="236" t="n">
        <f aca="false">P77</f>
        <v>8</v>
      </c>
      <c r="R77" s="236" t="n">
        <f aca="false">Q77</f>
        <v>8</v>
      </c>
      <c r="S77" s="236" t="n">
        <f aca="false">R77</f>
        <v>8</v>
      </c>
      <c r="T77" s="236" t="n">
        <f aca="false">S77</f>
        <v>8</v>
      </c>
      <c r="U77" s="236" t="n">
        <f aca="false">T77</f>
        <v>8</v>
      </c>
      <c r="V77" s="236" t="n">
        <f aca="false">U77</f>
        <v>8</v>
      </c>
      <c r="W77" s="236" t="n">
        <f aca="false">V77</f>
        <v>8</v>
      </c>
      <c r="X77" s="236" t="n">
        <f aca="false">W77</f>
        <v>8</v>
      </c>
      <c r="Y77" s="236" t="n">
        <f aca="false">X77</f>
        <v>8</v>
      </c>
      <c r="Z77" s="236" t="n">
        <f aca="false">Y77</f>
        <v>8</v>
      </c>
      <c r="AA77" s="236" t="n">
        <f aca="false">Z77</f>
        <v>8</v>
      </c>
      <c r="AB77" s="236" t="n">
        <f aca="false">AA77</f>
        <v>8</v>
      </c>
      <c r="AC77" s="236" t="n">
        <f aca="false">AB77</f>
        <v>8</v>
      </c>
      <c r="AD77" s="236" t="n">
        <f aca="false">AC77</f>
        <v>8</v>
      </c>
      <c r="AE77" s="236" t="n">
        <f aca="false">AD77</f>
        <v>8</v>
      </c>
      <c r="AF77" s="236" t="n">
        <f aca="false">AE77</f>
        <v>8</v>
      </c>
      <c r="AG77" s="236" t="n">
        <f aca="false">AF77</f>
        <v>8</v>
      </c>
      <c r="AH77" s="236" t="n">
        <f aca="false">AG77</f>
        <v>8</v>
      </c>
      <c r="AI77" s="236" t="n">
        <f aca="false">AH77</f>
        <v>8</v>
      </c>
      <c r="AJ77" s="236" t="n">
        <f aca="false">AI77</f>
        <v>8</v>
      </c>
      <c r="AK77" s="236" t="n">
        <f aca="false">AJ77</f>
        <v>8</v>
      </c>
      <c r="AL77" s="236" t="n">
        <f aca="false">AK77</f>
        <v>8</v>
      </c>
    </row>
    <row r="78" customFormat="false" ht="15" hidden="false" customHeight="false" outlineLevel="1" collapsed="false">
      <c r="C78" s="384" t="str">
        <f aca="false">'3. Assumptions'!C114</f>
        <v>Security</v>
      </c>
      <c r="D78" s="56"/>
      <c r="E78" s="56"/>
      <c r="F78" s="56"/>
      <c r="G78" s="208" t="s">
        <v>602</v>
      </c>
      <c r="H78" s="369" t="n">
        <f aca="false">'3. Assumptions'!G114</f>
        <v>8</v>
      </c>
      <c r="I78" s="369" t="n">
        <f aca="false">'3. Assumptions'!H114</f>
        <v>5</v>
      </c>
      <c r="J78" s="369" t="n">
        <f aca="false">'3. Assumptions'!I114</f>
        <v>5</v>
      </c>
      <c r="K78" s="369" t="n">
        <f aca="false">'3. Assumptions'!J114</f>
        <v>5</v>
      </c>
      <c r="L78" s="369" t="n">
        <f aca="false">'3. Assumptions'!K114</f>
        <v>7</v>
      </c>
      <c r="M78" s="369" t="n">
        <f aca="false">'3. Assumptions'!L114</f>
        <v>7</v>
      </c>
      <c r="N78" s="369" t="n">
        <f aca="false">'3. Assumptions'!M114</f>
        <v>7</v>
      </c>
      <c r="O78" s="369" t="n">
        <f aca="false">'3. Assumptions'!N114</f>
        <v>7</v>
      </c>
      <c r="P78" s="369" t="n">
        <f aca="false">'3. Assumptions'!O114</f>
        <v>7</v>
      </c>
      <c r="Q78" s="369" t="n">
        <f aca="false">P78</f>
        <v>7</v>
      </c>
      <c r="R78" s="369" t="n">
        <f aca="false">Q78</f>
        <v>7</v>
      </c>
      <c r="S78" s="369" t="n">
        <f aca="false">R78</f>
        <v>7</v>
      </c>
      <c r="T78" s="369" t="n">
        <f aca="false">S78</f>
        <v>7</v>
      </c>
      <c r="U78" s="369" t="n">
        <f aca="false">T78</f>
        <v>7</v>
      </c>
      <c r="V78" s="369" t="n">
        <f aca="false">U78</f>
        <v>7</v>
      </c>
      <c r="W78" s="369" t="n">
        <f aca="false">V78</f>
        <v>7</v>
      </c>
      <c r="X78" s="369" t="n">
        <f aca="false">W78</f>
        <v>7</v>
      </c>
      <c r="Y78" s="369" t="n">
        <f aca="false">X78</f>
        <v>7</v>
      </c>
      <c r="Z78" s="369" t="n">
        <f aca="false">Y78</f>
        <v>7</v>
      </c>
      <c r="AA78" s="369" t="n">
        <f aca="false">Z78</f>
        <v>7</v>
      </c>
      <c r="AB78" s="369" t="n">
        <f aca="false">AA78</f>
        <v>7</v>
      </c>
      <c r="AC78" s="369" t="n">
        <f aca="false">AB78</f>
        <v>7</v>
      </c>
      <c r="AD78" s="369" t="n">
        <f aca="false">AC78</f>
        <v>7</v>
      </c>
      <c r="AE78" s="369" t="n">
        <f aca="false">AD78</f>
        <v>7</v>
      </c>
      <c r="AF78" s="369" t="n">
        <f aca="false">AE78</f>
        <v>7</v>
      </c>
      <c r="AG78" s="369" t="n">
        <f aca="false">AF78</f>
        <v>7</v>
      </c>
      <c r="AH78" s="369" t="n">
        <f aca="false">AG78</f>
        <v>7</v>
      </c>
      <c r="AI78" s="369" t="n">
        <f aca="false">AH78</f>
        <v>7</v>
      </c>
      <c r="AJ78" s="369" t="n">
        <f aca="false">AI78</f>
        <v>7</v>
      </c>
      <c r="AK78" s="369" t="n">
        <f aca="false">AJ78</f>
        <v>7</v>
      </c>
      <c r="AL78" s="369" t="n">
        <f aca="false">AK78</f>
        <v>7</v>
      </c>
    </row>
    <row r="79" customFormat="false" ht="15" hidden="false" customHeight="false" outlineLevel="1" collapsed="false">
      <c r="C79" s="13" t="str">
        <f aca="false">"Total "&amp;C61</f>
        <v>Total Headcount</v>
      </c>
      <c r="D79" s="30"/>
      <c r="E79" s="193"/>
      <c r="G79" s="366" t="s">
        <v>602</v>
      </c>
      <c r="H79" s="193" t="n">
        <f aca="false">SUM(H62:H78)</f>
        <v>69</v>
      </c>
      <c r="I79" s="193" t="n">
        <f aca="false">SUM(I62:I78)</f>
        <v>54</v>
      </c>
      <c r="J79" s="193" t="n">
        <f aca="false">SUM(J62:J78)</f>
        <v>54</v>
      </c>
      <c r="K79" s="193" t="n">
        <f aca="false">SUM(K62:K78)</f>
        <v>54</v>
      </c>
      <c r="L79" s="193" t="n">
        <f aca="false">SUM(L62:L78)</f>
        <v>77</v>
      </c>
      <c r="M79" s="193" t="n">
        <f aca="false">SUM(M62:M78)</f>
        <v>77</v>
      </c>
      <c r="N79" s="193" t="n">
        <f aca="false">SUM(N62:N78)</f>
        <v>98</v>
      </c>
      <c r="O79" s="193" t="n">
        <f aca="false">SUM(O62:O78)</f>
        <v>98</v>
      </c>
      <c r="P79" s="193" t="n">
        <f aca="false">SUM(P62:P78)</f>
        <v>98</v>
      </c>
      <c r="Q79" s="193" t="n">
        <f aca="false">SUM(Q62:Q78)</f>
        <v>98</v>
      </c>
      <c r="R79" s="193" t="n">
        <f aca="false">SUM(R62:R78)</f>
        <v>98</v>
      </c>
      <c r="S79" s="193" t="n">
        <f aca="false">SUM(S62:S78)</f>
        <v>98</v>
      </c>
      <c r="T79" s="193" t="n">
        <f aca="false">SUM(T62:T78)</f>
        <v>98</v>
      </c>
      <c r="U79" s="193" t="n">
        <f aca="false">SUM(U62:U78)</f>
        <v>98</v>
      </c>
      <c r="V79" s="193" t="n">
        <f aca="false">SUM(V62:V78)</f>
        <v>98</v>
      </c>
      <c r="W79" s="193" t="n">
        <f aca="false">SUM(W62:W78)</f>
        <v>98</v>
      </c>
      <c r="X79" s="193" t="n">
        <f aca="false">SUM(X62:X78)</f>
        <v>98</v>
      </c>
      <c r="Y79" s="193" t="n">
        <f aca="false">SUM(Y62:Y78)</f>
        <v>98</v>
      </c>
      <c r="Z79" s="193" t="n">
        <f aca="false">SUM(Z62:Z78)</f>
        <v>98</v>
      </c>
      <c r="AA79" s="193" t="n">
        <f aca="false">SUM(AA62:AA78)</f>
        <v>98</v>
      </c>
      <c r="AB79" s="193" t="n">
        <f aca="false">SUM(AB62:AB78)</f>
        <v>98</v>
      </c>
      <c r="AC79" s="193" t="n">
        <f aca="false">SUM(AC62:AC78)</f>
        <v>98</v>
      </c>
      <c r="AD79" s="193" t="n">
        <f aca="false">SUM(AD62:AD78)</f>
        <v>98</v>
      </c>
      <c r="AE79" s="193" t="n">
        <f aca="false">SUM(AE62:AE78)</f>
        <v>98</v>
      </c>
      <c r="AF79" s="193" t="n">
        <f aca="false">SUM(AF62:AF78)</f>
        <v>98</v>
      </c>
      <c r="AG79" s="193" t="n">
        <f aca="false">SUM(AG62:AG78)</f>
        <v>98</v>
      </c>
      <c r="AH79" s="193" t="n">
        <f aca="false">SUM(AH62:AH78)</f>
        <v>98</v>
      </c>
      <c r="AI79" s="193" t="n">
        <f aca="false">SUM(AI62:AI78)</f>
        <v>98</v>
      </c>
      <c r="AJ79" s="193" t="n">
        <f aca="false">SUM(AJ62:AJ78)</f>
        <v>98</v>
      </c>
      <c r="AK79" s="193" t="n">
        <f aca="false">SUM(AK62:AK78)</f>
        <v>98</v>
      </c>
      <c r="AL79" s="193" t="n">
        <f aca="false">SUM(AL62:AL78)</f>
        <v>98</v>
      </c>
    </row>
    <row r="80" customFormat="false" ht="15" hidden="false" customHeight="false" outlineLevel="1" collapsed="false">
      <c r="C80" s="370"/>
      <c r="D80" s="30"/>
      <c r="E80" s="236"/>
      <c r="H80" s="202"/>
      <c r="I80" s="202"/>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row>
    <row r="81" customFormat="false" ht="15" hidden="false" customHeight="false" outlineLevel="1" collapsed="false">
      <c r="C81" s="13" t="s">
        <v>326</v>
      </c>
      <c r="D81" s="374" t="s">
        <v>600</v>
      </c>
      <c r="E81" s="185" t="s">
        <v>601</v>
      </c>
      <c r="G81" s="30"/>
      <c r="H81" s="202"/>
      <c r="I81" s="202"/>
    </row>
    <row r="82" customFormat="false" ht="15" hidden="false" customHeight="false" outlineLevel="1" collapsed="false">
      <c r="C82" s="383" t="str">
        <f aca="false">C62</f>
        <v>Country Manager</v>
      </c>
      <c r="D82" s="385" t="n">
        <f aca="false">'3. Assumptions'!D98</f>
        <v>50000</v>
      </c>
      <c r="E82" s="386" t="n">
        <f aca="false">IF('1. Project Summary'!$F$13="Real",0,'3. Assumptions'!E98)</f>
        <v>0.02</v>
      </c>
      <c r="G82" s="30" t="s">
        <v>112</v>
      </c>
      <c r="H82" s="236" t="n">
        <f aca="false">$D82*H62*(1+$E82)^H$6</f>
        <v>51000</v>
      </c>
      <c r="I82" s="236" t="n">
        <f aca="false">$D82*I62*(1+$E82)^I$6</f>
        <v>52020</v>
      </c>
      <c r="J82" s="236" t="n">
        <f aca="false">$D82*J62*(1+$E82)^J$6</f>
        <v>53060.4</v>
      </c>
      <c r="K82" s="236" t="n">
        <f aca="false">$D82*K62*(1+$E82)^K$6</f>
        <v>54121.608</v>
      </c>
      <c r="L82" s="236" t="n">
        <f aca="false">$D82*L62*(1+$E82)^L$6</f>
        <v>55204.04016</v>
      </c>
      <c r="M82" s="236" t="n">
        <f aca="false">$D82*M62*(1+$E82)^M$6</f>
        <v>56308.1209632</v>
      </c>
      <c r="N82" s="236" t="n">
        <f aca="false">$D82*N62*(1+$E82)^N$6</f>
        <v>57434.283382464</v>
      </c>
      <c r="O82" s="236" t="n">
        <f aca="false">$D82*O62*(1+$E82)^O$6</f>
        <v>58582.9690501133</v>
      </c>
      <c r="P82" s="236" t="n">
        <f aca="false">$D82*P62*(1+$E82)^P$6</f>
        <v>59754.6284311156</v>
      </c>
      <c r="Q82" s="236" t="n">
        <f aca="false">$D82*Q62*(1+$E82)^Q$6</f>
        <v>60949.7209997379</v>
      </c>
      <c r="R82" s="236" t="n">
        <f aca="false">$D82*R62*(1+$E82)^R$6</f>
        <v>62168.7154197326</v>
      </c>
      <c r="S82" s="236" t="n">
        <f aca="false">$D82*S62*(1+$E82)^S$6</f>
        <v>63412.0897281273</v>
      </c>
      <c r="T82" s="236" t="n">
        <f aca="false">$D82*T62*(1+$E82)^T$6</f>
        <v>64680.3315226898</v>
      </c>
      <c r="U82" s="236" t="n">
        <f aca="false">$D82*U62*(1+$E82)^U$6</f>
        <v>65973.9381531436</v>
      </c>
      <c r="V82" s="236" t="n">
        <f aca="false">$D82*V62*(1+$E82)^V$6</f>
        <v>67293.4169162065</v>
      </c>
      <c r="W82" s="236" t="n">
        <f aca="false">$D82*W62*(1+$E82)^W$6</f>
        <v>68639.2852545306</v>
      </c>
      <c r="X82" s="236" t="n">
        <f aca="false">$D82*X62*(1+$E82)^X$6</f>
        <v>70012.0709596212</v>
      </c>
      <c r="Y82" s="236" t="n">
        <f aca="false">$D82*Y62*(1+$E82)^Y$6</f>
        <v>71412.3123788137</v>
      </c>
      <c r="Z82" s="236" t="n">
        <f aca="false">$D82*Z62*(1+$E82)^Z$6</f>
        <v>72840.55862639</v>
      </c>
      <c r="AA82" s="236" t="n">
        <f aca="false">$D82*AA62*(1+$E82)^AA$6</f>
        <v>74297.3697989178</v>
      </c>
      <c r="AB82" s="236" t="n">
        <f aca="false">$D82*AB62*(1+$E82)^AB$6</f>
        <v>75783.3171948961</v>
      </c>
      <c r="AC82" s="236" t="n">
        <f aca="false">$D82*AC62*(1+$E82)^AC$6</f>
        <v>77298.983538794</v>
      </c>
      <c r="AD82" s="236" t="n">
        <f aca="false">$D82*AD62*(1+$E82)^AD$6</f>
        <v>78844.9632095699</v>
      </c>
      <c r="AE82" s="236" t="n">
        <f aca="false">$D82*AE62*(1+$E82)^AE$6</f>
        <v>80421.8624737613</v>
      </c>
      <c r="AF82" s="236" t="n">
        <f aca="false">$D82*AF62*(1+$E82)^AF$6</f>
        <v>82030.2997232365</v>
      </c>
      <c r="AG82" s="236" t="n">
        <f aca="false">$D82*AG62*(1+$E82)^AG$6</f>
        <v>83670.9057177013</v>
      </c>
      <c r="AH82" s="236" t="n">
        <f aca="false">$D82*AH62*(1+$E82)^AH$6</f>
        <v>85344.3238320553</v>
      </c>
      <c r="AI82" s="236" t="n">
        <f aca="false">$D82*AI62*(1+$E82)^AI$6</f>
        <v>87051.2103086964</v>
      </c>
      <c r="AJ82" s="236" t="n">
        <f aca="false">$D82*AJ62*(1+$E82)^AJ$6</f>
        <v>88792.2345148703</v>
      </c>
      <c r="AK82" s="236" t="n">
        <f aca="false">$D82*AK62*(1+$E82)^AK$6</f>
        <v>90568.0792051677</v>
      </c>
      <c r="AL82" s="236" t="n">
        <f aca="false">$D82*AL62*(1+$E82)^AL$6</f>
        <v>92379.4407892711</v>
      </c>
    </row>
    <row r="83" customFormat="false" ht="15" hidden="false" customHeight="false" outlineLevel="1" collapsed="false">
      <c r="C83" s="383" t="str">
        <f aca="false">C63</f>
        <v>Director of Reforestation Operations</v>
      </c>
      <c r="D83" s="385" t="n">
        <f aca="false">'3. Assumptions'!D99</f>
        <v>25000</v>
      </c>
      <c r="E83" s="386" t="n">
        <f aca="false">IF('1. Project Summary'!$F$13="Real",0,'3. Assumptions'!E99)</f>
        <v>0.02</v>
      </c>
      <c r="G83" s="30" t="s">
        <v>112</v>
      </c>
      <c r="H83" s="236" t="n">
        <f aca="false">$D83*H63*(1+$E83)^H$6</f>
        <v>0</v>
      </c>
      <c r="I83" s="236" t="n">
        <f aca="false">$D83*I63*(1+$E83)^I$6</f>
        <v>26010</v>
      </c>
      <c r="J83" s="236" t="n">
        <f aca="false">$D83*J63*(1+$E83)^J$6</f>
        <v>26530.2</v>
      </c>
      <c r="K83" s="236" t="n">
        <f aca="false">$D83*K63*(1+$E83)^K$6</f>
        <v>27060.804</v>
      </c>
      <c r="L83" s="236" t="n">
        <f aca="false">$D83*L63*(1+$E83)^L$6</f>
        <v>27602.02008</v>
      </c>
      <c r="M83" s="236" t="n">
        <f aca="false">$D83*M63*(1+$E83)^M$6</f>
        <v>28154.0604816</v>
      </c>
      <c r="N83" s="236" t="n">
        <f aca="false">$D83*N63*(1+$E83)^N$6</f>
        <v>28717.141691232</v>
      </c>
      <c r="O83" s="236" t="n">
        <f aca="false">$D83*O63*(1+$E83)^O$6</f>
        <v>29291.4845250566</v>
      </c>
      <c r="P83" s="236" t="n">
        <f aca="false">$D83*P63*(1+$E83)^P$6</f>
        <v>29877.3142155578</v>
      </c>
      <c r="Q83" s="236" t="n">
        <f aca="false">$D83*Q63*(1+$E83)^Q$6</f>
        <v>30474.8604998689</v>
      </c>
      <c r="R83" s="236" t="n">
        <f aca="false">$D83*R63*(1+$E83)^R$6</f>
        <v>31084.3577098663</v>
      </c>
      <c r="S83" s="236" t="n">
        <f aca="false">$D83*S63*(1+$E83)^S$6</f>
        <v>31706.0448640636</v>
      </c>
      <c r="T83" s="236" t="n">
        <f aca="false">$D83*T63*(1+$E83)^T$6</f>
        <v>32340.1657613449</v>
      </c>
      <c r="U83" s="236" t="n">
        <f aca="false">$D83*U63*(1+$E83)^U$6</f>
        <v>32986.9690765718</v>
      </c>
      <c r="V83" s="236" t="n">
        <f aca="false">$D83*V63*(1+$E83)^V$6</f>
        <v>33646.7084581033</v>
      </c>
      <c r="W83" s="236" t="n">
        <f aca="false">$D83*W63*(1+$E83)^W$6</f>
        <v>34319.6426272653</v>
      </c>
      <c r="X83" s="236" t="n">
        <f aca="false">$D83*X63*(1+$E83)^X$6</f>
        <v>35006.0354798106</v>
      </c>
      <c r="Y83" s="236" t="n">
        <f aca="false">$D83*Y63*(1+$E83)^Y$6</f>
        <v>35706.1561894068</v>
      </c>
      <c r="Z83" s="236" t="n">
        <f aca="false">$D83*Z63*(1+$E83)^Z$6</f>
        <v>36420.279313195</v>
      </c>
      <c r="AA83" s="236" t="n">
        <f aca="false">$D83*AA63*(1+$E83)^AA$6</f>
        <v>37148.6848994589</v>
      </c>
      <c r="AB83" s="236" t="n">
        <f aca="false">$D83*AB63*(1+$E83)^AB$6</f>
        <v>37891.6585974481</v>
      </c>
      <c r="AC83" s="236" t="n">
        <f aca="false">$D83*AC63*(1+$E83)^AC$6</f>
        <v>38649.491769397</v>
      </c>
      <c r="AD83" s="236" t="n">
        <f aca="false">$D83*AD63*(1+$E83)^AD$6</f>
        <v>39422.481604785</v>
      </c>
      <c r="AE83" s="236" t="n">
        <f aca="false">$D83*AE63*(1+$E83)^AE$6</f>
        <v>40210.9312368807</v>
      </c>
      <c r="AF83" s="236" t="n">
        <f aca="false">$D83*AF63*(1+$E83)^AF$6</f>
        <v>41015.1498616183</v>
      </c>
      <c r="AG83" s="236" t="n">
        <f aca="false">$D83*AG63*(1+$E83)^AG$6</f>
        <v>41835.4528588506</v>
      </c>
      <c r="AH83" s="236" t="n">
        <f aca="false">$D83*AH63*(1+$E83)^AH$6</f>
        <v>42672.1619160276</v>
      </c>
      <c r="AI83" s="236" t="n">
        <f aca="false">$D83*AI63*(1+$E83)^AI$6</f>
        <v>43525.6051543482</v>
      </c>
      <c r="AJ83" s="236" t="n">
        <f aca="false">$D83*AJ63*(1+$E83)^AJ$6</f>
        <v>44396.1172574352</v>
      </c>
      <c r="AK83" s="236" t="n">
        <f aca="false">$D83*AK63*(1+$E83)^AK$6</f>
        <v>45284.0396025839</v>
      </c>
      <c r="AL83" s="236" t="n">
        <f aca="false">$D83*AL63*(1+$E83)^AL$6</f>
        <v>46189.7203946355</v>
      </c>
    </row>
    <row r="84" customFormat="false" ht="15" hidden="false" customHeight="false" outlineLevel="1" collapsed="false">
      <c r="C84" s="383" t="str">
        <f aca="false">C64</f>
        <v>CFO</v>
      </c>
      <c r="D84" s="385" t="n">
        <f aca="false">'3. Assumptions'!D100</f>
        <v>25000</v>
      </c>
      <c r="E84" s="386" t="n">
        <f aca="false">IF('1. Project Summary'!$F$13="Real",0,'3. Assumptions'!E100)</f>
        <v>0.02</v>
      </c>
      <c r="G84" s="30" t="s">
        <v>112</v>
      </c>
      <c r="H84" s="236" t="n">
        <f aca="false">$D84*H64*(1+$E84)^H$6</f>
        <v>25500</v>
      </c>
      <c r="I84" s="236" t="n">
        <f aca="false">$D84*I64*(1+$E84)^I$6</f>
        <v>26010</v>
      </c>
      <c r="J84" s="236" t="n">
        <f aca="false">$D84*J64*(1+$E84)^J$6</f>
        <v>26530.2</v>
      </c>
      <c r="K84" s="236" t="n">
        <f aca="false">$D84*K64*(1+$E84)^K$6</f>
        <v>27060.804</v>
      </c>
      <c r="L84" s="236" t="n">
        <f aca="false">$D84*L64*(1+$E84)^L$6</f>
        <v>27602.02008</v>
      </c>
      <c r="M84" s="236" t="n">
        <f aca="false">$D84*M64*(1+$E84)^M$6</f>
        <v>28154.0604816</v>
      </c>
      <c r="N84" s="236" t="n">
        <f aca="false">$D84*N64*(1+$E84)^N$6</f>
        <v>28717.141691232</v>
      </c>
      <c r="O84" s="236" t="n">
        <f aca="false">$D84*O64*(1+$E84)^O$6</f>
        <v>29291.4845250566</v>
      </c>
      <c r="P84" s="236" t="n">
        <f aca="false">$D84*P64*(1+$E84)^P$6</f>
        <v>29877.3142155578</v>
      </c>
      <c r="Q84" s="236" t="n">
        <f aca="false">$D84*Q64*(1+$E84)^Q$6</f>
        <v>30474.8604998689</v>
      </c>
      <c r="R84" s="236" t="n">
        <f aca="false">$D84*R64*(1+$E84)^R$6</f>
        <v>31084.3577098663</v>
      </c>
      <c r="S84" s="236" t="n">
        <f aca="false">$D84*S64*(1+$E84)^S$6</f>
        <v>31706.0448640636</v>
      </c>
      <c r="T84" s="236" t="n">
        <f aca="false">$D84*T64*(1+$E84)^T$6</f>
        <v>32340.1657613449</v>
      </c>
      <c r="U84" s="236" t="n">
        <f aca="false">$D84*U64*(1+$E84)^U$6</f>
        <v>32986.9690765718</v>
      </c>
      <c r="V84" s="236" t="n">
        <f aca="false">$D84*V64*(1+$E84)^V$6</f>
        <v>33646.7084581033</v>
      </c>
      <c r="W84" s="236" t="n">
        <f aca="false">$D84*W64*(1+$E84)^W$6</f>
        <v>34319.6426272653</v>
      </c>
      <c r="X84" s="236" t="n">
        <f aca="false">$D84*X64*(1+$E84)^X$6</f>
        <v>35006.0354798106</v>
      </c>
      <c r="Y84" s="236" t="n">
        <f aca="false">$D84*Y64*(1+$E84)^Y$6</f>
        <v>35706.1561894068</v>
      </c>
      <c r="Z84" s="236" t="n">
        <f aca="false">$D84*Z64*(1+$E84)^Z$6</f>
        <v>36420.279313195</v>
      </c>
      <c r="AA84" s="236" t="n">
        <f aca="false">$D84*AA64*(1+$E84)^AA$6</f>
        <v>37148.6848994589</v>
      </c>
      <c r="AB84" s="236" t="n">
        <f aca="false">$D84*AB64*(1+$E84)^AB$6</f>
        <v>37891.6585974481</v>
      </c>
      <c r="AC84" s="236" t="n">
        <f aca="false">$D84*AC64*(1+$E84)^AC$6</f>
        <v>38649.491769397</v>
      </c>
      <c r="AD84" s="236" t="n">
        <f aca="false">$D84*AD64*(1+$E84)^AD$6</f>
        <v>39422.481604785</v>
      </c>
      <c r="AE84" s="236" t="n">
        <f aca="false">$D84*AE64*(1+$E84)^AE$6</f>
        <v>40210.9312368807</v>
      </c>
      <c r="AF84" s="236" t="n">
        <f aca="false">$D84*AF64*(1+$E84)^AF$6</f>
        <v>41015.1498616183</v>
      </c>
      <c r="AG84" s="236" t="n">
        <f aca="false">$D84*AG64*(1+$E84)^AG$6</f>
        <v>41835.4528588506</v>
      </c>
      <c r="AH84" s="236" t="n">
        <f aca="false">$D84*AH64*(1+$E84)^AH$6</f>
        <v>42672.1619160276</v>
      </c>
      <c r="AI84" s="236" t="n">
        <f aca="false">$D84*AI64*(1+$E84)^AI$6</f>
        <v>43525.6051543482</v>
      </c>
      <c r="AJ84" s="236" t="n">
        <f aca="false">$D84*AJ64*(1+$E84)^AJ$6</f>
        <v>44396.1172574352</v>
      </c>
      <c r="AK84" s="236" t="n">
        <f aca="false">$D84*AK64*(1+$E84)^AK$6</f>
        <v>45284.0396025839</v>
      </c>
      <c r="AL84" s="236" t="n">
        <f aca="false">$D84*AL64*(1+$E84)^AL$6</f>
        <v>46189.7203946355</v>
      </c>
    </row>
    <row r="85" customFormat="false" ht="15" hidden="false" customHeight="false" outlineLevel="1" collapsed="false">
      <c r="C85" s="383" t="str">
        <f aca="false">C65</f>
        <v>Director of HR</v>
      </c>
      <c r="D85" s="385" t="n">
        <f aca="false">'3. Assumptions'!D101</f>
        <v>25000</v>
      </c>
      <c r="E85" s="386" t="n">
        <f aca="false">IF('1. Project Summary'!$F$13="Real",0,'3. Assumptions'!E101)</f>
        <v>0.02</v>
      </c>
      <c r="G85" s="30" t="s">
        <v>112</v>
      </c>
      <c r="H85" s="236" t="n">
        <f aca="false">$D85*H65*(1+$E85)^H$6</f>
        <v>0</v>
      </c>
      <c r="I85" s="236" t="n">
        <f aca="false">$D85*I65*(1+$E85)^I$6</f>
        <v>26010</v>
      </c>
      <c r="J85" s="236" t="n">
        <f aca="false">$D85*J65*(1+$E85)^J$6</f>
        <v>26530.2</v>
      </c>
      <c r="K85" s="236" t="n">
        <f aca="false">$D85*K65*(1+$E85)^K$6</f>
        <v>27060.804</v>
      </c>
      <c r="L85" s="236" t="n">
        <f aca="false">$D85*L65*(1+$E85)^L$6</f>
        <v>27602.02008</v>
      </c>
      <c r="M85" s="236" t="n">
        <f aca="false">$D85*M65*(1+$E85)^M$6</f>
        <v>28154.0604816</v>
      </c>
      <c r="N85" s="236" t="n">
        <f aca="false">$D85*N65*(1+$E85)^N$6</f>
        <v>28717.141691232</v>
      </c>
      <c r="O85" s="236" t="n">
        <f aca="false">$D85*O65*(1+$E85)^O$6</f>
        <v>29291.4845250566</v>
      </c>
      <c r="P85" s="236" t="n">
        <f aca="false">$D85*P65*(1+$E85)^P$6</f>
        <v>29877.3142155578</v>
      </c>
      <c r="Q85" s="236" t="n">
        <f aca="false">$D85*Q65*(1+$E85)^Q$6</f>
        <v>30474.8604998689</v>
      </c>
      <c r="R85" s="236" t="n">
        <f aca="false">$D85*R65*(1+$E85)^R$6</f>
        <v>31084.3577098663</v>
      </c>
      <c r="S85" s="236" t="n">
        <f aca="false">$D85*S65*(1+$E85)^S$6</f>
        <v>31706.0448640636</v>
      </c>
      <c r="T85" s="236" t="n">
        <f aca="false">$D85*T65*(1+$E85)^T$6</f>
        <v>32340.1657613449</v>
      </c>
      <c r="U85" s="236" t="n">
        <f aca="false">$D85*U65*(1+$E85)^U$6</f>
        <v>32986.9690765718</v>
      </c>
      <c r="V85" s="236" t="n">
        <f aca="false">$D85*V65*(1+$E85)^V$6</f>
        <v>33646.7084581033</v>
      </c>
      <c r="W85" s="236" t="n">
        <f aca="false">$D85*W65*(1+$E85)^W$6</f>
        <v>34319.6426272653</v>
      </c>
      <c r="X85" s="236" t="n">
        <f aca="false">$D85*X65*(1+$E85)^X$6</f>
        <v>35006.0354798106</v>
      </c>
      <c r="Y85" s="236" t="n">
        <f aca="false">$D85*Y65*(1+$E85)^Y$6</f>
        <v>35706.1561894068</v>
      </c>
      <c r="Z85" s="236" t="n">
        <f aca="false">$D85*Z65*(1+$E85)^Z$6</f>
        <v>36420.279313195</v>
      </c>
      <c r="AA85" s="236" t="n">
        <f aca="false">$D85*AA65*(1+$E85)^AA$6</f>
        <v>37148.6848994589</v>
      </c>
      <c r="AB85" s="236" t="n">
        <f aca="false">$D85*AB65*(1+$E85)^AB$6</f>
        <v>37891.6585974481</v>
      </c>
      <c r="AC85" s="236" t="n">
        <f aca="false">$D85*AC65*(1+$E85)^AC$6</f>
        <v>38649.491769397</v>
      </c>
      <c r="AD85" s="236" t="n">
        <f aca="false">$D85*AD65*(1+$E85)^AD$6</f>
        <v>39422.481604785</v>
      </c>
      <c r="AE85" s="236" t="n">
        <f aca="false">$D85*AE65*(1+$E85)^AE$6</f>
        <v>40210.9312368807</v>
      </c>
      <c r="AF85" s="236" t="n">
        <f aca="false">$D85*AF65*(1+$E85)^AF$6</f>
        <v>41015.1498616183</v>
      </c>
      <c r="AG85" s="236" t="n">
        <f aca="false">$D85*AG65*(1+$E85)^AG$6</f>
        <v>41835.4528588506</v>
      </c>
      <c r="AH85" s="236" t="n">
        <f aca="false">$D85*AH65*(1+$E85)^AH$6</f>
        <v>42672.1619160276</v>
      </c>
      <c r="AI85" s="236" t="n">
        <f aca="false">$D85*AI65*(1+$E85)^AI$6</f>
        <v>43525.6051543482</v>
      </c>
      <c r="AJ85" s="236" t="n">
        <f aca="false">$D85*AJ65*(1+$E85)^AJ$6</f>
        <v>44396.1172574352</v>
      </c>
      <c r="AK85" s="236" t="n">
        <f aca="false">$D85*AK65*(1+$E85)^AK$6</f>
        <v>45284.0396025839</v>
      </c>
      <c r="AL85" s="236" t="n">
        <f aca="false">$D85*AL65*(1+$E85)^AL$6</f>
        <v>46189.7203946355</v>
      </c>
    </row>
    <row r="86" customFormat="false" ht="15" hidden="false" customHeight="false" outlineLevel="1" collapsed="false">
      <c r="C86" s="383" t="str">
        <f aca="false">C66</f>
        <v>Director of Partnership&amp;ITC</v>
      </c>
      <c r="D86" s="385" t="n">
        <f aca="false">'3. Assumptions'!D102</f>
        <v>25000</v>
      </c>
      <c r="E86" s="386" t="n">
        <f aca="false">IF('1. Project Summary'!$F$13="Real",0,'3. Assumptions'!E102)</f>
        <v>0.02</v>
      </c>
      <c r="G86" s="30" t="s">
        <v>112</v>
      </c>
      <c r="H86" s="236" t="n">
        <f aca="false">$D86*H66*(1+$E86)^H$6</f>
        <v>25500</v>
      </c>
      <c r="I86" s="236" t="n">
        <f aca="false">$D86*I66*(1+$E86)^I$6</f>
        <v>26010</v>
      </c>
      <c r="J86" s="236" t="n">
        <f aca="false">$D86*J66*(1+$E86)^J$6</f>
        <v>26530.2</v>
      </c>
      <c r="K86" s="236" t="n">
        <f aca="false">$D86*K66*(1+$E86)^K$6</f>
        <v>27060.804</v>
      </c>
      <c r="L86" s="236" t="n">
        <f aca="false">$D86*L66*(1+$E86)^L$6</f>
        <v>27602.02008</v>
      </c>
      <c r="M86" s="236" t="n">
        <f aca="false">$D86*M66*(1+$E86)^M$6</f>
        <v>28154.0604816</v>
      </c>
      <c r="N86" s="236" t="n">
        <f aca="false">$D86*N66*(1+$E86)^N$6</f>
        <v>28717.141691232</v>
      </c>
      <c r="O86" s="236" t="n">
        <f aca="false">$D86*O66*(1+$E86)^O$6</f>
        <v>29291.4845250566</v>
      </c>
      <c r="P86" s="236" t="n">
        <f aca="false">$D86*P66*(1+$E86)^P$6</f>
        <v>29877.3142155578</v>
      </c>
      <c r="Q86" s="236" t="n">
        <f aca="false">$D86*Q66*(1+$E86)^Q$6</f>
        <v>30474.8604998689</v>
      </c>
      <c r="R86" s="236" t="n">
        <f aca="false">$D86*R66*(1+$E86)^R$6</f>
        <v>31084.3577098663</v>
      </c>
      <c r="S86" s="236" t="n">
        <f aca="false">$D86*S66*(1+$E86)^S$6</f>
        <v>31706.0448640636</v>
      </c>
      <c r="T86" s="236" t="n">
        <f aca="false">$D86*T66*(1+$E86)^T$6</f>
        <v>32340.1657613449</v>
      </c>
      <c r="U86" s="236" t="n">
        <f aca="false">$D86*U66*(1+$E86)^U$6</f>
        <v>32986.9690765718</v>
      </c>
      <c r="V86" s="236" t="n">
        <f aca="false">$D86*V66*(1+$E86)^V$6</f>
        <v>33646.7084581033</v>
      </c>
      <c r="W86" s="236" t="n">
        <f aca="false">$D86*W66*(1+$E86)^W$6</f>
        <v>34319.6426272653</v>
      </c>
      <c r="X86" s="236" t="n">
        <f aca="false">$D86*X66*(1+$E86)^X$6</f>
        <v>35006.0354798106</v>
      </c>
      <c r="Y86" s="236" t="n">
        <f aca="false">$D86*Y66*(1+$E86)^Y$6</f>
        <v>35706.1561894068</v>
      </c>
      <c r="Z86" s="236" t="n">
        <f aca="false">$D86*Z66*(1+$E86)^Z$6</f>
        <v>36420.279313195</v>
      </c>
      <c r="AA86" s="236" t="n">
        <f aca="false">$D86*AA66*(1+$E86)^AA$6</f>
        <v>37148.6848994589</v>
      </c>
      <c r="AB86" s="236" t="n">
        <f aca="false">$D86*AB66*(1+$E86)^AB$6</f>
        <v>37891.6585974481</v>
      </c>
      <c r="AC86" s="236" t="n">
        <f aca="false">$D86*AC66*(1+$E86)^AC$6</f>
        <v>38649.491769397</v>
      </c>
      <c r="AD86" s="236" t="n">
        <f aca="false">$D86*AD66*(1+$E86)^AD$6</f>
        <v>39422.481604785</v>
      </c>
      <c r="AE86" s="236" t="n">
        <f aca="false">$D86*AE66*(1+$E86)^AE$6</f>
        <v>40210.9312368807</v>
      </c>
      <c r="AF86" s="236" t="n">
        <f aca="false">$D86*AF66*(1+$E86)^AF$6</f>
        <v>41015.1498616183</v>
      </c>
      <c r="AG86" s="236" t="n">
        <f aca="false">$D86*AG66*(1+$E86)^AG$6</f>
        <v>41835.4528588506</v>
      </c>
      <c r="AH86" s="236" t="n">
        <f aca="false">$D86*AH66*(1+$E86)^AH$6</f>
        <v>42672.1619160276</v>
      </c>
      <c r="AI86" s="236" t="n">
        <f aca="false">$D86*AI66*(1+$E86)^AI$6</f>
        <v>43525.6051543482</v>
      </c>
      <c r="AJ86" s="236" t="n">
        <f aca="false">$D86*AJ66*(1+$E86)^AJ$6</f>
        <v>44396.1172574352</v>
      </c>
      <c r="AK86" s="236" t="n">
        <f aca="false">$D86*AK66*(1+$E86)^AK$6</f>
        <v>45284.0396025839</v>
      </c>
      <c r="AL86" s="236" t="n">
        <f aca="false">$D86*AL66*(1+$E86)^AL$6</f>
        <v>46189.7203946355</v>
      </c>
    </row>
    <row r="87" customFormat="false" ht="15" hidden="false" customHeight="false" outlineLevel="1" collapsed="false">
      <c r="C87" s="383" t="str">
        <f aca="false">C67</f>
        <v>Managers</v>
      </c>
      <c r="D87" s="385" t="n">
        <f aca="false">'3. Assumptions'!D103</f>
        <v>10000</v>
      </c>
      <c r="E87" s="386" t="n">
        <f aca="false">IF('1. Project Summary'!$F$13="Real",0,'3. Assumptions'!E103)</f>
        <v>0.02</v>
      </c>
      <c r="G87" s="30" t="s">
        <v>112</v>
      </c>
      <c r="H87" s="236" t="n">
        <f aca="false">$D87*H67*(1+$E87)^H$6</f>
        <v>102000</v>
      </c>
      <c r="I87" s="236" t="n">
        <f aca="false">$D87*I67*(1+$E87)^I$6</f>
        <v>41616</v>
      </c>
      <c r="J87" s="236" t="n">
        <f aca="false">$D87*J67*(1+$E87)^J$6</f>
        <v>42448.32</v>
      </c>
      <c r="K87" s="236" t="n">
        <f aca="false">$D87*K67*(1+$E87)^K$6</f>
        <v>43297.2864</v>
      </c>
      <c r="L87" s="236" t="n">
        <f aca="false">$D87*L67*(1+$E87)^L$6</f>
        <v>66244.848192</v>
      </c>
      <c r="M87" s="236" t="n">
        <f aca="false">$D87*M67*(1+$E87)^M$6</f>
        <v>67569.74515584</v>
      </c>
      <c r="N87" s="236" t="n">
        <f aca="false">$D87*N67*(1+$E87)^N$6</f>
        <v>91894.8534119424</v>
      </c>
      <c r="O87" s="236" t="n">
        <f aca="false">$D87*O67*(1+$E87)^O$6</f>
        <v>93732.7504801813</v>
      </c>
      <c r="P87" s="236" t="n">
        <f aca="false">$D87*P67*(1+$E87)^P$6</f>
        <v>95607.4054897849</v>
      </c>
      <c r="Q87" s="236" t="n">
        <f aca="false">$D87*Q67*(1+$E87)^Q$6</f>
        <v>97519.5535995806</v>
      </c>
      <c r="R87" s="236" t="n">
        <f aca="false">$D87*R67*(1+$E87)^R$6</f>
        <v>99469.9446715722</v>
      </c>
      <c r="S87" s="236" t="n">
        <f aca="false">$D87*S67*(1+$E87)^S$6</f>
        <v>101459.343565004</v>
      </c>
      <c r="T87" s="236" t="n">
        <f aca="false">$D87*T67*(1+$E87)^T$6</f>
        <v>103488.530436304</v>
      </c>
      <c r="U87" s="236" t="n">
        <f aca="false">$D87*U67*(1+$E87)^U$6</f>
        <v>105558.30104503</v>
      </c>
      <c r="V87" s="236" t="n">
        <f aca="false">$D87*V67*(1+$E87)^V$6</f>
        <v>107669.46706593</v>
      </c>
      <c r="W87" s="236" t="n">
        <f aca="false">$D87*W67*(1+$E87)^W$6</f>
        <v>109822.856407249</v>
      </c>
      <c r="X87" s="236" t="n">
        <f aca="false">$D87*X67*(1+$E87)^X$6</f>
        <v>112019.313535394</v>
      </c>
      <c r="Y87" s="236" t="n">
        <f aca="false">$D87*Y67*(1+$E87)^Y$6</f>
        <v>114259.699806102</v>
      </c>
      <c r="Z87" s="236" t="n">
        <f aca="false">$D87*Z67*(1+$E87)^Z$6</f>
        <v>116544.893802224</v>
      </c>
      <c r="AA87" s="236" t="n">
        <f aca="false">$D87*AA67*(1+$E87)^AA$6</f>
        <v>118875.791678268</v>
      </c>
      <c r="AB87" s="236" t="n">
        <f aca="false">$D87*AB67*(1+$E87)^AB$6</f>
        <v>121253.307511834</v>
      </c>
      <c r="AC87" s="236" t="n">
        <f aca="false">$D87*AC67*(1+$E87)^AC$6</f>
        <v>123678.37366207</v>
      </c>
      <c r="AD87" s="236" t="n">
        <f aca="false">$D87*AD67*(1+$E87)^AD$6</f>
        <v>126151.941135312</v>
      </c>
      <c r="AE87" s="236" t="n">
        <f aca="false">$D87*AE67*(1+$E87)^AE$6</f>
        <v>128674.979958018</v>
      </c>
      <c r="AF87" s="236" t="n">
        <f aca="false">$D87*AF67*(1+$E87)^AF$6</f>
        <v>131248.479557178</v>
      </c>
      <c r="AG87" s="236" t="n">
        <f aca="false">$D87*AG67*(1+$E87)^AG$6</f>
        <v>133873.449148322</v>
      </c>
      <c r="AH87" s="236" t="n">
        <f aca="false">$D87*AH67*(1+$E87)^AH$6</f>
        <v>136550.918131288</v>
      </c>
      <c r="AI87" s="236" t="n">
        <f aca="false">$D87*AI67*(1+$E87)^AI$6</f>
        <v>139281.936493914</v>
      </c>
      <c r="AJ87" s="236" t="n">
        <f aca="false">$D87*AJ67*(1+$E87)^AJ$6</f>
        <v>142067.575223793</v>
      </c>
      <c r="AK87" s="236" t="n">
        <f aca="false">$D87*AK67*(1+$E87)^AK$6</f>
        <v>144908.926728268</v>
      </c>
      <c r="AL87" s="236" t="n">
        <f aca="false">$D87*AL67*(1+$E87)^AL$6</f>
        <v>147807.105262834</v>
      </c>
    </row>
    <row r="88" customFormat="false" ht="15" hidden="false" customHeight="false" outlineLevel="1" collapsed="false">
      <c r="C88" s="383" t="str">
        <f aca="false">C68</f>
        <v>Technical Staff</v>
      </c>
      <c r="D88" s="385" t="n">
        <f aca="false">'3. Assumptions'!D104</f>
        <v>8000</v>
      </c>
      <c r="E88" s="386" t="n">
        <f aca="false">IF('1. Project Summary'!$F$13="Real",0,'3. Assumptions'!E104)</f>
        <v>0.02</v>
      </c>
      <c r="G88" s="30" t="s">
        <v>112</v>
      </c>
      <c r="H88" s="236" t="n">
        <f aca="false">$D88*H68*(1+$E88)^H$6</f>
        <v>32640</v>
      </c>
      <c r="I88" s="236" t="n">
        <f aca="false">$D88*I68*(1+$E88)^I$6</f>
        <v>33292.8</v>
      </c>
      <c r="J88" s="236" t="n">
        <f aca="false">$D88*J68*(1+$E88)^J$6</f>
        <v>33958.656</v>
      </c>
      <c r="K88" s="236" t="n">
        <f aca="false">$D88*K68*(1+$E88)^K$6</f>
        <v>34637.82912</v>
      </c>
      <c r="L88" s="236" t="n">
        <f aca="false">$D88*L68*(1+$E88)^L$6</f>
        <v>52995.8785536</v>
      </c>
      <c r="M88" s="236" t="n">
        <f aca="false">$D88*M68*(1+$E88)^M$6</f>
        <v>54055.796124672</v>
      </c>
      <c r="N88" s="236" t="n">
        <f aca="false">$D88*N68*(1+$E88)^N$6</f>
        <v>73515.8827295539</v>
      </c>
      <c r="O88" s="236" t="n">
        <f aca="false">$D88*O68*(1+$E88)^O$6</f>
        <v>74986.200384145</v>
      </c>
      <c r="P88" s="236" t="n">
        <f aca="false">$D88*P68*(1+$E88)^P$6</f>
        <v>76485.9243918279</v>
      </c>
      <c r="Q88" s="236" t="n">
        <f aca="false">$D88*Q68*(1+$E88)^Q$6</f>
        <v>78015.6428796645</v>
      </c>
      <c r="R88" s="236" t="n">
        <f aca="false">$D88*R68*(1+$E88)^R$6</f>
        <v>79575.9557372578</v>
      </c>
      <c r="S88" s="236" t="n">
        <f aca="false">$D88*S68*(1+$E88)^S$6</f>
        <v>81167.4748520029</v>
      </c>
      <c r="T88" s="236" t="n">
        <f aca="false">$D88*T68*(1+$E88)^T$6</f>
        <v>82790.824349043</v>
      </c>
      <c r="U88" s="236" t="n">
        <f aca="false">$D88*U68*(1+$E88)^U$6</f>
        <v>84446.6408360238</v>
      </c>
      <c r="V88" s="236" t="n">
        <f aca="false">$D88*V68*(1+$E88)^V$6</f>
        <v>86135.5736527443</v>
      </c>
      <c r="W88" s="236" t="n">
        <f aca="false">$D88*W68*(1+$E88)^W$6</f>
        <v>87858.2851257992</v>
      </c>
      <c r="X88" s="236" t="n">
        <f aca="false">$D88*X68*(1+$E88)^X$6</f>
        <v>89615.4508283152</v>
      </c>
      <c r="Y88" s="236" t="n">
        <f aca="false">$D88*Y68*(1+$E88)^Y$6</f>
        <v>91407.7598448815</v>
      </c>
      <c r="Z88" s="236" t="n">
        <f aca="false">$D88*Z68*(1+$E88)^Z$6</f>
        <v>93235.9150417791</v>
      </c>
      <c r="AA88" s="236" t="n">
        <f aca="false">$D88*AA68*(1+$E88)^AA$6</f>
        <v>95100.6333426147</v>
      </c>
      <c r="AB88" s="236" t="n">
        <f aca="false">$D88*AB68*(1+$E88)^AB$6</f>
        <v>97002.646009467</v>
      </c>
      <c r="AC88" s="236" t="n">
        <f aca="false">$D88*AC68*(1+$E88)^AC$6</f>
        <v>98942.6989296563</v>
      </c>
      <c r="AD88" s="236" t="n">
        <f aca="false">$D88*AD68*(1+$E88)^AD$6</f>
        <v>100921.552908249</v>
      </c>
      <c r="AE88" s="236" t="n">
        <f aca="false">$D88*AE68*(1+$E88)^AE$6</f>
        <v>102939.983966414</v>
      </c>
      <c r="AF88" s="236" t="n">
        <f aca="false">$D88*AF68*(1+$E88)^AF$6</f>
        <v>104998.783645743</v>
      </c>
      <c r="AG88" s="236" t="n">
        <f aca="false">$D88*AG68*(1+$E88)^AG$6</f>
        <v>107098.759318658</v>
      </c>
      <c r="AH88" s="236" t="n">
        <f aca="false">$D88*AH68*(1+$E88)^AH$6</f>
        <v>109240.734505031</v>
      </c>
      <c r="AI88" s="236" t="n">
        <f aca="false">$D88*AI68*(1+$E88)^AI$6</f>
        <v>111425.549195131</v>
      </c>
      <c r="AJ88" s="236" t="n">
        <f aca="false">$D88*AJ68*(1+$E88)^AJ$6</f>
        <v>113654.060179034</v>
      </c>
      <c r="AK88" s="236" t="n">
        <f aca="false">$D88*AK68*(1+$E88)^AK$6</f>
        <v>115927.141382615</v>
      </c>
      <c r="AL88" s="236" t="n">
        <f aca="false">$D88*AL68*(1+$E88)^AL$6</f>
        <v>118245.684210267</v>
      </c>
    </row>
    <row r="89" customFormat="false" ht="15" hidden="false" customHeight="false" outlineLevel="1" collapsed="false">
      <c r="C89" s="383" t="str">
        <f aca="false">C69</f>
        <v>Forest Engineer</v>
      </c>
      <c r="D89" s="385" t="n">
        <f aca="false">'3. Assumptions'!D105</f>
        <v>8000</v>
      </c>
      <c r="E89" s="386" t="n">
        <f aca="false">IF('1. Project Summary'!$F$13="Real",0,'3. Assumptions'!E105)</f>
        <v>0.02</v>
      </c>
      <c r="G89" s="30" t="s">
        <v>112</v>
      </c>
      <c r="H89" s="236" t="n">
        <f aca="false">$D89*H69*(1+$E89)^H$6</f>
        <v>16320</v>
      </c>
      <c r="I89" s="236" t="n">
        <f aca="false">$D89*I69*(1+$E89)^I$6</f>
        <v>16646.4</v>
      </c>
      <c r="J89" s="236" t="n">
        <f aca="false">$D89*J69*(1+$E89)^J$6</f>
        <v>16979.328</v>
      </c>
      <c r="K89" s="236" t="n">
        <f aca="false">$D89*K69*(1+$E89)^K$6</f>
        <v>17318.91456</v>
      </c>
      <c r="L89" s="236" t="n">
        <f aca="false">$D89*L69*(1+$E89)^L$6</f>
        <v>26497.9392768</v>
      </c>
      <c r="M89" s="236" t="n">
        <f aca="false">$D89*M69*(1+$E89)^M$6</f>
        <v>27027.898062336</v>
      </c>
      <c r="N89" s="236" t="n">
        <f aca="false">$D89*N69*(1+$E89)^N$6</f>
        <v>36757.941364777</v>
      </c>
      <c r="O89" s="236" t="n">
        <f aca="false">$D89*O69*(1+$E89)^O$6</f>
        <v>37493.1001920725</v>
      </c>
      <c r="P89" s="236" t="n">
        <f aca="false">$D89*P69*(1+$E89)^P$6</f>
        <v>38242.962195914</v>
      </c>
      <c r="Q89" s="236" t="n">
        <f aca="false">$D89*Q69*(1+$E89)^Q$6</f>
        <v>39007.8214398322</v>
      </c>
      <c r="R89" s="236" t="n">
        <f aca="false">$D89*R69*(1+$E89)^R$6</f>
        <v>39787.9778686289</v>
      </c>
      <c r="S89" s="236" t="n">
        <f aca="false">$D89*S69*(1+$E89)^S$6</f>
        <v>40583.7374260015</v>
      </c>
      <c r="T89" s="236" t="n">
        <f aca="false">$D89*T69*(1+$E89)^T$6</f>
        <v>41395.4121745215</v>
      </c>
      <c r="U89" s="236" t="n">
        <f aca="false">$D89*U69*(1+$E89)^U$6</f>
        <v>42223.3204180119</v>
      </c>
      <c r="V89" s="236" t="n">
        <f aca="false">$D89*V69*(1+$E89)^V$6</f>
        <v>43067.7868263722</v>
      </c>
      <c r="W89" s="236" t="n">
        <f aca="false">$D89*W69*(1+$E89)^W$6</f>
        <v>43929.1425628996</v>
      </c>
      <c r="X89" s="236" t="n">
        <f aca="false">$D89*X69*(1+$E89)^X$6</f>
        <v>44807.7254141576</v>
      </c>
      <c r="Y89" s="236" t="n">
        <f aca="false">$D89*Y69*(1+$E89)^Y$6</f>
        <v>45703.8799224408</v>
      </c>
      <c r="Z89" s="236" t="n">
        <f aca="false">$D89*Z69*(1+$E89)^Z$6</f>
        <v>46617.9575208896</v>
      </c>
      <c r="AA89" s="236" t="n">
        <f aca="false">$D89*AA69*(1+$E89)^AA$6</f>
        <v>47550.3166713074</v>
      </c>
      <c r="AB89" s="236" t="n">
        <f aca="false">$D89*AB69*(1+$E89)^AB$6</f>
        <v>48501.3230047335</v>
      </c>
      <c r="AC89" s="236" t="n">
        <f aca="false">$D89*AC69*(1+$E89)^AC$6</f>
        <v>49471.3494648282</v>
      </c>
      <c r="AD89" s="236" t="n">
        <f aca="false">$D89*AD69*(1+$E89)^AD$6</f>
        <v>50460.7764541247</v>
      </c>
      <c r="AE89" s="236" t="n">
        <f aca="false">$D89*AE69*(1+$E89)^AE$6</f>
        <v>51469.9919832072</v>
      </c>
      <c r="AF89" s="236" t="n">
        <f aca="false">$D89*AF69*(1+$E89)^AF$6</f>
        <v>52499.3918228714</v>
      </c>
      <c r="AG89" s="236" t="n">
        <f aca="false">$D89*AG69*(1+$E89)^AG$6</f>
        <v>53549.3796593288</v>
      </c>
      <c r="AH89" s="236" t="n">
        <f aca="false">$D89*AH69*(1+$E89)^AH$6</f>
        <v>54620.3672525154</v>
      </c>
      <c r="AI89" s="236" t="n">
        <f aca="false">$D89*AI69*(1+$E89)^AI$6</f>
        <v>55712.7745975657</v>
      </c>
      <c r="AJ89" s="236" t="n">
        <f aca="false">$D89*AJ69*(1+$E89)^AJ$6</f>
        <v>56827.030089517</v>
      </c>
      <c r="AK89" s="236" t="n">
        <f aca="false">$D89*AK69*(1+$E89)^AK$6</f>
        <v>57963.5706913074</v>
      </c>
      <c r="AL89" s="236" t="n">
        <f aca="false">$D89*AL69*(1+$E89)^AL$6</f>
        <v>59122.8421051335</v>
      </c>
    </row>
    <row r="90" customFormat="false" ht="15" hidden="false" customHeight="false" outlineLevel="1" collapsed="false">
      <c r="C90" s="383" t="str">
        <f aca="false">C70</f>
        <v>Employees</v>
      </c>
      <c r="D90" s="385" t="n">
        <f aca="false">'3. Assumptions'!D106</f>
        <v>3000</v>
      </c>
      <c r="E90" s="386" t="n">
        <f aca="false">IF('1. Project Summary'!$F$13="Real",0,'3. Assumptions'!E106)</f>
        <v>0.02</v>
      </c>
      <c r="G90" s="30" t="s">
        <v>112</v>
      </c>
      <c r="H90" s="236" t="n">
        <f aca="false">$D90*H70*(1+$E90)^H$6</f>
        <v>24480</v>
      </c>
      <c r="I90" s="236" t="n">
        <f aca="false">$D90*I70*(1+$E90)^I$6</f>
        <v>24969.6</v>
      </c>
      <c r="J90" s="236" t="n">
        <f aca="false">$D90*J70*(1+$E90)^J$6</f>
        <v>25468.992</v>
      </c>
      <c r="K90" s="236" t="n">
        <f aca="false">$D90*K70*(1+$E90)^K$6</f>
        <v>25978.37184</v>
      </c>
      <c r="L90" s="236" t="n">
        <f aca="false">$D90*L70*(1+$E90)^L$6</f>
        <v>39746.9089152</v>
      </c>
      <c r="M90" s="236" t="n">
        <f aca="false">$D90*M70*(1+$E90)^M$6</f>
        <v>40541.847093504</v>
      </c>
      <c r="N90" s="236" t="n">
        <f aca="false">$D90*N70*(1+$E90)^N$6</f>
        <v>55136.9120471654</v>
      </c>
      <c r="O90" s="236" t="n">
        <f aca="false">$D90*O70*(1+$E90)^O$6</f>
        <v>56239.6502881088</v>
      </c>
      <c r="P90" s="236" t="n">
        <f aca="false">$D90*P70*(1+$E90)^P$6</f>
        <v>57364.4432938709</v>
      </c>
      <c r="Q90" s="236" t="n">
        <f aca="false">$D90*Q70*(1+$E90)^Q$6</f>
        <v>58511.7321597484</v>
      </c>
      <c r="R90" s="236" t="n">
        <f aca="false">$D90*R70*(1+$E90)^R$6</f>
        <v>59681.9668029433</v>
      </c>
      <c r="S90" s="236" t="n">
        <f aca="false">$D90*S70*(1+$E90)^S$6</f>
        <v>60875.6061390022</v>
      </c>
      <c r="T90" s="236" t="n">
        <f aca="false">$D90*T70*(1+$E90)^T$6</f>
        <v>62093.1182617822</v>
      </c>
      <c r="U90" s="236" t="n">
        <f aca="false">$D90*U70*(1+$E90)^U$6</f>
        <v>63334.9806270179</v>
      </c>
      <c r="V90" s="236" t="n">
        <f aca="false">$D90*V70*(1+$E90)^V$6</f>
        <v>64601.6802395582</v>
      </c>
      <c r="W90" s="236" t="n">
        <f aca="false">$D90*W70*(1+$E90)^W$6</f>
        <v>65893.7138443494</v>
      </c>
      <c r="X90" s="236" t="n">
        <f aca="false">$D90*X70*(1+$E90)^X$6</f>
        <v>67211.5881212364</v>
      </c>
      <c r="Y90" s="236" t="n">
        <f aca="false">$D90*Y70*(1+$E90)^Y$6</f>
        <v>68555.8198836611</v>
      </c>
      <c r="Z90" s="236" t="n">
        <f aca="false">$D90*Z70*(1+$E90)^Z$6</f>
        <v>69926.9362813344</v>
      </c>
      <c r="AA90" s="236" t="n">
        <f aca="false">$D90*AA70*(1+$E90)^AA$6</f>
        <v>71325.475006961</v>
      </c>
      <c r="AB90" s="236" t="n">
        <f aca="false">$D90*AB70*(1+$E90)^AB$6</f>
        <v>72751.9845071003</v>
      </c>
      <c r="AC90" s="236" t="n">
        <f aca="false">$D90*AC70*(1+$E90)^AC$6</f>
        <v>74207.0241972423</v>
      </c>
      <c r="AD90" s="236" t="n">
        <f aca="false">$D90*AD70*(1+$E90)^AD$6</f>
        <v>75691.1646811871</v>
      </c>
      <c r="AE90" s="236" t="n">
        <f aca="false">$D90*AE70*(1+$E90)^AE$6</f>
        <v>77204.9879748109</v>
      </c>
      <c r="AF90" s="236" t="n">
        <f aca="false">$D90*AF70*(1+$E90)^AF$6</f>
        <v>78749.0877343071</v>
      </c>
      <c r="AG90" s="236" t="n">
        <f aca="false">$D90*AG70*(1+$E90)^AG$6</f>
        <v>80324.0694889932</v>
      </c>
      <c r="AH90" s="236" t="n">
        <f aca="false">$D90*AH70*(1+$E90)^AH$6</f>
        <v>81930.5508787731</v>
      </c>
      <c r="AI90" s="236" t="n">
        <f aca="false">$D90*AI70*(1+$E90)^AI$6</f>
        <v>83569.1618963486</v>
      </c>
      <c r="AJ90" s="236" t="n">
        <f aca="false">$D90*AJ70*(1+$E90)^AJ$6</f>
        <v>85240.5451342755</v>
      </c>
      <c r="AK90" s="236" t="n">
        <f aca="false">$D90*AK70*(1+$E90)^AK$6</f>
        <v>86945.356036961</v>
      </c>
      <c r="AL90" s="236" t="n">
        <f aca="false">$D90*AL70*(1+$E90)^AL$6</f>
        <v>88684.2631577003</v>
      </c>
    </row>
    <row r="91" customFormat="false" ht="15" hidden="false" customHeight="false" outlineLevel="1" collapsed="false">
      <c r="C91" s="383" t="str">
        <f aca="false">C71</f>
        <v>Executive Secretary</v>
      </c>
      <c r="D91" s="385" t="n">
        <f aca="false">'3. Assumptions'!D107</f>
        <v>4000</v>
      </c>
      <c r="E91" s="386" t="n">
        <f aca="false">IF('1. Project Summary'!$F$13="Real",0,'3. Assumptions'!E107)</f>
        <v>0.02</v>
      </c>
      <c r="G91" s="30" t="s">
        <v>112</v>
      </c>
      <c r="H91" s="236" t="n">
        <f aca="false">$D91*H71*(1+$E91)^H$6</f>
        <v>4080</v>
      </c>
      <c r="I91" s="236" t="n">
        <f aca="false">$D91*I71*(1+$E91)^I$6</f>
        <v>4161.6</v>
      </c>
      <c r="J91" s="236" t="n">
        <f aca="false">$D91*J71*(1+$E91)^J$6</f>
        <v>4244.832</v>
      </c>
      <c r="K91" s="236" t="n">
        <f aca="false">$D91*K71*(1+$E91)^K$6</f>
        <v>4329.72864</v>
      </c>
      <c r="L91" s="236" t="n">
        <f aca="false">$D91*L71*(1+$E91)^L$6</f>
        <v>4416.3232128</v>
      </c>
      <c r="M91" s="236" t="n">
        <f aca="false">$D91*M71*(1+$E91)^M$6</f>
        <v>4504.649677056</v>
      </c>
      <c r="N91" s="236" t="n">
        <f aca="false">$D91*N71*(1+$E91)^N$6</f>
        <v>4594.74267059712</v>
      </c>
      <c r="O91" s="236" t="n">
        <f aca="false">$D91*O71*(1+$E91)^O$6</f>
        <v>4686.63752400906</v>
      </c>
      <c r="P91" s="236" t="n">
        <f aca="false">$D91*P71*(1+$E91)^P$6</f>
        <v>4780.37027448924</v>
      </c>
      <c r="Q91" s="236" t="n">
        <f aca="false">$D91*Q71*(1+$E91)^Q$6</f>
        <v>4875.97767997903</v>
      </c>
      <c r="R91" s="236" t="n">
        <f aca="false">$D91*R71*(1+$E91)^R$6</f>
        <v>4973.49723357861</v>
      </c>
      <c r="S91" s="236" t="n">
        <f aca="false">$D91*S71*(1+$E91)^S$6</f>
        <v>5072.96717825018</v>
      </c>
      <c r="T91" s="236" t="n">
        <f aca="false">$D91*T71*(1+$E91)^T$6</f>
        <v>5174.42652181519</v>
      </c>
      <c r="U91" s="236" t="n">
        <f aca="false">$D91*U71*(1+$E91)^U$6</f>
        <v>5277.91505225149</v>
      </c>
      <c r="V91" s="236" t="n">
        <f aca="false">$D91*V71*(1+$E91)^V$6</f>
        <v>5383.47335329652</v>
      </c>
      <c r="W91" s="236" t="n">
        <f aca="false">$D91*W71*(1+$E91)^W$6</f>
        <v>5491.14282036245</v>
      </c>
      <c r="X91" s="236" t="n">
        <f aca="false">$D91*X71*(1+$E91)^X$6</f>
        <v>5600.9656767697</v>
      </c>
      <c r="Y91" s="236" t="n">
        <f aca="false">$D91*Y71*(1+$E91)^Y$6</f>
        <v>5712.98499030509</v>
      </c>
      <c r="Z91" s="236" t="n">
        <f aca="false">$D91*Z71*(1+$E91)^Z$6</f>
        <v>5827.2446901112</v>
      </c>
      <c r="AA91" s="236" t="n">
        <f aca="false">$D91*AA71*(1+$E91)^AA$6</f>
        <v>5943.78958391342</v>
      </c>
      <c r="AB91" s="236" t="n">
        <f aca="false">$D91*AB71*(1+$E91)^AB$6</f>
        <v>6062.66537559169</v>
      </c>
      <c r="AC91" s="236" t="n">
        <f aca="false">$D91*AC71*(1+$E91)^AC$6</f>
        <v>6183.91868310352</v>
      </c>
      <c r="AD91" s="236" t="n">
        <f aca="false">$D91*AD71*(1+$E91)^AD$6</f>
        <v>6307.59705676559</v>
      </c>
      <c r="AE91" s="236" t="n">
        <f aca="false">$D91*AE71*(1+$E91)^AE$6</f>
        <v>6433.7489979009</v>
      </c>
      <c r="AF91" s="236" t="n">
        <f aca="false">$D91*AF71*(1+$E91)^AF$6</f>
        <v>6562.42397785892</v>
      </c>
      <c r="AG91" s="236" t="n">
        <f aca="false">$D91*AG71*(1+$E91)^AG$6</f>
        <v>6693.6724574161</v>
      </c>
      <c r="AH91" s="236" t="n">
        <f aca="false">$D91*AH71*(1+$E91)^AH$6</f>
        <v>6827.54590656442</v>
      </c>
      <c r="AI91" s="236" t="n">
        <f aca="false">$D91*AI71*(1+$E91)^AI$6</f>
        <v>6964.09682469571</v>
      </c>
      <c r="AJ91" s="236" t="n">
        <f aca="false">$D91*AJ71*(1+$E91)^AJ$6</f>
        <v>7103.37876118963</v>
      </c>
      <c r="AK91" s="236" t="n">
        <f aca="false">$D91*AK71*(1+$E91)^AK$6</f>
        <v>7245.44633641342</v>
      </c>
      <c r="AL91" s="236" t="n">
        <f aca="false">$D91*AL71*(1+$E91)^AL$6</f>
        <v>7390.35526314169</v>
      </c>
    </row>
    <row r="92" customFormat="false" ht="15" hidden="false" customHeight="false" outlineLevel="1" collapsed="false">
      <c r="C92" s="383" t="str">
        <f aca="false">C72</f>
        <v>Secretaries</v>
      </c>
      <c r="D92" s="385" t="n">
        <f aca="false">'3. Assumptions'!D108</f>
        <v>3000</v>
      </c>
      <c r="E92" s="386" t="n">
        <f aca="false">IF('1. Project Summary'!$F$13="Real",0,'3. Assumptions'!E108)</f>
        <v>0.02</v>
      </c>
      <c r="G92" s="30" t="s">
        <v>112</v>
      </c>
      <c r="H92" s="236" t="n">
        <f aca="false">$D92*H72*(1+$E92)^H$6</f>
        <v>21420</v>
      </c>
      <c r="I92" s="236" t="n">
        <f aca="false">$D92*I72*(1+$E92)^I$6</f>
        <v>9363.6</v>
      </c>
      <c r="J92" s="236" t="n">
        <f aca="false">$D92*J72*(1+$E92)^J$6</f>
        <v>9550.872</v>
      </c>
      <c r="K92" s="236" t="n">
        <f aca="false">$D92*K72*(1+$E92)^K$6</f>
        <v>9741.88944</v>
      </c>
      <c r="L92" s="236" t="n">
        <f aca="false">$D92*L72*(1+$E92)^L$6</f>
        <v>13248.9696384</v>
      </c>
      <c r="M92" s="236" t="n">
        <f aca="false">$D92*M72*(1+$E92)^M$6</f>
        <v>13513.949031168</v>
      </c>
      <c r="N92" s="236" t="n">
        <f aca="false">$D92*N72*(1+$E92)^N$6</f>
        <v>17230.2850147392</v>
      </c>
      <c r="O92" s="236" t="n">
        <f aca="false">$D92*O72*(1+$E92)^O$6</f>
        <v>17574.890715034</v>
      </c>
      <c r="P92" s="236" t="n">
        <f aca="false">$D92*P72*(1+$E92)^P$6</f>
        <v>17926.3885293347</v>
      </c>
      <c r="Q92" s="236" t="n">
        <f aca="false">$D92*Q72*(1+$E92)^Q$6</f>
        <v>18284.9162999214</v>
      </c>
      <c r="R92" s="236" t="n">
        <f aca="false">$D92*R72*(1+$E92)^R$6</f>
        <v>18650.6146259198</v>
      </c>
      <c r="S92" s="236" t="n">
        <f aca="false">$D92*S72*(1+$E92)^S$6</f>
        <v>19023.6269184382</v>
      </c>
      <c r="T92" s="236" t="n">
        <f aca="false">$D92*T72*(1+$E92)^T$6</f>
        <v>19404.0994568069</v>
      </c>
      <c r="U92" s="236" t="n">
        <f aca="false">$D92*U72*(1+$E92)^U$6</f>
        <v>19792.1814459431</v>
      </c>
      <c r="V92" s="236" t="n">
        <f aca="false">$D92*V72*(1+$E92)^V$6</f>
        <v>20188.0250748619</v>
      </c>
      <c r="W92" s="236" t="n">
        <f aca="false">$D92*W72*(1+$E92)^W$6</f>
        <v>20591.7855763592</v>
      </c>
      <c r="X92" s="236" t="n">
        <f aca="false">$D92*X72*(1+$E92)^X$6</f>
        <v>21003.6212878864</v>
      </c>
      <c r="Y92" s="236" t="n">
        <f aca="false">$D92*Y72*(1+$E92)^Y$6</f>
        <v>21423.6937136441</v>
      </c>
      <c r="Z92" s="236" t="n">
        <f aca="false">$D92*Z72*(1+$E92)^Z$6</f>
        <v>21852.167587917</v>
      </c>
      <c r="AA92" s="236" t="n">
        <f aca="false">$D92*AA72*(1+$E92)^AA$6</f>
        <v>22289.2109396753</v>
      </c>
      <c r="AB92" s="236" t="n">
        <f aca="false">$D92*AB72*(1+$E92)^AB$6</f>
        <v>22734.9951584688</v>
      </c>
      <c r="AC92" s="236" t="n">
        <f aca="false">$D92*AC72*(1+$E92)^AC$6</f>
        <v>23189.6950616382</v>
      </c>
      <c r="AD92" s="236" t="n">
        <f aca="false">$D92*AD72*(1+$E92)^AD$6</f>
        <v>23653.488962871</v>
      </c>
      <c r="AE92" s="236" t="n">
        <f aca="false">$D92*AE72*(1+$E92)^AE$6</f>
        <v>24126.5587421284</v>
      </c>
      <c r="AF92" s="236" t="n">
        <f aca="false">$D92*AF72*(1+$E92)^AF$6</f>
        <v>24609.089916971</v>
      </c>
      <c r="AG92" s="236" t="n">
        <f aca="false">$D92*AG72*(1+$E92)^AG$6</f>
        <v>25101.2717153104</v>
      </c>
      <c r="AH92" s="236" t="n">
        <f aca="false">$D92*AH72*(1+$E92)^AH$6</f>
        <v>25603.2971496166</v>
      </c>
      <c r="AI92" s="236" t="n">
        <f aca="false">$D92*AI72*(1+$E92)^AI$6</f>
        <v>26115.3630926089</v>
      </c>
      <c r="AJ92" s="236" t="n">
        <f aca="false">$D92*AJ72*(1+$E92)^AJ$6</f>
        <v>26637.6703544611</v>
      </c>
      <c r="AK92" s="236" t="n">
        <f aca="false">$D92*AK72*(1+$E92)^AK$6</f>
        <v>27170.4237615503</v>
      </c>
      <c r="AL92" s="236" t="n">
        <f aca="false">$D92*AL72*(1+$E92)^AL$6</f>
        <v>27713.8322367813</v>
      </c>
    </row>
    <row r="93" customFormat="false" ht="15" hidden="false" customHeight="false" outlineLevel="1" collapsed="false">
      <c r="C93" s="383" t="str">
        <f aca="false">C73</f>
        <v>Trainees/Students</v>
      </c>
      <c r="D93" s="385" t="n">
        <f aca="false">'3. Assumptions'!D109</f>
        <v>1200</v>
      </c>
      <c r="E93" s="386" t="n">
        <f aca="false">IF('1. Project Summary'!$F$13="Real",0,'3. Assumptions'!E109)</f>
        <v>0.02</v>
      </c>
      <c r="G93" s="30" t="s">
        <v>112</v>
      </c>
      <c r="H93" s="236" t="n">
        <f aca="false">$D93*H73*(1+$E93)^H$6</f>
        <v>12240</v>
      </c>
      <c r="I93" s="236" t="n">
        <f aca="false">$D93*I73*(1+$E93)^I$6</f>
        <v>12484.8</v>
      </c>
      <c r="J93" s="236" t="n">
        <f aca="false">$D93*J73*(1+$E93)^J$6</f>
        <v>12734.496</v>
      </c>
      <c r="K93" s="236" t="n">
        <f aca="false">$D93*K73*(1+$E93)^K$6</f>
        <v>12989.18592</v>
      </c>
      <c r="L93" s="236" t="n">
        <f aca="false">$D93*L73*(1+$E93)^L$6</f>
        <v>19873.4544576</v>
      </c>
      <c r="M93" s="236" t="n">
        <f aca="false">$D93*M73*(1+$E93)^M$6</f>
        <v>20270.923546752</v>
      </c>
      <c r="N93" s="236" t="n">
        <f aca="false">$D93*N73*(1+$E93)^N$6</f>
        <v>27568.4560235827</v>
      </c>
      <c r="O93" s="236" t="n">
        <f aca="false">$D93*O73*(1+$E93)^O$6</f>
        <v>28119.8251440544</v>
      </c>
      <c r="P93" s="236" t="n">
        <f aca="false">$D93*P73*(1+$E93)^P$6</f>
        <v>28682.2216469355</v>
      </c>
      <c r="Q93" s="236" t="n">
        <f aca="false">$D93*Q73*(1+$E93)^Q$6</f>
        <v>29255.8660798742</v>
      </c>
      <c r="R93" s="236" t="n">
        <f aca="false">$D93*R73*(1+$E93)^R$6</f>
        <v>29840.9834014717</v>
      </c>
      <c r="S93" s="236" t="n">
        <f aca="false">$D93*S73*(1+$E93)^S$6</f>
        <v>30437.8030695011</v>
      </c>
      <c r="T93" s="236" t="n">
        <f aca="false">$D93*T73*(1+$E93)^T$6</f>
        <v>31046.5591308911</v>
      </c>
      <c r="U93" s="236" t="n">
        <f aca="false">$D93*U73*(1+$E93)^U$6</f>
        <v>31667.4903135089</v>
      </c>
      <c r="V93" s="236" t="n">
        <f aca="false">$D93*V73*(1+$E93)^V$6</f>
        <v>32300.8401197791</v>
      </c>
      <c r="W93" s="236" t="n">
        <f aca="false">$D93*W73*(1+$E93)^W$6</f>
        <v>32946.8569221747</v>
      </c>
      <c r="X93" s="236" t="n">
        <f aca="false">$D93*X73*(1+$E93)^X$6</f>
        <v>33605.7940606182</v>
      </c>
      <c r="Y93" s="236" t="n">
        <f aca="false">$D93*Y73*(1+$E93)^Y$6</f>
        <v>34277.9099418306</v>
      </c>
      <c r="Z93" s="236" t="n">
        <f aca="false">$D93*Z73*(1+$E93)^Z$6</f>
        <v>34963.4681406672</v>
      </c>
      <c r="AA93" s="236" t="n">
        <f aca="false">$D93*AA73*(1+$E93)^AA$6</f>
        <v>35662.7375034805</v>
      </c>
      <c r="AB93" s="236" t="n">
        <f aca="false">$D93*AB73*(1+$E93)^AB$6</f>
        <v>36375.9922535501</v>
      </c>
      <c r="AC93" s="236" t="n">
        <f aca="false">$D93*AC73*(1+$E93)^AC$6</f>
        <v>37103.5120986211</v>
      </c>
      <c r="AD93" s="236" t="n">
        <f aca="false">$D93*AD73*(1+$E93)^AD$6</f>
        <v>37845.5823405936</v>
      </c>
      <c r="AE93" s="236" t="n">
        <f aca="false">$D93*AE73*(1+$E93)^AE$6</f>
        <v>38602.4939874054</v>
      </c>
      <c r="AF93" s="236" t="n">
        <f aca="false">$D93*AF73*(1+$E93)^AF$6</f>
        <v>39374.5438671535</v>
      </c>
      <c r="AG93" s="236" t="n">
        <f aca="false">$D93*AG73*(1+$E93)^AG$6</f>
        <v>40162.0347444966</v>
      </c>
      <c r="AH93" s="236" t="n">
        <f aca="false">$D93*AH73*(1+$E93)^AH$6</f>
        <v>40965.2754393865</v>
      </c>
      <c r="AI93" s="236" t="n">
        <f aca="false">$D93*AI73*(1+$E93)^AI$6</f>
        <v>41784.5809481743</v>
      </c>
      <c r="AJ93" s="236" t="n">
        <f aca="false">$D93*AJ73*(1+$E93)^AJ$6</f>
        <v>42620.2725671378</v>
      </c>
      <c r="AK93" s="236" t="n">
        <f aca="false">$D93*AK73*(1+$E93)^AK$6</f>
        <v>43472.6780184805</v>
      </c>
      <c r="AL93" s="236" t="n">
        <f aca="false">$D93*AL73*(1+$E93)^AL$6</f>
        <v>44342.1315788501</v>
      </c>
    </row>
    <row r="94" customFormat="false" ht="15" hidden="false" customHeight="false" outlineLevel="1" collapsed="false">
      <c r="C94" s="383" t="str">
        <f aca="false">C74</f>
        <v>Drivers</v>
      </c>
      <c r="D94" s="385" t="n">
        <f aca="false">'3. Assumptions'!D110</f>
        <v>2500</v>
      </c>
      <c r="E94" s="386" t="n">
        <f aca="false">IF('1. Project Summary'!$F$13="Real",0,'3. Assumptions'!E110)</f>
        <v>0.02</v>
      </c>
      <c r="G94" s="30" t="s">
        <v>112</v>
      </c>
      <c r="H94" s="236" t="n">
        <f aca="false">$D94*H74*(1+$E94)^H$6</f>
        <v>10200</v>
      </c>
      <c r="I94" s="236" t="n">
        <f aca="false">$D94*I74*(1+$E94)^I$6</f>
        <v>10404</v>
      </c>
      <c r="J94" s="236" t="n">
        <f aca="false">$D94*J74*(1+$E94)^J$6</f>
        <v>10612.08</v>
      </c>
      <c r="K94" s="236" t="n">
        <f aca="false">$D94*K74*(1+$E94)^K$6</f>
        <v>10824.3216</v>
      </c>
      <c r="L94" s="236" t="n">
        <f aca="false">$D94*L74*(1+$E94)^L$6</f>
        <v>16561.212048</v>
      </c>
      <c r="M94" s="236" t="n">
        <f aca="false">$D94*M74*(1+$E94)^M$6</f>
        <v>16892.43628896</v>
      </c>
      <c r="N94" s="236" t="n">
        <f aca="false">$D94*N74*(1+$E94)^N$6</f>
        <v>22973.7133529856</v>
      </c>
      <c r="O94" s="236" t="n">
        <f aca="false">$D94*O74*(1+$E94)^O$6</f>
        <v>23433.1876200453</v>
      </c>
      <c r="P94" s="236" t="n">
        <f aca="false">$D94*P74*(1+$E94)^P$6</f>
        <v>23901.8513724462</v>
      </c>
      <c r="Q94" s="236" t="n">
        <f aca="false">$D94*Q74*(1+$E94)^Q$6</f>
        <v>24379.8883998951</v>
      </c>
      <c r="R94" s="236" t="n">
        <f aca="false">$D94*R74*(1+$E94)^R$6</f>
        <v>24867.4861678931</v>
      </c>
      <c r="S94" s="236" t="n">
        <f aca="false">$D94*S74*(1+$E94)^S$6</f>
        <v>25364.8358912509</v>
      </c>
      <c r="T94" s="236" t="n">
        <f aca="false">$D94*T74*(1+$E94)^T$6</f>
        <v>25872.1326090759</v>
      </c>
      <c r="U94" s="236" t="n">
        <f aca="false">$D94*U74*(1+$E94)^U$6</f>
        <v>26389.5752612574</v>
      </c>
      <c r="V94" s="236" t="n">
        <f aca="false">$D94*V74*(1+$E94)^V$6</f>
        <v>26917.3667664826</v>
      </c>
      <c r="W94" s="236" t="n">
        <f aca="false">$D94*W74*(1+$E94)^W$6</f>
        <v>27455.7141018123</v>
      </c>
      <c r="X94" s="236" t="n">
        <f aca="false">$D94*X74*(1+$E94)^X$6</f>
        <v>28004.8283838485</v>
      </c>
      <c r="Y94" s="236" t="n">
        <f aca="false">$D94*Y74*(1+$E94)^Y$6</f>
        <v>28564.9249515255</v>
      </c>
      <c r="Z94" s="236" t="n">
        <f aca="false">$D94*Z74*(1+$E94)^Z$6</f>
        <v>29136.223450556</v>
      </c>
      <c r="AA94" s="236" t="n">
        <f aca="false">$D94*AA74*(1+$E94)^AA$6</f>
        <v>29718.9479195671</v>
      </c>
      <c r="AB94" s="236" t="n">
        <f aca="false">$D94*AB74*(1+$E94)^AB$6</f>
        <v>30313.3268779584</v>
      </c>
      <c r="AC94" s="236" t="n">
        <f aca="false">$D94*AC74*(1+$E94)^AC$6</f>
        <v>30919.5934155176</v>
      </c>
      <c r="AD94" s="236" t="n">
        <f aca="false">$D94*AD74*(1+$E94)^AD$6</f>
        <v>31537.985283828</v>
      </c>
      <c r="AE94" s="236" t="n">
        <f aca="false">$D94*AE74*(1+$E94)^AE$6</f>
        <v>32168.7449895045</v>
      </c>
      <c r="AF94" s="236" t="n">
        <f aca="false">$D94*AF74*(1+$E94)^AF$6</f>
        <v>32812.1198892946</v>
      </c>
      <c r="AG94" s="236" t="n">
        <f aca="false">$D94*AG74*(1+$E94)^AG$6</f>
        <v>33468.3622870805</v>
      </c>
      <c r="AH94" s="236" t="n">
        <f aca="false">$D94*AH74*(1+$E94)^AH$6</f>
        <v>34137.7295328221</v>
      </c>
      <c r="AI94" s="236" t="n">
        <f aca="false">$D94*AI74*(1+$E94)^AI$6</f>
        <v>34820.4841234786</v>
      </c>
      <c r="AJ94" s="236" t="n">
        <f aca="false">$D94*AJ74*(1+$E94)^AJ$6</f>
        <v>35516.8938059481</v>
      </c>
      <c r="AK94" s="236" t="n">
        <f aca="false">$D94*AK74*(1+$E94)^AK$6</f>
        <v>36227.2316820671</v>
      </c>
      <c r="AL94" s="236" t="n">
        <f aca="false">$D94*AL74*(1+$E94)^AL$6</f>
        <v>36951.7763157084</v>
      </c>
    </row>
    <row r="95" customFormat="false" ht="15" hidden="false" customHeight="false" outlineLevel="1" collapsed="false">
      <c r="C95" s="383" t="str">
        <f aca="false">C75</f>
        <v>Accountant</v>
      </c>
      <c r="D95" s="385" t="n">
        <f aca="false">'3. Assumptions'!D111</f>
        <v>2500</v>
      </c>
      <c r="E95" s="386" t="n">
        <f aca="false">IF('1. Project Summary'!$F$13="Real",0,'3. Assumptions'!E111)</f>
        <v>0.02</v>
      </c>
      <c r="G95" s="30" t="s">
        <v>112</v>
      </c>
      <c r="H95" s="236" t="n">
        <f aca="false">$D95*H75*(1+$E95)^H$6</f>
        <v>5100</v>
      </c>
      <c r="I95" s="236" t="n">
        <f aca="false">$D95*I75*(1+$E95)^I$6</f>
        <v>5202</v>
      </c>
      <c r="J95" s="236" t="n">
        <f aca="false">$D95*J75*(1+$E95)^J$6</f>
        <v>5306.04</v>
      </c>
      <c r="K95" s="236" t="n">
        <f aca="false">$D95*K75*(1+$E95)^K$6</f>
        <v>5412.1608</v>
      </c>
      <c r="L95" s="236" t="n">
        <f aca="false">$D95*L75*(1+$E95)^L$6</f>
        <v>8280.606024</v>
      </c>
      <c r="M95" s="236" t="n">
        <f aca="false">$D95*M75*(1+$E95)^M$6</f>
        <v>8446.21814448</v>
      </c>
      <c r="N95" s="236" t="n">
        <f aca="false">$D95*N75*(1+$E95)^N$6</f>
        <v>11486.8566764928</v>
      </c>
      <c r="O95" s="236" t="n">
        <f aca="false">$D95*O75*(1+$E95)^O$6</f>
        <v>11716.5938100227</v>
      </c>
      <c r="P95" s="236" t="n">
        <f aca="false">$D95*P75*(1+$E95)^P$6</f>
        <v>11950.9256862231</v>
      </c>
      <c r="Q95" s="236" t="n">
        <f aca="false">$D95*Q75*(1+$E95)^Q$6</f>
        <v>12189.9441999476</v>
      </c>
      <c r="R95" s="236" t="n">
        <f aca="false">$D95*R75*(1+$E95)^R$6</f>
        <v>12433.7430839465</v>
      </c>
      <c r="S95" s="236" t="n">
        <f aca="false">$D95*S75*(1+$E95)^S$6</f>
        <v>12682.4179456255</v>
      </c>
      <c r="T95" s="236" t="n">
        <f aca="false">$D95*T75*(1+$E95)^T$6</f>
        <v>12936.066304538</v>
      </c>
      <c r="U95" s="236" t="n">
        <f aca="false">$D95*U75*(1+$E95)^U$6</f>
        <v>13194.7876306287</v>
      </c>
      <c r="V95" s="236" t="n">
        <f aca="false">$D95*V75*(1+$E95)^V$6</f>
        <v>13458.6833832413</v>
      </c>
      <c r="W95" s="236" t="n">
        <f aca="false">$D95*W75*(1+$E95)^W$6</f>
        <v>13727.8570509061</v>
      </c>
      <c r="X95" s="236" t="n">
        <f aca="false">$D95*X75*(1+$E95)^X$6</f>
        <v>14002.4141919242</v>
      </c>
      <c r="Y95" s="236" t="n">
        <f aca="false">$D95*Y75*(1+$E95)^Y$6</f>
        <v>14282.4624757627</v>
      </c>
      <c r="Z95" s="236" t="n">
        <f aca="false">$D95*Z75*(1+$E95)^Z$6</f>
        <v>14568.111725278</v>
      </c>
      <c r="AA95" s="236" t="n">
        <f aca="false">$D95*AA75*(1+$E95)^AA$6</f>
        <v>14859.4739597835</v>
      </c>
      <c r="AB95" s="236" t="n">
        <f aca="false">$D95*AB75*(1+$E95)^AB$6</f>
        <v>15156.6634389792</v>
      </c>
      <c r="AC95" s="236" t="n">
        <f aca="false">$D95*AC75*(1+$E95)^AC$6</f>
        <v>15459.7967077588</v>
      </c>
      <c r="AD95" s="236" t="n">
        <f aca="false">$D95*AD75*(1+$E95)^AD$6</f>
        <v>15768.992641914</v>
      </c>
      <c r="AE95" s="236" t="n">
        <f aca="false">$D95*AE75*(1+$E95)^AE$6</f>
        <v>16084.3724947523</v>
      </c>
      <c r="AF95" s="236" t="n">
        <f aca="false">$D95*AF75*(1+$E95)^AF$6</f>
        <v>16406.0599446473</v>
      </c>
      <c r="AG95" s="236" t="n">
        <f aca="false">$D95*AG75*(1+$E95)^AG$6</f>
        <v>16734.1811435403</v>
      </c>
      <c r="AH95" s="236" t="n">
        <f aca="false">$D95*AH75*(1+$E95)^AH$6</f>
        <v>17068.8647664111</v>
      </c>
      <c r="AI95" s="236" t="n">
        <f aca="false">$D95*AI75*(1+$E95)^AI$6</f>
        <v>17410.2420617393</v>
      </c>
      <c r="AJ95" s="236" t="n">
        <f aca="false">$D95*AJ75*(1+$E95)^AJ$6</f>
        <v>17758.4469029741</v>
      </c>
      <c r="AK95" s="236" t="n">
        <f aca="false">$D95*AK75*(1+$E95)^AK$6</f>
        <v>18113.6158410336</v>
      </c>
      <c r="AL95" s="236" t="n">
        <f aca="false">$D95*AL75*(1+$E95)^AL$6</f>
        <v>18475.8881578542</v>
      </c>
    </row>
    <row r="96" customFormat="false" ht="15" hidden="false" customHeight="false" outlineLevel="1" collapsed="false">
      <c r="C96" s="383" t="str">
        <f aca="false">C76</f>
        <v>Field Agent</v>
      </c>
      <c r="D96" s="385" t="n">
        <f aca="false">'3. Assumptions'!D112</f>
        <v>2500</v>
      </c>
      <c r="E96" s="386" t="n">
        <f aca="false">IF('1. Project Summary'!$F$13="Real",0,'3. Assumptions'!E112)</f>
        <v>0.02</v>
      </c>
      <c r="G96" s="30" t="s">
        <v>112</v>
      </c>
      <c r="H96" s="236" t="n">
        <f aca="false">$D96*H76*(1+$E96)^H$6</f>
        <v>5100</v>
      </c>
      <c r="I96" s="236" t="n">
        <f aca="false">$D96*I76*(1+$E96)^I$6</f>
        <v>5202</v>
      </c>
      <c r="J96" s="236" t="n">
        <f aca="false">$D96*J76*(1+$E96)^J$6</f>
        <v>5306.04</v>
      </c>
      <c r="K96" s="236" t="n">
        <f aca="false">$D96*K76*(1+$E96)^K$6</f>
        <v>5412.1608</v>
      </c>
      <c r="L96" s="236" t="n">
        <f aca="false">$D96*L76*(1+$E96)^L$6</f>
        <v>8280.606024</v>
      </c>
      <c r="M96" s="236" t="n">
        <f aca="false">$D96*M76*(1+$E96)^M$6</f>
        <v>8446.21814448</v>
      </c>
      <c r="N96" s="236" t="n">
        <f aca="false">$D96*N76*(1+$E96)^N$6</f>
        <v>11486.8566764928</v>
      </c>
      <c r="O96" s="236" t="n">
        <f aca="false">$D96*O76*(1+$E96)^O$6</f>
        <v>11716.5938100227</v>
      </c>
      <c r="P96" s="236" t="n">
        <f aca="false">$D96*P76*(1+$E96)^P$6</f>
        <v>11950.9256862231</v>
      </c>
      <c r="Q96" s="236" t="n">
        <f aca="false">$D96*Q76*(1+$E96)^Q$6</f>
        <v>12189.9441999476</v>
      </c>
      <c r="R96" s="236" t="n">
        <f aca="false">$D96*R76*(1+$E96)^R$6</f>
        <v>12433.7430839465</v>
      </c>
      <c r="S96" s="236" t="n">
        <f aca="false">$D96*S76*(1+$E96)^S$6</f>
        <v>12682.4179456255</v>
      </c>
      <c r="T96" s="236" t="n">
        <f aca="false">$D96*T76*(1+$E96)^T$6</f>
        <v>12936.066304538</v>
      </c>
      <c r="U96" s="236" t="n">
        <f aca="false">$D96*U76*(1+$E96)^U$6</f>
        <v>13194.7876306287</v>
      </c>
      <c r="V96" s="236" t="n">
        <f aca="false">$D96*V76*(1+$E96)^V$6</f>
        <v>13458.6833832413</v>
      </c>
      <c r="W96" s="236" t="n">
        <f aca="false">$D96*W76*(1+$E96)^W$6</f>
        <v>13727.8570509061</v>
      </c>
      <c r="X96" s="236" t="n">
        <f aca="false">$D96*X76*(1+$E96)^X$6</f>
        <v>14002.4141919242</v>
      </c>
      <c r="Y96" s="236" t="n">
        <f aca="false">$D96*Y76*(1+$E96)^Y$6</f>
        <v>14282.4624757627</v>
      </c>
      <c r="Z96" s="236" t="n">
        <f aca="false">$D96*Z76*(1+$E96)^Z$6</f>
        <v>14568.111725278</v>
      </c>
      <c r="AA96" s="236" t="n">
        <f aca="false">$D96*AA76*(1+$E96)^AA$6</f>
        <v>14859.4739597835</v>
      </c>
      <c r="AB96" s="236" t="n">
        <f aca="false">$D96*AB76*(1+$E96)^AB$6</f>
        <v>15156.6634389792</v>
      </c>
      <c r="AC96" s="236" t="n">
        <f aca="false">$D96*AC76*(1+$E96)^AC$6</f>
        <v>15459.7967077588</v>
      </c>
      <c r="AD96" s="236" t="n">
        <f aca="false">$D96*AD76*(1+$E96)^AD$6</f>
        <v>15768.992641914</v>
      </c>
      <c r="AE96" s="236" t="n">
        <f aca="false">$D96*AE76*(1+$E96)^AE$6</f>
        <v>16084.3724947523</v>
      </c>
      <c r="AF96" s="236" t="n">
        <f aca="false">$D96*AF76*(1+$E96)^AF$6</f>
        <v>16406.0599446473</v>
      </c>
      <c r="AG96" s="236" t="n">
        <f aca="false">$D96*AG76*(1+$E96)^AG$6</f>
        <v>16734.1811435403</v>
      </c>
      <c r="AH96" s="236" t="n">
        <f aca="false">$D96*AH76*(1+$E96)^AH$6</f>
        <v>17068.8647664111</v>
      </c>
      <c r="AI96" s="236" t="n">
        <f aca="false">$D96*AI76*(1+$E96)^AI$6</f>
        <v>17410.2420617393</v>
      </c>
      <c r="AJ96" s="236" t="n">
        <f aca="false">$D96*AJ76*(1+$E96)^AJ$6</f>
        <v>17758.4469029741</v>
      </c>
      <c r="AK96" s="236" t="n">
        <f aca="false">$D96*AK76*(1+$E96)^AK$6</f>
        <v>18113.6158410336</v>
      </c>
      <c r="AL96" s="236" t="n">
        <f aca="false">$D96*AL76*(1+$E96)^AL$6</f>
        <v>18475.8881578542</v>
      </c>
    </row>
    <row r="97" customFormat="false" ht="15" hidden="false" customHeight="false" outlineLevel="1" collapsed="false">
      <c r="C97" s="383" t="str">
        <f aca="false">C77</f>
        <v>Maintenance Personnel</v>
      </c>
      <c r="D97" s="385" t="n">
        <f aca="false">'3. Assumptions'!D113</f>
        <v>1500</v>
      </c>
      <c r="E97" s="386" t="n">
        <f aca="false">IF('1. Project Summary'!$F$13="Real",0,'3. Assumptions'!E113)</f>
        <v>0.02</v>
      </c>
      <c r="G97" s="30" t="s">
        <v>112</v>
      </c>
      <c r="H97" s="236" t="n">
        <f aca="false">$D97*H77*(1+$E97)^H$6</f>
        <v>12240</v>
      </c>
      <c r="I97" s="236" t="n">
        <f aca="false">$D97*I77*(1+$E97)^I$6</f>
        <v>6242.4</v>
      </c>
      <c r="J97" s="236" t="n">
        <f aca="false">$D97*J77*(1+$E97)^J$6</f>
        <v>6367.248</v>
      </c>
      <c r="K97" s="236" t="n">
        <f aca="false">$D97*K77*(1+$E97)^K$6</f>
        <v>6494.59296</v>
      </c>
      <c r="L97" s="236" t="n">
        <f aca="false">$D97*L77*(1+$E97)^L$6</f>
        <v>9936.7272288</v>
      </c>
      <c r="M97" s="236" t="n">
        <f aca="false">$D97*M77*(1+$E97)^M$6</f>
        <v>10135.461773376</v>
      </c>
      <c r="N97" s="236" t="n">
        <f aca="false">$D97*N77*(1+$E97)^N$6</f>
        <v>13784.2280117914</v>
      </c>
      <c r="O97" s="236" t="n">
        <f aca="false">$D97*O77*(1+$E97)^O$6</f>
        <v>14059.9125720272</v>
      </c>
      <c r="P97" s="236" t="n">
        <f aca="false">$D97*P77*(1+$E97)^P$6</f>
        <v>14341.1108234677</v>
      </c>
      <c r="Q97" s="236" t="n">
        <f aca="false">$D97*Q77*(1+$E97)^Q$6</f>
        <v>14627.9330399371</v>
      </c>
      <c r="R97" s="236" t="n">
        <f aca="false">$D97*R77*(1+$E97)^R$6</f>
        <v>14920.4917007358</v>
      </c>
      <c r="S97" s="236" t="n">
        <f aca="false">$D97*S77*(1+$E97)^S$6</f>
        <v>15218.9015347505</v>
      </c>
      <c r="T97" s="236" t="n">
        <f aca="false">$D97*T77*(1+$E97)^T$6</f>
        <v>15523.2795654456</v>
      </c>
      <c r="U97" s="236" t="n">
        <f aca="false">$D97*U77*(1+$E97)^U$6</f>
        <v>15833.7451567545</v>
      </c>
      <c r="V97" s="236" t="n">
        <f aca="false">$D97*V77*(1+$E97)^V$6</f>
        <v>16150.4200598896</v>
      </c>
      <c r="W97" s="236" t="n">
        <f aca="false">$D97*W77*(1+$E97)^W$6</f>
        <v>16473.4284610874</v>
      </c>
      <c r="X97" s="236" t="n">
        <f aca="false">$D97*X77*(1+$E97)^X$6</f>
        <v>16802.8970303091</v>
      </c>
      <c r="Y97" s="236" t="n">
        <f aca="false">$D97*Y77*(1+$E97)^Y$6</f>
        <v>17138.9549709153</v>
      </c>
      <c r="Z97" s="236" t="n">
        <f aca="false">$D97*Z77*(1+$E97)^Z$6</f>
        <v>17481.7340703336</v>
      </c>
      <c r="AA97" s="236" t="n">
        <f aca="false">$D97*AA77*(1+$E97)^AA$6</f>
        <v>17831.3687517403</v>
      </c>
      <c r="AB97" s="236" t="n">
        <f aca="false">$D97*AB77*(1+$E97)^AB$6</f>
        <v>18187.9961267751</v>
      </c>
      <c r="AC97" s="236" t="n">
        <f aca="false">$D97*AC77*(1+$E97)^AC$6</f>
        <v>18551.7560493106</v>
      </c>
      <c r="AD97" s="236" t="n">
        <f aca="false">$D97*AD77*(1+$E97)^AD$6</f>
        <v>18922.7911702968</v>
      </c>
      <c r="AE97" s="236" t="n">
        <f aca="false">$D97*AE77*(1+$E97)^AE$6</f>
        <v>19301.2469937027</v>
      </c>
      <c r="AF97" s="236" t="n">
        <f aca="false">$D97*AF77*(1+$E97)^AF$6</f>
        <v>19687.2719335768</v>
      </c>
      <c r="AG97" s="236" t="n">
        <f aca="false">$D97*AG77*(1+$E97)^AG$6</f>
        <v>20081.0173722483</v>
      </c>
      <c r="AH97" s="236" t="n">
        <f aca="false">$D97*AH77*(1+$E97)^AH$6</f>
        <v>20482.6377196933</v>
      </c>
      <c r="AI97" s="236" t="n">
        <f aca="false">$D97*AI77*(1+$E97)^AI$6</f>
        <v>20892.2904740871</v>
      </c>
      <c r="AJ97" s="236" t="n">
        <f aca="false">$D97*AJ77*(1+$E97)^AJ$6</f>
        <v>21310.1362835689</v>
      </c>
      <c r="AK97" s="236" t="n">
        <f aca="false">$D97*AK77*(1+$E97)^AK$6</f>
        <v>21736.3390092403</v>
      </c>
      <c r="AL97" s="236" t="n">
        <f aca="false">$D97*AL77*(1+$E97)^AL$6</f>
        <v>22171.0657894251</v>
      </c>
    </row>
    <row r="98" customFormat="false" ht="15" hidden="false" customHeight="false" outlineLevel="1" collapsed="false">
      <c r="B98" s="56"/>
      <c r="C98" s="384" t="str">
        <f aca="false">C78</f>
        <v>Security</v>
      </c>
      <c r="D98" s="385" t="n">
        <f aca="false">'3. Assumptions'!D114</f>
        <v>1500</v>
      </c>
      <c r="E98" s="386" t="n">
        <f aca="false">IF('1. Project Summary'!$F$13="Real",0,'3. Assumptions'!E114)</f>
        <v>0.02</v>
      </c>
      <c r="F98" s="56"/>
      <c r="G98" s="208" t="s">
        <v>112</v>
      </c>
      <c r="H98" s="369" t="n">
        <f aca="false">$D98*H78*(1+$E98)^H$6</f>
        <v>12240</v>
      </c>
      <c r="I98" s="369" t="n">
        <f aca="false">$D98*I78*(1+$E98)^I$6</f>
        <v>7803</v>
      </c>
      <c r="J98" s="369" t="n">
        <f aca="false">$D98*J78*(1+$E98)^J$6</f>
        <v>7959.06</v>
      </c>
      <c r="K98" s="369" t="n">
        <f aca="false">$D98*K78*(1+$E98)^K$6</f>
        <v>8118.2412</v>
      </c>
      <c r="L98" s="369" t="n">
        <f aca="false">$D98*L78*(1+$E98)^L$6</f>
        <v>11592.8484336</v>
      </c>
      <c r="M98" s="369" t="n">
        <f aca="false">$D98*M78*(1+$E98)^M$6</f>
        <v>11824.705402272</v>
      </c>
      <c r="N98" s="369" t="n">
        <f aca="false">$D98*N78*(1+$E98)^N$6</f>
        <v>12061.1995103174</v>
      </c>
      <c r="O98" s="369" t="n">
        <f aca="false">$D98*O78*(1+$E98)^O$6</f>
        <v>12302.4235005238</v>
      </c>
      <c r="P98" s="369" t="n">
        <f aca="false">$D98*P78*(1+$E98)^P$6</f>
        <v>12548.4719705343</v>
      </c>
      <c r="Q98" s="369" t="n">
        <f aca="false">$D98*Q78*(1+$E98)^Q$6</f>
        <v>12799.441409945</v>
      </c>
      <c r="R98" s="369" t="n">
        <f aca="false">$D98*R78*(1+$E98)^R$6</f>
        <v>13055.4302381439</v>
      </c>
      <c r="S98" s="369" t="n">
        <f aca="false">$D98*S78*(1+$E98)^S$6</f>
        <v>13316.5388429067</v>
      </c>
      <c r="T98" s="369" t="n">
        <f aca="false">$D98*T78*(1+$E98)^T$6</f>
        <v>13582.8696197649</v>
      </c>
      <c r="U98" s="369" t="n">
        <f aca="false">$D98*U78*(1+$E98)^U$6</f>
        <v>13854.5270121602</v>
      </c>
      <c r="V98" s="369" t="n">
        <f aca="false">$D98*V78*(1+$E98)^V$6</f>
        <v>14131.6175524034</v>
      </c>
      <c r="W98" s="369" t="n">
        <f aca="false">$D98*W78*(1+$E98)^W$6</f>
        <v>14414.2499034514</v>
      </c>
      <c r="X98" s="369" t="n">
        <f aca="false">$D98*X78*(1+$E98)^X$6</f>
        <v>14702.5349015205</v>
      </c>
      <c r="Y98" s="369" t="n">
        <f aca="false">$D98*Y78*(1+$E98)^Y$6</f>
        <v>14996.5855995509</v>
      </c>
      <c r="Z98" s="369" t="n">
        <f aca="false">$D98*Z78*(1+$E98)^Z$6</f>
        <v>15296.5173115419</v>
      </c>
      <c r="AA98" s="369" t="n">
        <f aca="false">$D98*AA78*(1+$E98)^AA$6</f>
        <v>15602.4476577727</v>
      </c>
      <c r="AB98" s="369" t="n">
        <f aca="false">$D98*AB78*(1+$E98)^AB$6</f>
        <v>15914.4966109282</v>
      </c>
      <c r="AC98" s="369" t="n">
        <f aca="false">$D98*AC78*(1+$E98)^AC$6</f>
        <v>16232.7865431467</v>
      </c>
      <c r="AD98" s="369" t="n">
        <f aca="false">$D98*AD78*(1+$E98)^AD$6</f>
        <v>16557.4422740097</v>
      </c>
      <c r="AE98" s="369" t="n">
        <f aca="false">$D98*AE78*(1+$E98)^AE$6</f>
        <v>16888.5911194899</v>
      </c>
      <c r="AF98" s="369" t="n">
        <f aca="false">$D98*AF78*(1+$E98)^AF$6</f>
        <v>17226.3629418797</v>
      </c>
      <c r="AG98" s="369" t="n">
        <f aca="false">$D98*AG78*(1+$E98)^AG$6</f>
        <v>17570.8902007173</v>
      </c>
      <c r="AH98" s="369" t="n">
        <f aca="false">$D98*AH78*(1+$E98)^AH$6</f>
        <v>17922.3080047316</v>
      </c>
      <c r="AI98" s="369" t="n">
        <f aca="false">$D98*AI78*(1+$E98)^AI$6</f>
        <v>18280.7541648262</v>
      </c>
      <c r="AJ98" s="369" t="n">
        <f aca="false">$D98*AJ78*(1+$E98)^AJ$6</f>
        <v>18646.3692481228</v>
      </c>
      <c r="AK98" s="369" t="n">
        <f aca="false">$D98*AK78*(1+$E98)^AK$6</f>
        <v>19019.2966330852</v>
      </c>
      <c r="AL98" s="369" t="n">
        <f aca="false">$D98*AL78*(1+$E98)^AL$6</f>
        <v>19399.6825657469</v>
      </c>
    </row>
    <row r="99" customFormat="false" ht="15" hidden="false" customHeight="false" outlineLevel="1" collapsed="false">
      <c r="B99" s="13" t="str">
        <f aca="false">"Total "&amp;B60</f>
        <v>Total Salary</v>
      </c>
      <c r="C99" s="370"/>
      <c r="D99" s="30"/>
      <c r="E99" s="387" t="n">
        <f aca="false">AVERAGE(E82:E98)</f>
        <v>0.02</v>
      </c>
      <c r="G99" s="366" t="s">
        <v>112</v>
      </c>
      <c r="H99" s="193" t="n">
        <f aca="false">SUM(H82:H98)</f>
        <v>360060</v>
      </c>
      <c r="I99" s="193" t="n">
        <f aca="false">SUM(I82:I98)</f>
        <v>333448.2</v>
      </c>
      <c r="J99" s="193" t="n">
        <f aca="false">SUM(J82:J98)</f>
        <v>340117.164</v>
      </c>
      <c r="K99" s="193" t="n">
        <f aca="false">SUM(K82:K98)</f>
        <v>346919.50728</v>
      </c>
      <c r="L99" s="193" t="n">
        <f aca="false">SUM(L82:L98)</f>
        <v>443288.4424848</v>
      </c>
      <c r="M99" s="193" t="n">
        <f aca="false">SUM(M82:M98)</f>
        <v>452154.211334496</v>
      </c>
      <c r="N99" s="193" t="n">
        <f aca="false">SUM(N82:N98)</f>
        <v>550794.77763783</v>
      </c>
      <c r="O99" s="193" t="n">
        <f aca="false">SUM(O82:O98)</f>
        <v>561810.673190586</v>
      </c>
      <c r="P99" s="193" t="n">
        <f aca="false">SUM(P82:P98)</f>
        <v>573046.886654398</v>
      </c>
      <c r="Q99" s="193" t="n">
        <f aca="false">SUM(Q82:Q98)</f>
        <v>584507.824387486</v>
      </c>
      <c r="R99" s="193" t="n">
        <f aca="false">SUM(R82:R98)</f>
        <v>596197.980875236</v>
      </c>
      <c r="S99" s="193" t="n">
        <f aca="false">SUM(S82:S98)</f>
        <v>608121.940492741</v>
      </c>
      <c r="T99" s="193" t="n">
        <f aca="false">SUM(T82:T98)</f>
        <v>620284.379302595</v>
      </c>
      <c r="U99" s="193" t="n">
        <f aca="false">SUM(U82:U98)</f>
        <v>632690.066888647</v>
      </c>
      <c r="V99" s="193" t="n">
        <f aca="false">SUM(V82:V98)</f>
        <v>645343.86822642</v>
      </c>
      <c r="W99" s="193" t="n">
        <f aca="false">SUM(W82:W98)</f>
        <v>658250.745590949</v>
      </c>
      <c r="X99" s="193" t="n">
        <f aca="false">SUM(X82:X98)</f>
        <v>671415.760502768</v>
      </c>
      <c r="Y99" s="193" t="n">
        <f aca="false">SUM(Y82:Y98)</f>
        <v>684844.075712823</v>
      </c>
      <c r="Z99" s="193" t="n">
        <f aca="false">SUM(Z82:Z98)</f>
        <v>698540.95722708</v>
      </c>
      <c r="AA99" s="193" t="n">
        <f aca="false">SUM(AA82:AA98)</f>
        <v>712511.776371621</v>
      </c>
      <c r="AB99" s="193" t="n">
        <f aca="false">SUM(AB82:AB98)</f>
        <v>726762.011899054</v>
      </c>
      <c r="AC99" s="193" t="n">
        <f aca="false">SUM(AC82:AC98)</f>
        <v>741297.252137035</v>
      </c>
      <c r="AD99" s="193" t="n">
        <f aca="false">SUM(AD82:AD98)</f>
        <v>756123.197179776</v>
      </c>
      <c r="AE99" s="193" t="n">
        <f aca="false">SUM(AE82:AE98)</f>
        <v>771245.661123371</v>
      </c>
      <c r="AF99" s="193" t="n">
        <f aca="false">SUM(AF82:AF98)</f>
        <v>786670.574345838</v>
      </c>
      <c r="AG99" s="193" t="n">
        <f aca="false">SUM(AG82:AG98)</f>
        <v>802403.985832755</v>
      </c>
      <c r="AH99" s="193" t="n">
        <f aca="false">SUM(AH82:AH98)</f>
        <v>818452.06554941</v>
      </c>
      <c r="AI99" s="193" t="n">
        <f aca="false">SUM(AI82:AI98)</f>
        <v>834821.106860399</v>
      </c>
      <c r="AJ99" s="193" t="n">
        <f aca="false">SUM(AJ82:AJ98)</f>
        <v>851517.528997607</v>
      </c>
      <c r="AK99" s="193" t="n">
        <f aca="false">SUM(AK82:AK98)</f>
        <v>868547.879577559</v>
      </c>
      <c r="AL99" s="193" t="n">
        <f aca="false">SUM(AL82:AL98)</f>
        <v>885918.83716911</v>
      </c>
    </row>
    <row r="100" customFormat="false" ht="15" hidden="false" customHeight="false" outlineLevel="1" collapsed="false">
      <c r="C100" s="370"/>
      <c r="D100" s="30"/>
      <c r="E100" s="236"/>
      <c r="H100" s="202"/>
      <c r="I100" s="202"/>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row>
    <row r="101" customFormat="false" ht="15" hidden="false" customHeight="false" outlineLevel="1" collapsed="false">
      <c r="B101" s="388" t="str">
        <f aca="false">'3. Assumptions'!B117</f>
        <v>Production and Harvesting Service Fees for Moringa</v>
      </c>
      <c r="C101" s="382"/>
      <c r="E101" s="185" t="str">
        <f aca="false">'3. Assumptions'!E117</f>
        <v>Unit cost (EUR)</v>
      </c>
      <c r="H101" s="202"/>
      <c r="I101" s="202"/>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row>
    <row r="102" customFormat="false" ht="15" hidden="false" customHeight="false" outlineLevel="1" collapsed="false">
      <c r="C102" s="383" t="s">
        <v>603</v>
      </c>
      <c r="E102" s="389" t="n">
        <f aca="false">'3. Assumptions'!E118</f>
        <v>0.5</v>
      </c>
      <c r="F102" s="21"/>
      <c r="G102" s="30" t="s">
        <v>112</v>
      </c>
      <c r="H102" s="236" t="n">
        <f aca="false">'4.2 Revenue Build - Other'!H62*$E102*H8</f>
        <v>0</v>
      </c>
      <c r="I102" s="236" t="n">
        <f aca="false">'4.2 Revenue Build - Other'!I62*$E102*I8</f>
        <v>151222.14</v>
      </c>
      <c r="J102" s="236" t="n">
        <f aca="false">'4.2 Revenue Build - Other'!J62*$E102*J8</f>
        <v>154246.5828</v>
      </c>
      <c r="K102" s="236" t="n">
        <f aca="false">'4.2 Revenue Build - Other'!K62*$E102*K8</f>
        <v>262219.19076</v>
      </c>
      <c r="L102" s="236" t="n">
        <f aca="false">'4.2 Revenue Build - Other'!L62*$E102*L8</f>
        <v>267463.5745752</v>
      </c>
      <c r="M102" s="236" t="n">
        <f aca="false">'4.2 Revenue Build - Other'!M62*$E102*M8</f>
        <v>272812.846066704</v>
      </c>
      <c r="N102" s="236" t="n">
        <f aca="false">'4.2 Revenue Build - Other'!N62*$E102*N8</f>
        <v>278269.102988038</v>
      </c>
      <c r="O102" s="236" t="n">
        <f aca="false">'4.2 Revenue Build - Other'!O62*$E102*O8</f>
        <v>283834.485047799</v>
      </c>
      <c r="P102" s="236" t="n">
        <f aca="false">'4.2 Revenue Build - Other'!P62*$E102*P8</f>
        <v>289511.174748755</v>
      </c>
      <c r="Q102" s="236" t="n">
        <f aca="false">'4.2 Revenue Build - Other'!Q62*$E102*Q8</f>
        <v>295301.39824373</v>
      </c>
      <c r="R102" s="236" t="n">
        <f aca="false">'4.2 Revenue Build - Other'!R62*$E102*R8</f>
        <v>301207.426208605</v>
      </c>
      <c r="S102" s="236" t="n">
        <f aca="false">'4.2 Revenue Build - Other'!S62*$E102*S8</f>
        <v>307231.574732777</v>
      </c>
      <c r="T102" s="236" t="n">
        <f aca="false">'4.2 Revenue Build - Other'!T62*$E102*T8</f>
        <v>313376.206227432</v>
      </c>
      <c r="U102" s="236" t="n">
        <f aca="false">'4.2 Revenue Build - Other'!U62*$E102*U8</f>
        <v>319643.730351981</v>
      </c>
      <c r="V102" s="236" t="n">
        <f aca="false">'4.2 Revenue Build - Other'!V62*$E102*V8</f>
        <v>326036.60495902</v>
      </c>
      <c r="W102" s="236" t="n">
        <f aca="false">'4.2 Revenue Build - Other'!W62*$E102*W8</f>
        <v>332557.337058201</v>
      </c>
      <c r="X102" s="236" t="n">
        <f aca="false">'4.2 Revenue Build - Other'!X62*$E102*X8</f>
        <v>339208.483799365</v>
      </c>
      <c r="Y102" s="236" t="n">
        <f aca="false">'4.2 Revenue Build - Other'!Y62*$E102*Y8</f>
        <v>345992.653475352</v>
      </c>
      <c r="Z102" s="236" t="n">
        <f aca="false">'4.2 Revenue Build - Other'!Z62*$E102*Z8</f>
        <v>352912.506544859</v>
      </c>
      <c r="AA102" s="236" t="n">
        <f aca="false">'4.2 Revenue Build - Other'!AA62*$E102*AA8</f>
        <v>359970.756675756</v>
      </c>
      <c r="AB102" s="236" t="n">
        <f aca="false">'4.2 Revenue Build - Other'!AB62*$E102*AB8</f>
        <v>367170.171809271</v>
      </c>
      <c r="AC102" s="236" t="n">
        <f aca="false">'4.2 Revenue Build - Other'!AC62*$E102*AC8</f>
        <v>374513.575245457</v>
      </c>
      <c r="AD102" s="236" t="n">
        <f aca="false">'4.2 Revenue Build - Other'!AD62*$E102*AD8</f>
        <v>382003.846750366</v>
      </c>
      <c r="AE102" s="236" t="n">
        <f aca="false">'4.2 Revenue Build - Other'!AE62*$E102*AE8</f>
        <v>389643.923685373</v>
      </c>
      <c r="AF102" s="236" t="n">
        <f aca="false">'4.2 Revenue Build - Other'!AF62*$E102*AF8</f>
        <v>397436.802159081</v>
      </c>
      <c r="AG102" s="236" t="n">
        <f aca="false">'4.2 Revenue Build - Other'!AG62*$E102*AG8</f>
        <v>405385.538202262</v>
      </c>
      <c r="AH102" s="236" t="n">
        <f aca="false">'4.2 Revenue Build - Other'!AH62*$E102*AH8</f>
        <v>413493.248966308</v>
      </c>
      <c r="AI102" s="236" t="n">
        <f aca="false">'4.2 Revenue Build - Other'!AI62*$E102*AI8</f>
        <v>421763.113945634</v>
      </c>
      <c r="AJ102" s="236" t="n">
        <f aca="false">'4.2 Revenue Build - Other'!AJ62*$E102*AJ8</f>
        <v>430198.376224546</v>
      </c>
      <c r="AK102" s="236" t="n">
        <f aca="false">'4.2 Revenue Build - Other'!AK62*$E102*AK8</f>
        <v>438802.343749037</v>
      </c>
      <c r="AL102" s="236" t="n">
        <f aca="false">'4.2 Revenue Build - Other'!AL62*$E102*AL8</f>
        <v>447578.390624018</v>
      </c>
    </row>
    <row r="103" customFormat="false" ht="15" hidden="false" customHeight="false" outlineLevel="1" collapsed="false">
      <c r="B103" s="56"/>
      <c r="C103" s="384" t="s">
        <v>604</v>
      </c>
      <c r="D103" s="390"/>
      <c r="E103" s="389" t="n">
        <f aca="false">'3. Assumptions'!E119</f>
        <v>0.5</v>
      </c>
      <c r="F103" s="58"/>
      <c r="G103" s="208" t="s">
        <v>112</v>
      </c>
      <c r="H103" s="369" t="n">
        <f aca="false">H102</f>
        <v>0</v>
      </c>
      <c r="I103" s="369" t="n">
        <f aca="false">I102</f>
        <v>151222.14</v>
      </c>
      <c r="J103" s="369" t="n">
        <f aca="false">J102</f>
        <v>154246.5828</v>
      </c>
      <c r="K103" s="369" t="n">
        <f aca="false">K102</f>
        <v>262219.19076</v>
      </c>
      <c r="L103" s="369" t="n">
        <f aca="false">L102</f>
        <v>267463.5745752</v>
      </c>
      <c r="M103" s="369" t="n">
        <f aca="false">M102</f>
        <v>272812.846066704</v>
      </c>
      <c r="N103" s="369" t="n">
        <f aca="false">N102</f>
        <v>278269.102988038</v>
      </c>
      <c r="O103" s="369" t="n">
        <f aca="false">O102</f>
        <v>283834.485047799</v>
      </c>
      <c r="P103" s="369" t="n">
        <f aca="false">P102</f>
        <v>289511.174748755</v>
      </c>
      <c r="Q103" s="369" t="n">
        <f aca="false">Q102</f>
        <v>295301.39824373</v>
      </c>
      <c r="R103" s="369" t="n">
        <f aca="false">R102</f>
        <v>301207.426208605</v>
      </c>
      <c r="S103" s="369" t="n">
        <f aca="false">S102</f>
        <v>307231.574732777</v>
      </c>
      <c r="T103" s="369" t="n">
        <f aca="false">T102</f>
        <v>313376.206227432</v>
      </c>
      <c r="U103" s="369" t="n">
        <f aca="false">U102</f>
        <v>319643.730351981</v>
      </c>
      <c r="V103" s="369" t="n">
        <f aca="false">V102</f>
        <v>326036.60495902</v>
      </c>
      <c r="W103" s="369" t="n">
        <f aca="false">W102</f>
        <v>332557.337058201</v>
      </c>
      <c r="X103" s="369" t="n">
        <f aca="false">X102</f>
        <v>339208.483799365</v>
      </c>
      <c r="Y103" s="369" t="n">
        <f aca="false">Y102</f>
        <v>345992.653475352</v>
      </c>
      <c r="Z103" s="369" t="n">
        <f aca="false">Z102</f>
        <v>352912.506544859</v>
      </c>
      <c r="AA103" s="369" t="n">
        <f aca="false">AA102</f>
        <v>359970.756675756</v>
      </c>
      <c r="AB103" s="369" t="n">
        <f aca="false">AB102</f>
        <v>367170.171809271</v>
      </c>
      <c r="AC103" s="369" t="n">
        <f aca="false">AC102</f>
        <v>374513.575245457</v>
      </c>
      <c r="AD103" s="369" t="n">
        <f aca="false">AD102</f>
        <v>382003.846750366</v>
      </c>
      <c r="AE103" s="369" t="n">
        <f aca="false">AE102</f>
        <v>389643.923685373</v>
      </c>
      <c r="AF103" s="369" t="n">
        <f aca="false">AF102</f>
        <v>397436.802159081</v>
      </c>
      <c r="AG103" s="369" t="n">
        <f aca="false">AG102</f>
        <v>405385.538202262</v>
      </c>
      <c r="AH103" s="369" t="n">
        <f aca="false">AH102</f>
        <v>413493.248966308</v>
      </c>
      <c r="AI103" s="369" t="n">
        <f aca="false">AI102</f>
        <v>421763.113945634</v>
      </c>
      <c r="AJ103" s="369" t="n">
        <f aca="false">AJ102</f>
        <v>430198.376224546</v>
      </c>
      <c r="AK103" s="369" t="n">
        <f aca="false">AK102</f>
        <v>438802.343749037</v>
      </c>
      <c r="AL103" s="369" t="n">
        <f aca="false">AL102</f>
        <v>447578.390624018</v>
      </c>
    </row>
    <row r="104" customFormat="false" ht="15" hidden="false" customHeight="false" outlineLevel="1" collapsed="false">
      <c r="B104" s="13" t="str">
        <f aca="false">"Total "&amp;B101</f>
        <v>Total Production and Harvesting Service Fees for Moringa</v>
      </c>
      <c r="C104" s="370"/>
      <c r="D104" s="30"/>
      <c r="E104" s="193"/>
      <c r="F104" s="193"/>
      <c r="G104" s="366" t="s">
        <v>112</v>
      </c>
      <c r="H104" s="193" t="n">
        <f aca="false">SUM(H102:H103)</f>
        <v>0</v>
      </c>
      <c r="I104" s="193" t="n">
        <f aca="false">SUM(I102:I103)</f>
        <v>302444.28</v>
      </c>
      <c r="J104" s="193" t="n">
        <f aca="false">SUM(J102:J103)</f>
        <v>308493.1656</v>
      </c>
      <c r="K104" s="193" t="n">
        <f aca="false">SUM(K102:K103)</f>
        <v>524438.38152</v>
      </c>
      <c r="L104" s="193" t="n">
        <f aca="false">SUM(L102:L103)</f>
        <v>534927.1491504</v>
      </c>
      <c r="M104" s="193" t="n">
        <f aca="false">SUM(M102:M103)</f>
        <v>545625.692133408</v>
      </c>
      <c r="N104" s="193" t="n">
        <f aca="false">SUM(N102:N103)</f>
        <v>556538.205976076</v>
      </c>
      <c r="O104" s="193" t="n">
        <f aca="false">SUM(O102:O103)</f>
        <v>567668.970095598</v>
      </c>
      <c r="P104" s="193" t="n">
        <f aca="false">SUM(P102:P103)</f>
        <v>579022.34949751</v>
      </c>
      <c r="Q104" s="193" t="n">
        <f aca="false">SUM(Q102:Q103)</f>
        <v>590602.79648746</v>
      </c>
      <c r="R104" s="193" t="n">
        <f aca="false">SUM(R102:R103)</f>
        <v>602414.852417209</v>
      </c>
      <c r="S104" s="193" t="n">
        <f aca="false">SUM(S102:S103)</f>
        <v>614463.149465553</v>
      </c>
      <c r="T104" s="193" t="n">
        <f aca="false">SUM(T102:T103)</f>
        <v>626752.412454864</v>
      </c>
      <c r="U104" s="193" t="n">
        <f aca="false">SUM(U102:U103)</f>
        <v>639287.460703962</v>
      </c>
      <c r="V104" s="193" t="n">
        <f aca="false">SUM(V102:V103)</f>
        <v>652073.209918041</v>
      </c>
      <c r="W104" s="193" t="n">
        <f aca="false">SUM(W102:W103)</f>
        <v>665114.674116402</v>
      </c>
      <c r="X104" s="193" t="n">
        <f aca="false">SUM(X102:X103)</f>
        <v>678416.96759873</v>
      </c>
      <c r="Y104" s="193" t="n">
        <f aca="false">SUM(Y102:Y103)</f>
        <v>691985.306950704</v>
      </c>
      <c r="Z104" s="193" t="n">
        <f aca="false">SUM(Z102:Z103)</f>
        <v>705825.013089718</v>
      </c>
      <c r="AA104" s="193" t="n">
        <f aca="false">SUM(AA102:AA103)</f>
        <v>719941.513351513</v>
      </c>
      <c r="AB104" s="193" t="n">
        <f aca="false">SUM(AB102:AB103)</f>
        <v>734340.343618543</v>
      </c>
      <c r="AC104" s="193" t="n">
        <f aca="false">SUM(AC102:AC103)</f>
        <v>749027.150490914</v>
      </c>
      <c r="AD104" s="193" t="n">
        <f aca="false">SUM(AD102:AD103)</f>
        <v>764007.693500732</v>
      </c>
      <c r="AE104" s="193" t="n">
        <f aca="false">SUM(AE102:AE103)</f>
        <v>779287.847370747</v>
      </c>
      <c r="AF104" s="193" t="n">
        <f aca="false">SUM(AF102:AF103)</f>
        <v>794873.604318162</v>
      </c>
      <c r="AG104" s="193" t="n">
        <f aca="false">SUM(AG102:AG103)</f>
        <v>810771.076404525</v>
      </c>
      <c r="AH104" s="193" t="n">
        <f aca="false">SUM(AH102:AH103)</f>
        <v>826986.497932615</v>
      </c>
      <c r="AI104" s="193" t="n">
        <f aca="false">SUM(AI102:AI103)</f>
        <v>843526.227891268</v>
      </c>
      <c r="AJ104" s="193" t="n">
        <f aca="false">SUM(AJ102:AJ103)</f>
        <v>860396.752449093</v>
      </c>
      <c r="AK104" s="193" t="n">
        <f aca="false">SUM(AK102:AK103)</f>
        <v>877604.687498075</v>
      </c>
      <c r="AL104" s="193" t="n">
        <f aca="false">SUM(AL102:AL103)</f>
        <v>895156.781248036</v>
      </c>
    </row>
    <row r="105" customFormat="false" ht="15" hidden="false" customHeight="false" outlineLevel="1" collapsed="false">
      <c r="C105" s="370"/>
      <c r="D105" s="30"/>
      <c r="E105" s="193"/>
      <c r="H105" s="193"/>
      <c r="I105" s="193"/>
      <c r="J105" s="193"/>
      <c r="K105" s="193"/>
      <c r="L105" s="193"/>
      <c r="M105" s="193"/>
      <c r="N105" s="193"/>
      <c r="O105" s="193"/>
      <c r="P105" s="193"/>
      <c r="Q105" s="193"/>
      <c r="R105" s="193"/>
      <c r="S105" s="193"/>
      <c r="T105" s="193"/>
      <c r="U105" s="193"/>
      <c r="V105" s="193"/>
      <c r="W105" s="193"/>
      <c r="X105" s="193"/>
      <c r="Y105" s="193"/>
      <c r="Z105" s="193"/>
      <c r="AA105" s="193"/>
      <c r="AB105" s="193"/>
      <c r="AC105" s="193"/>
      <c r="AD105" s="193"/>
      <c r="AE105" s="193"/>
      <c r="AF105" s="193"/>
      <c r="AG105" s="193"/>
      <c r="AH105" s="193"/>
      <c r="AI105" s="193"/>
      <c r="AJ105" s="193"/>
      <c r="AK105" s="193"/>
      <c r="AL105" s="193"/>
    </row>
    <row r="106" customFormat="false" ht="15" hidden="false" customHeight="false" outlineLevel="1" collapsed="false">
      <c r="B106" s="388" t="str">
        <f aca="false">'3. Assumptions'!B121</f>
        <v>Rental</v>
      </c>
      <c r="C106" s="382"/>
      <c r="E106" s="185"/>
      <c r="H106" s="202"/>
      <c r="I106" s="202"/>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row>
    <row r="107" customFormat="false" ht="15" hidden="false" customHeight="false" outlineLevel="1" collapsed="false">
      <c r="C107" s="383" t="s">
        <v>605</v>
      </c>
      <c r="D107" s="185" t="s">
        <v>606</v>
      </c>
      <c r="E107" s="185" t="s">
        <v>601</v>
      </c>
      <c r="F107" s="21"/>
      <c r="G107" s="30" t="s">
        <v>356</v>
      </c>
      <c r="H107" s="236" t="n">
        <f aca="false">'3. Assumptions'!G122</f>
        <v>1000</v>
      </c>
      <c r="I107" s="236" t="n">
        <f aca="false">'3. Assumptions'!H122</f>
        <v>1000</v>
      </c>
      <c r="J107" s="236" t="n">
        <f aca="false">'3. Assumptions'!I122</f>
        <v>1500</v>
      </c>
      <c r="K107" s="236" t="n">
        <f aca="false">'3. Assumptions'!J122</f>
        <v>1500</v>
      </c>
      <c r="L107" s="236" t="n">
        <f aca="false">'3. Assumptions'!K122</f>
        <v>1500</v>
      </c>
      <c r="M107" s="236" t="n">
        <f aca="false">'3. Assumptions'!L122</f>
        <v>2000</v>
      </c>
      <c r="N107" s="236" t="n">
        <f aca="false">M107</f>
        <v>2000</v>
      </c>
      <c r="O107" s="236" t="n">
        <f aca="false">N107</f>
        <v>2000</v>
      </c>
      <c r="P107" s="236" t="n">
        <f aca="false">O107</f>
        <v>2000</v>
      </c>
      <c r="Q107" s="236" t="n">
        <f aca="false">P107</f>
        <v>2000</v>
      </c>
      <c r="R107" s="236" t="n">
        <f aca="false">Q107</f>
        <v>2000</v>
      </c>
      <c r="S107" s="236" t="n">
        <f aca="false">R107</f>
        <v>2000</v>
      </c>
      <c r="T107" s="236" t="n">
        <f aca="false">S107</f>
        <v>2000</v>
      </c>
      <c r="U107" s="236" t="n">
        <f aca="false">T107</f>
        <v>2000</v>
      </c>
      <c r="V107" s="236" t="n">
        <f aca="false">U107</f>
        <v>2000</v>
      </c>
      <c r="W107" s="236" t="n">
        <f aca="false">V107</f>
        <v>2000</v>
      </c>
      <c r="X107" s="236" t="n">
        <f aca="false">W107</f>
        <v>2000</v>
      </c>
      <c r="Y107" s="236" t="n">
        <f aca="false">X107</f>
        <v>2000</v>
      </c>
      <c r="Z107" s="236" t="n">
        <f aca="false">Y107</f>
        <v>2000</v>
      </c>
      <c r="AA107" s="236" t="n">
        <f aca="false">Z107</f>
        <v>2000</v>
      </c>
      <c r="AB107" s="236" t="n">
        <f aca="false">AA107</f>
        <v>2000</v>
      </c>
      <c r="AC107" s="236" t="n">
        <f aca="false">AB107</f>
        <v>2000</v>
      </c>
      <c r="AD107" s="236" t="n">
        <f aca="false">AC107</f>
        <v>2000</v>
      </c>
      <c r="AE107" s="236" t="n">
        <f aca="false">AD107</f>
        <v>2000</v>
      </c>
      <c r="AF107" s="236" t="n">
        <f aca="false">AE107</f>
        <v>2000</v>
      </c>
      <c r="AG107" s="236" t="n">
        <f aca="false">AF107</f>
        <v>2000</v>
      </c>
      <c r="AH107" s="236" t="n">
        <f aca="false">AG107</f>
        <v>2000</v>
      </c>
      <c r="AI107" s="236" t="n">
        <f aca="false">AH107</f>
        <v>2000</v>
      </c>
      <c r="AJ107" s="236" t="n">
        <f aca="false">AI107</f>
        <v>2000</v>
      </c>
      <c r="AK107" s="236" t="n">
        <f aca="false">AJ107</f>
        <v>2000</v>
      </c>
      <c r="AL107" s="236" t="n">
        <f aca="false">AK107</f>
        <v>2000</v>
      </c>
      <c r="AN107" s="55"/>
      <c r="AO107" s="55"/>
    </row>
    <row r="108" customFormat="false" ht="15" hidden="false" customHeight="false" outlineLevel="1" collapsed="false">
      <c r="B108" s="56"/>
      <c r="C108" s="384" t="s">
        <v>607</v>
      </c>
      <c r="D108" s="389" t="n">
        <v>10</v>
      </c>
      <c r="E108" s="386" t="n">
        <f aca="false">IF('1. Project Summary'!$F$13="Real",0,'3. Assumptions'!E124)</f>
        <v>0.05</v>
      </c>
      <c r="F108" s="58"/>
      <c r="G108" s="208" t="s">
        <v>112</v>
      </c>
      <c r="H108" s="369" t="n">
        <f aca="false">$D108*H107*(1+$E108)^H$6</f>
        <v>10500</v>
      </c>
      <c r="I108" s="369" t="n">
        <f aca="false">$D108*I107*(1+$E108)^I$6</f>
        <v>11025</v>
      </c>
      <c r="J108" s="369" t="n">
        <f aca="false">$D108*J107*(1+$E108)^J$6</f>
        <v>17364.375</v>
      </c>
      <c r="K108" s="369" t="n">
        <f aca="false">$D108*K107*(1+$E108)^K$6</f>
        <v>18232.59375</v>
      </c>
      <c r="L108" s="369" t="n">
        <f aca="false">$D108*L107*(1+$E108)^L$6</f>
        <v>19144.2234375</v>
      </c>
      <c r="M108" s="369" t="n">
        <f aca="false">$D108*M107*(1+$E108)^M$6</f>
        <v>26801.9128125</v>
      </c>
      <c r="N108" s="369" t="n">
        <f aca="false">$D108*N107*(1+$E108)^N$6</f>
        <v>28142.008453125</v>
      </c>
      <c r="O108" s="369" t="n">
        <f aca="false">$D108*O107*(1+$E108)^O$6</f>
        <v>29549.1088757813</v>
      </c>
      <c r="P108" s="369" t="n">
        <f aca="false">$D108*P107*(1+$E108)^P$6</f>
        <v>31026.5643195703</v>
      </c>
      <c r="Q108" s="369" t="n">
        <f aca="false">$D108*Q107*(1+$E108)^Q$6</f>
        <v>32577.8925355488</v>
      </c>
      <c r="R108" s="369" t="n">
        <f aca="false">$D108*R107*(1+$E108)^R$6</f>
        <v>34206.7871623263</v>
      </c>
      <c r="S108" s="369" t="n">
        <f aca="false">$D108*S107*(1+$E108)^S$6</f>
        <v>35917.1265204426</v>
      </c>
      <c r="T108" s="369" t="n">
        <f aca="false">$D108*T107*(1+$E108)^T$6</f>
        <v>37712.9828464647</v>
      </c>
      <c r="U108" s="369" t="n">
        <f aca="false">$D108*U107*(1+$E108)^U$6</f>
        <v>39598.631988788</v>
      </c>
      <c r="V108" s="369" t="n">
        <f aca="false">$D108*V107*(1+$E108)^V$6</f>
        <v>41578.5635882274</v>
      </c>
      <c r="W108" s="369" t="n">
        <f aca="false">$D108*W107*(1+$E108)^W$6</f>
        <v>43657.4917676387</v>
      </c>
      <c r="X108" s="369" t="n">
        <f aca="false">$D108*X107*(1+$E108)^X$6</f>
        <v>45840.3663560207</v>
      </c>
      <c r="Y108" s="369" t="n">
        <f aca="false">$D108*Y107*(1+$E108)^Y$6</f>
        <v>48132.3846738217</v>
      </c>
      <c r="Z108" s="369" t="n">
        <f aca="false">$D108*Z107*(1+$E108)^Z$6</f>
        <v>50539.0039075128</v>
      </c>
      <c r="AA108" s="369" t="n">
        <f aca="false">$D108*AA107*(1+$E108)^AA$6</f>
        <v>53065.9541028884</v>
      </c>
      <c r="AB108" s="369" t="n">
        <f aca="false">$D108*AB107*(1+$E108)^AB$6</f>
        <v>55719.2518080329</v>
      </c>
      <c r="AC108" s="369" t="n">
        <f aca="false">$D108*AC107*(1+$E108)^AC$6</f>
        <v>58505.2143984345</v>
      </c>
      <c r="AD108" s="369" t="n">
        <f aca="false">$D108*AD107*(1+$E108)^AD$6</f>
        <v>61430.4751183563</v>
      </c>
      <c r="AE108" s="369" t="n">
        <f aca="false">$D108*AE107*(1+$E108)^AE$6</f>
        <v>64501.9988742741</v>
      </c>
      <c r="AF108" s="369" t="n">
        <f aca="false">$D108*AF107*(1+$E108)^AF$6</f>
        <v>67727.0988179878</v>
      </c>
      <c r="AG108" s="369" t="n">
        <f aca="false">$D108*AG107*(1+$E108)^AG$6</f>
        <v>71113.4537588872</v>
      </c>
      <c r="AH108" s="369" t="n">
        <f aca="false">$D108*AH107*(1+$E108)^AH$6</f>
        <v>74669.1264468315</v>
      </c>
      <c r="AI108" s="369" t="n">
        <f aca="false">$D108*AI107*(1+$E108)^AI$6</f>
        <v>78402.5827691731</v>
      </c>
      <c r="AJ108" s="369" t="n">
        <f aca="false">$D108*AJ107*(1+$E108)^AJ$6</f>
        <v>82322.7119076318</v>
      </c>
      <c r="AK108" s="369" t="n">
        <f aca="false">$D108*AK107*(1+$E108)^AK$6</f>
        <v>86438.8475030134</v>
      </c>
      <c r="AL108" s="369" t="n">
        <f aca="false">$D108*AL107*(1+$E108)^AL$6</f>
        <v>90760.789878164</v>
      </c>
      <c r="AN108" s="55"/>
    </row>
    <row r="109" customFormat="false" ht="15" hidden="false" customHeight="false" outlineLevel="1" collapsed="false">
      <c r="B109" s="13" t="str">
        <f aca="false">"Total "&amp;B106</f>
        <v>Total Rental</v>
      </c>
      <c r="C109" s="370"/>
      <c r="D109" s="30"/>
      <c r="E109" s="193"/>
      <c r="F109" s="193"/>
      <c r="G109" s="366" t="s">
        <v>112</v>
      </c>
      <c r="H109" s="193" t="n">
        <f aca="false">H108</f>
        <v>10500</v>
      </c>
      <c r="I109" s="193" t="n">
        <f aca="false">I108</f>
        <v>11025</v>
      </c>
      <c r="J109" s="193" t="n">
        <f aca="false">J108</f>
        <v>17364.375</v>
      </c>
      <c r="K109" s="193" t="n">
        <f aca="false">K108</f>
        <v>18232.59375</v>
      </c>
      <c r="L109" s="193" t="n">
        <f aca="false">L108</f>
        <v>19144.2234375</v>
      </c>
      <c r="M109" s="193" t="n">
        <f aca="false">M108</f>
        <v>26801.9128125</v>
      </c>
      <c r="N109" s="193" t="n">
        <f aca="false">N108</f>
        <v>28142.008453125</v>
      </c>
      <c r="O109" s="193" t="n">
        <f aca="false">O108</f>
        <v>29549.1088757813</v>
      </c>
      <c r="P109" s="193" t="n">
        <f aca="false">P108</f>
        <v>31026.5643195703</v>
      </c>
      <c r="Q109" s="193" t="n">
        <f aca="false">Q108</f>
        <v>32577.8925355488</v>
      </c>
      <c r="R109" s="193" t="n">
        <f aca="false">R108</f>
        <v>34206.7871623263</v>
      </c>
      <c r="S109" s="193" t="n">
        <f aca="false">S108</f>
        <v>35917.1265204426</v>
      </c>
      <c r="T109" s="193" t="n">
        <f aca="false">T108</f>
        <v>37712.9828464647</v>
      </c>
      <c r="U109" s="193" t="n">
        <f aca="false">U108</f>
        <v>39598.631988788</v>
      </c>
      <c r="V109" s="193" t="n">
        <f aca="false">V108</f>
        <v>41578.5635882274</v>
      </c>
      <c r="W109" s="193" t="n">
        <f aca="false">W108</f>
        <v>43657.4917676387</v>
      </c>
      <c r="X109" s="193" t="n">
        <f aca="false">X108</f>
        <v>45840.3663560207</v>
      </c>
      <c r="Y109" s="193" t="n">
        <f aca="false">Y108</f>
        <v>48132.3846738217</v>
      </c>
      <c r="Z109" s="193" t="n">
        <f aca="false">Z108</f>
        <v>50539.0039075128</v>
      </c>
      <c r="AA109" s="193" t="n">
        <f aca="false">AA108</f>
        <v>53065.9541028884</v>
      </c>
      <c r="AB109" s="193" t="n">
        <f aca="false">AB108</f>
        <v>55719.2518080329</v>
      </c>
      <c r="AC109" s="193" t="n">
        <f aca="false">AC108</f>
        <v>58505.2143984345</v>
      </c>
      <c r="AD109" s="193" t="n">
        <f aca="false">AD108</f>
        <v>61430.4751183563</v>
      </c>
      <c r="AE109" s="193" t="n">
        <f aca="false">AE108</f>
        <v>64501.9988742741</v>
      </c>
      <c r="AF109" s="193" t="n">
        <f aca="false">AF108</f>
        <v>67727.0988179878</v>
      </c>
      <c r="AG109" s="193" t="n">
        <f aca="false">AG108</f>
        <v>71113.4537588872</v>
      </c>
      <c r="AH109" s="193" t="n">
        <f aca="false">AH108</f>
        <v>74669.1264468315</v>
      </c>
      <c r="AI109" s="193" t="n">
        <f aca="false">AI108</f>
        <v>78402.5827691731</v>
      </c>
      <c r="AJ109" s="193" t="n">
        <f aca="false">AJ108</f>
        <v>82322.7119076318</v>
      </c>
      <c r="AK109" s="193" t="n">
        <f aca="false">AK108</f>
        <v>86438.8475030134</v>
      </c>
      <c r="AL109" s="193" t="n">
        <f aca="false">AL108</f>
        <v>90760.789878164</v>
      </c>
      <c r="AN109" s="55"/>
    </row>
    <row r="110" customFormat="false" ht="15" hidden="false" customHeight="false" outlineLevel="1" collapsed="false">
      <c r="C110" s="370"/>
      <c r="D110" s="30"/>
      <c r="E110" s="193"/>
      <c r="H110" s="193"/>
      <c r="I110" s="193"/>
      <c r="J110" s="193"/>
      <c r="K110" s="193"/>
      <c r="L110" s="193"/>
      <c r="M110" s="193"/>
      <c r="N110" s="193"/>
      <c r="O110" s="193"/>
      <c r="P110" s="193"/>
      <c r="Q110" s="193"/>
      <c r="R110" s="193"/>
      <c r="S110" s="193"/>
      <c r="T110" s="193"/>
      <c r="U110" s="193"/>
      <c r="V110" s="193"/>
      <c r="W110" s="193"/>
      <c r="X110" s="193"/>
      <c r="Y110" s="193"/>
      <c r="Z110" s="193"/>
      <c r="AA110" s="193"/>
      <c r="AB110" s="193"/>
      <c r="AC110" s="193"/>
      <c r="AD110" s="193"/>
      <c r="AE110" s="193"/>
      <c r="AF110" s="193"/>
      <c r="AG110" s="193"/>
      <c r="AH110" s="193"/>
      <c r="AI110" s="193"/>
      <c r="AJ110" s="193"/>
      <c r="AK110" s="193"/>
      <c r="AL110" s="193"/>
    </row>
    <row r="111" customFormat="false" ht="15" hidden="false" customHeight="false" outlineLevel="1" collapsed="false">
      <c r="B111" s="388" t="str">
        <f aca="false">'3. Assumptions'!B126</f>
        <v>Utilities</v>
      </c>
      <c r="C111" s="382"/>
      <c r="E111" s="185"/>
      <c r="H111" s="202"/>
      <c r="I111" s="202"/>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row>
    <row r="112" customFormat="false" ht="15" hidden="false" customHeight="false" outlineLevel="1" collapsed="false">
      <c r="B112" s="56"/>
      <c r="C112" s="384" t="s">
        <v>361</v>
      </c>
      <c r="D112" s="56"/>
      <c r="E112" s="389" t="n">
        <f aca="false">'3. Assumptions'!E126</f>
        <v>5000</v>
      </c>
      <c r="F112" s="58"/>
      <c r="G112" s="208" t="s">
        <v>112</v>
      </c>
      <c r="H112" s="369" t="n">
        <f aca="false">E112*H8</f>
        <v>5100</v>
      </c>
      <c r="I112" s="369" t="n">
        <f aca="false">(H112+'3. Assumptions'!$E$127)*(1+$E$8)</f>
        <v>7242</v>
      </c>
      <c r="J112" s="369" t="n">
        <f aca="false">(I112+'3. Assumptions'!$E$127)*(1+$E$8)</f>
        <v>9426.84</v>
      </c>
      <c r="K112" s="369" t="n">
        <f aca="false">(J112+'3. Assumptions'!$E$127)*(1+$E$8)</f>
        <v>11655.3768</v>
      </c>
      <c r="L112" s="369" t="n">
        <f aca="false">(K112+'3. Assumptions'!$E$127)*(1+$E$8)</f>
        <v>13928.484336</v>
      </c>
      <c r="M112" s="369" t="n">
        <f aca="false">(L112+'3. Assumptions'!$E$127)*(1+$E$8)</f>
        <v>16247.05402272</v>
      </c>
      <c r="N112" s="369" t="n">
        <f aca="false">(M112+'3. Assumptions'!$E$127)*(1+$E$8)</f>
        <v>18611.9951031744</v>
      </c>
      <c r="O112" s="369" t="n">
        <f aca="false">(N112+'3. Assumptions'!$E$127)*(1+$E$8)</f>
        <v>21024.2350052379</v>
      </c>
      <c r="P112" s="369" t="n">
        <f aca="false">(O112+'3. Assumptions'!$E$127)*(1+$E$8)</f>
        <v>23484.7197053426</v>
      </c>
      <c r="Q112" s="369" t="n">
        <f aca="false">(P112+'3. Assumptions'!$E$127)*(1+$E$8)</f>
        <v>25994.4140994495</v>
      </c>
      <c r="R112" s="369" t="n">
        <f aca="false">(Q112+'3. Assumptions'!$E$127)*(1+$E$8)</f>
        <v>28554.3023814385</v>
      </c>
      <c r="S112" s="380" t="n">
        <f aca="false">(R112)*(1+$E$8)</f>
        <v>29125.3884290673</v>
      </c>
      <c r="T112" s="369" t="n">
        <f aca="false">(S112)*(1+$E$8)</f>
        <v>29707.8961976486</v>
      </c>
      <c r="U112" s="369" t="n">
        <f aca="false">(T112)*(1+$E$8)</f>
        <v>30302.0541216016</v>
      </c>
      <c r="V112" s="369" t="n">
        <f aca="false">(U112)*(1+$E$8)</f>
        <v>30908.0952040336</v>
      </c>
      <c r="W112" s="369" t="n">
        <f aca="false">(V112)*(1+$E$8)</f>
        <v>31526.2571081143</v>
      </c>
      <c r="X112" s="369" t="n">
        <f aca="false">(W112)*(1+$E$8)</f>
        <v>32156.7822502766</v>
      </c>
      <c r="Y112" s="369" t="n">
        <f aca="false">(X112)*(1+$E$8)</f>
        <v>32799.9178952821</v>
      </c>
      <c r="Z112" s="369" t="n">
        <f aca="false">(Y112)*(1+$E$8)</f>
        <v>33455.9162531877</v>
      </c>
      <c r="AA112" s="369" t="n">
        <f aca="false">(Z112)*(1+$E$8)</f>
        <v>34125.0345782515</v>
      </c>
      <c r="AB112" s="369" t="n">
        <f aca="false">(AA112)*(1+$E$8)</f>
        <v>34807.5352698165</v>
      </c>
      <c r="AC112" s="369" t="n">
        <f aca="false">(AB112)*(1+$E$8)</f>
        <v>35503.6859752129</v>
      </c>
      <c r="AD112" s="369" t="n">
        <f aca="false">(AC112)*(1+$E$8)</f>
        <v>36213.7596947171</v>
      </c>
      <c r="AE112" s="369" t="n">
        <f aca="false">(AD112)*(1+$E$8)</f>
        <v>36938.0348886115</v>
      </c>
      <c r="AF112" s="369" t="n">
        <f aca="false">(AE112)*(1+$E$8)</f>
        <v>37676.7955863837</v>
      </c>
      <c r="AG112" s="369" t="n">
        <f aca="false">(AF112)*(1+$E$8)</f>
        <v>38430.3314981114</v>
      </c>
      <c r="AH112" s="369" t="n">
        <f aca="false">(AG112)*(1+$E$8)</f>
        <v>39198.9381280736</v>
      </c>
      <c r="AI112" s="369" t="n">
        <f aca="false">(AH112)*(1+$E$8)</f>
        <v>39982.9168906351</v>
      </c>
      <c r="AJ112" s="369" t="n">
        <f aca="false">(AI112)*(1+$E$8)</f>
        <v>40782.5752284478</v>
      </c>
      <c r="AK112" s="369" t="n">
        <f aca="false">(AJ112)*(1+$E$8)</f>
        <v>41598.2267330167</v>
      </c>
      <c r="AL112" s="369" t="n">
        <f aca="false">(AK112)*(1+$E$8)</f>
        <v>42430.1912676771</v>
      </c>
    </row>
    <row r="113" customFormat="false" ht="15" hidden="false" customHeight="false" outlineLevel="1" collapsed="false">
      <c r="B113" s="13" t="str">
        <f aca="false">"Total "&amp;B111</f>
        <v>Total Utilities</v>
      </c>
      <c r="C113" s="370"/>
      <c r="D113" s="30"/>
      <c r="E113" s="193"/>
      <c r="F113" s="193"/>
      <c r="G113" s="366" t="s">
        <v>112</v>
      </c>
      <c r="H113" s="193" t="n">
        <f aca="false">SUM(H112:H112)</f>
        <v>5100</v>
      </c>
      <c r="I113" s="193" t="n">
        <f aca="false">SUM(I112:I112)</f>
        <v>7242</v>
      </c>
      <c r="J113" s="193" t="n">
        <f aca="false">SUM(J112:J112)</f>
        <v>9426.84</v>
      </c>
      <c r="K113" s="193" t="n">
        <f aca="false">SUM(K112:K112)</f>
        <v>11655.3768</v>
      </c>
      <c r="L113" s="193" t="n">
        <f aca="false">SUM(L112:L112)</f>
        <v>13928.484336</v>
      </c>
      <c r="M113" s="193" t="n">
        <f aca="false">SUM(M112:M112)</f>
        <v>16247.05402272</v>
      </c>
      <c r="N113" s="193" t="n">
        <f aca="false">SUM(N112:N112)</f>
        <v>18611.9951031744</v>
      </c>
      <c r="O113" s="193" t="n">
        <f aca="false">SUM(O112:O112)</f>
        <v>21024.2350052379</v>
      </c>
      <c r="P113" s="193" t="n">
        <f aca="false">SUM(P112:P112)</f>
        <v>23484.7197053426</v>
      </c>
      <c r="Q113" s="193" t="n">
        <f aca="false">SUM(Q112:Q112)</f>
        <v>25994.4140994495</v>
      </c>
      <c r="R113" s="193" t="n">
        <f aca="false">SUM(R112:R112)</f>
        <v>28554.3023814385</v>
      </c>
      <c r="S113" s="193" t="n">
        <f aca="false">SUM(S112:S112)</f>
        <v>29125.3884290673</v>
      </c>
      <c r="T113" s="193" t="n">
        <f aca="false">SUM(T112:T112)</f>
        <v>29707.8961976486</v>
      </c>
      <c r="U113" s="193" t="n">
        <f aca="false">SUM(U112:U112)</f>
        <v>30302.0541216016</v>
      </c>
      <c r="V113" s="193" t="n">
        <f aca="false">SUM(V112:V112)</f>
        <v>30908.0952040336</v>
      </c>
      <c r="W113" s="193" t="n">
        <f aca="false">SUM(W112:W112)</f>
        <v>31526.2571081143</v>
      </c>
      <c r="X113" s="193" t="n">
        <f aca="false">SUM(X112:X112)</f>
        <v>32156.7822502766</v>
      </c>
      <c r="Y113" s="193" t="n">
        <f aca="false">SUM(Y112:Y112)</f>
        <v>32799.9178952821</v>
      </c>
      <c r="Z113" s="193" t="n">
        <f aca="false">SUM(Z112:Z112)</f>
        <v>33455.9162531877</v>
      </c>
      <c r="AA113" s="193" t="n">
        <f aca="false">SUM(AA112:AA112)</f>
        <v>34125.0345782515</v>
      </c>
      <c r="AB113" s="193" t="n">
        <f aca="false">SUM(AB112:AB112)</f>
        <v>34807.5352698165</v>
      </c>
      <c r="AC113" s="193" t="n">
        <f aca="false">SUM(AC112:AC112)</f>
        <v>35503.6859752129</v>
      </c>
      <c r="AD113" s="193" t="n">
        <f aca="false">SUM(AD112:AD112)</f>
        <v>36213.7596947171</v>
      </c>
      <c r="AE113" s="193" t="n">
        <f aca="false">SUM(AE112:AE112)</f>
        <v>36938.0348886115</v>
      </c>
      <c r="AF113" s="193" t="n">
        <f aca="false">SUM(AF112:AF112)</f>
        <v>37676.7955863837</v>
      </c>
      <c r="AG113" s="193" t="n">
        <f aca="false">SUM(AG112:AG112)</f>
        <v>38430.3314981114</v>
      </c>
      <c r="AH113" s="193" t="n">
        <f aca="false">SUM(AH112:AH112)</f>
        <v>39198.9381280736</v>
      </c>
      <c r="AI113" s="193" t="n">
        <f aca="false">SUM(AI112:AI112)</f>
        <v>39982.9168906351</v>
      </c>
      <c r="AJ113" s="193" t="n">
        <f aca="false">SUM(AJ112:AJ112)</f>
        <v>40782.5752284478</v>
      </c>
      <c r="AK113" s="193" t="n">
        <f aca="false">SUM(AK112:AK112)</f>
        <v>41598.2267330167</v>
      </c>
      <c r="AL113" s="193" t="n">
        <f aca="false">SUM(AL112:AL112)</f>
        <v>42430.1912676771</v>
      </c>
    </row>
    <row r="114" customFormat="false" ht="15" hidden="false" customHeight="false" outlineLevel="1" collapsed="false">
      <c r="C114" s="370"/>
      <c r="D114" s="30"/>
      <c r="E114" s="193"/>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row>
    <row r="115" customFormat="false" ht="15" hidden="false" customHeight="false" outlineLevel="1" collapsed="false">
      <c r="B115" s="388" t="s">
        <v>364</v>
      </c>
      <c r="C115" s="382"/>
      <c r="H115" s="202"/>
      <c r="I115" s="202"/>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row>
    <row r="116" customFormat="false" ht="15" hidden="false" customHeight="false" outlineLevel="1" collapsed="false">
      <c r="B116" s="56"/>
      <c r="C116" s="384" t="s">
        <v>364</v>
      </c>
      <c r="D116" s="56"/>
      <c r="E116" s="56"/>
      <c r="F116" s="58"/>
      <c r="G116" s="208" t="s">
        <v>112</v>
      </c>
      <c r="H116" s="369" t="n">
        <f aca="false">'3. Assumptions'!G129*H8</f>
        <v>20400</v>
      </c>
      <c r="I116" s="369" t="n">
        <f aca="false">'3. Assumptions'!H129*I8</f>
        <v>20808</v>
      </c>
      <c r="J116" s="369" t="n">
        <f aca="false">'3. Assumptions'!I129*J8</f>
        <v>26530.2</v>
      </c>
      <c r="K116" s="369" t="n">
        <f aca="false">'3. Assumptions'!J129*K8</f>
        <v>27060.804</v>
      </c>
      <c r="L116" s="369" t="n">
        <f aca="false">'3. Assumptions'!$K$129*L8</f>
        <v>33122.424096</v>
      </c>
      <c r="M116" s="369" t="n">
        <f aca="false">'3. Assumptions'!$K$129*M8</f>
        <v>33784.87257792</v>
      </c>
      <c r="N116" s="369" t="n">
        <f aca="false">'3. Assumptions'!$K$129*N8</f>
        <v>34460.5700294784</v>
      </c>
      <c r="O116" s="369" t="n">
        <f aca="false">'3. Assumptions'!$K$129*O8</f>
        <v>35149.781430068</v>
      </c>
      <c r="P116" s="369" t="n">
        <f aca="false">'3. Assumptions'!$K$129*P8</f>
        <v>35852.7770586693</v>
      </c>
      <c r="Q116" s="369" t="n">
        <f aca="false">'3. Assumptions'!$K$129*Q8</f>
        <v>36569.8325998427</v>
      </c>
      <c r="R116" s="369" t="n">
        <f aca="false">'3. Assumptions'!$K$129*R8</f>
        <v>37301.2292518396</v>
      </c>
      <c r="S116" s="369" t="n">
        <f aca="false">'3. Assumptions'!$K$129*S8</f>
        <v>38047.2538368764</v>
      </c>
      <c r="T116" s="369" t="n">
        <f aca="false">'3. Assumptions'!$K$129*T8</f>
        <v>38808.1989136139</v>
      </c>
      <c r="U116" s="369" t="n">
        <f aca="false">'3. Assumptions'!$K$129*U8</f>
        <v>39584.3628918862</v>
      </c>
      <c r="V116" s="369" t="n">
        <f aca="false">'3. Assumptions'!$K$129*V8</f>
        <v>40376.0501497239</v>
      </c>
      <c r="W116" s="369" t="n">
        <f aca="false">'3. Assumptions'!$K$129*W8</f>
        <v>41183.5711527184</v>
      </c>
      <c r="X116" s="369" t="n">
        <f aca="false">'3. Assumptions'!$K$129*X8</f>
        <v>42007.2425757727</v>
      </c>
      <c r="Y116" s="369" t="n">
        <f aca="false">'3. Assumptions'!$K$129*Y8</f>
        <v>42847.3874272882</v>
      </c>
      <c r="Z116" s="369" t="n">
        <f aca="false">'3. Assumptions'!$K$129*Z8</f>
        <v>43704.3351758339</v>
      </c>
      <c r="AA116" s="369" t="n">
        <f aca="false">'3. Assumptions'!$K$129*AA8</f>
        <v>44578.4218793506</v>
      </c>
      <c r="AB116" s="369" t="n">
        <f aca="false">'3. Assumptions'!$K$129*AB8</f>
        <v>45469.9903169376</v>
      </c>
      <c r="AC116" s="369" t="n">
        <f aca="false">'3. Assumptions'!$K$129*AC8</f>
        <v>46379.3901232764</v>
      </c>
      <c r="AD116" s="369" t="n">
        <f aca="false">'3. Assumptions'!$K$129*AD8</f>
        <v>47306.9779257419</v>
      </c>
      <c r="AE116" s="369" t="n">
        <f aca="false">'3. Assumptions'!$K$129*AE8</f>
        <v>48253.1174842568</v>
      </c>
      <c r="AF116" s="369" t="n">
        <f aca="false">'3. Assumptions'!$K$129*AF8</f>
        <v>49218.1798339419</v>
      </c>
      <c r="AG116" s="369" t="n">
        <f aca="false">'3. Assumptions'!$K$129*AG8</f>
        <v>50202.5434306207</v>
      </c>
      <c r="AH116" s="369" t="n">
        <f aca="false">'3. Assumptions'!$K$129*AH8</f>
        <v>51206.5942992331</v>
      </c>
      <c r="AI116" s="369" t="n">
        <f aca="false">'3. Assumptions'!$K$129*AI8</f>
        <v>52230.7261852178</v>
      </c>
      <c r="AJ116" s="369" t="n">
        <f aca="false">'3. Assumptions'!$K$129*AJ8</f>
        <v>53275.3407089222</v>
      </c>
      <c r="AK116" s="369" t="n">
        <f aca="false">'3. Assumptions'!$K$129*AK8</f>
        <v>54340.8475231006</v>
      </c>
      <c r="AL116" s="369" t="n">
        <f aca="false">'3. Assumptions'!$K$129*AL8</f>
        <v>55427.6644735626</v>
      </c>
    </row>
    <row r="117" customFormat="false" ht="15" hidden="false" customHeight="false" outlineLevel="1" collapsed="false">
      <c r="B117" s="13" t="str">
        <f aca="false">"Total "&amp;B115</f>
        <v>Total Insurance</v>
      </c>
      <c r="C117" s="370"/>
      <c r="D117" s="30"/>
      <c r="E117" s="193"/>
      <c r="F117" s="193"/>
      <c r="G117" s="366" t="s">
        <v>112</v>
      </c>
      <c r="H117" s="193" t="n">
        <f aca="false">SUM(H116:H116)</f>
        <v>20400</v>
      </c>
      <c r="I117" s="193" t="n">
        <f aca="false">SUM(I116:I116)</f>
        <v>20808</v>
      </c>
      <c r="J117" s="193" t="n">
        <f aca="false">SUM(J116:J116)</f>
        <v>26530.2</v>
      </c>
      <c r="K117" s="193" t="n">
        <f aca="false">SUM(K116:K116)</f>
        <v>27060.804</v>
      </c>
      <c r="L117" s="193" t="n">
        <f aca="false">SUM(L116:L116)</f>
        <v>33122.424096</v>
      </c>
      <c r="M117" s="193" t="n">
        <f aca="false">SUM(M116:M116)</f>
        <v>33784.87257792</v>
      </c>
      <c r="N117" s="193" t="n">
        <f aca="false">SUM(N116:N116)</f>
        <v>34460.5700294784</v>
      </c>
      <c r="O117" s="193" t="n">
        <f aca="false">SUM(O116:O116)</f>
        <v>35149.781430068</v>
      </c>
      <c r="P117" s="193" t="n">
        <f aca="false">SUM(P116:P116)</f>
        <v>35852.7770586693</v>
      </c>
      <c r="Q117" s="193" t="n">
        <f aca="false">SUM(Q116:Q116)</f>
        <v>36569.8325998427</v>
      </c>
      <c r="R117" s="193" t="n">
        <f aca="false">SUM(R116:R116)</f>
        <v>37301.2292518396</v>
      </c>
      <c r="S117" s="193" t="n">
        <f aca="false">SUM(S116:S116)</f>
        <v>38047.2538368764</v>
      </c>
      <c r="T117" s="193" t="n">
        <f aca="false">SUM(T116:T116)</f>
        <v>38808.1989136139</v>
      </c>
      <c r="U117" s="193" t="n">
        <f aca="false">SUM(U116:U116)</f>
        <v>39584.3628918862</v>
      </c>
      <c r="V117" s="193" t="n">
        <f aca="false">SUM(V116:V116)</f>
        <v>40376.0501497239</v>
      </c>
      <c r="W117" s="193" t="n">
        <f aca="false">SUM(W116:W116)</f>
        <v>41183.5711527184</v>
      </c>
      <c r="X117" s="193" t="n">
        <f aca="false">SUM(X116:X116)</f>
        <v>42007.2425757727</v>
      </c>
      <c r="Y117" s="193" t="n">
        <f aca="false">SUM(Y116:Y116)</f>
        <v>42847.3874272882</v>
      </c>
      <c r="Z117" s="193" t="n">
        <f aca="false">SUM(Z116:Z116)</f>
        <v>43704.3351758339</v>
      </c>
      <c r="AA117" s="193" t="n">
        <f aca="false">SUM(AA116:AA116)</f>
        <v>44578.4218793506</v>
      </c>
      <c r="AB117" s="193" t="n">
        <f aca="false">SUM(AB116:AB116)</f>
        <v>45469.9903169376</v>
      </c>
      <c r="AC117" s="193" t="n">
        <f aca="false">SUM(AC116:AC116)</f>
        <v>46379.3901232764</v>
      </c>
      <c r="AD117" s="193" t="n">
        <f aca="false">SUM(AD116:AD116)</f>
        <v>47306.9779257419</v>
      </c>
      <c r="AE117" s="193" t="n">
        <f aca="false">SUM(AE116:AE116)</f>
        <v>48253.1174842568</v>
      </c>
      <c r="AF117" s="193" t="n">
        <f aca="false">SUM(AF116:AF116)</f>
        <v>49218.1798339419</v>
      </c>
      <c r="AG117" s="193" t="n">
        <f aca="false">SUM(AG116:AG116)</f>
        <v>50202.5434306207</v>
      </c>
      <c r="AH117" s="193" t="n">
        <f aca="false">SUM(AH116:AH116)</f>
        <v>51206.5942992331</v>
      </c>
      <c r="AI117" s="193" t="n">
        <f aca="false">SUM(AI116:AI116)</f>
        <v>52230.7261852178</v>
      </c>
      <c r="AJ117" s="193" t="n">
        <f aca="false">SUM(AJ116:AJ116)</f>
        <v>53275.3407089222</v>
      </c>
      <c r="AK117" s="193" t="n">
        <f aca="false">SUM(AK116:AK116)</f>
        <v>54340.8475231006</v>
      </c>
      <c r="AL117" s="193" t="n">
        <f aca="false">SUM(AL116:AL116)</f>
        <v>55427.6644735626</v>
      </c>
    </row>
    <row r="118" customFormat="false" ht="15" hidden="false" customHeight="false" outlineLevel="1" collapsed="false">
      <c r="C118" s="370"/>
      <c r="D118" s="30"/>
      <c r="E118" s="193"/>
      <c r="H118" s="193"/>
      <c r="I118" s="193"/>
      <c r="J118" s="193"/>
      <c r="K118" s="193"/>
      <c r="L118" s="193"/>
      <c r="M118" s="193"/>
      <c r="N118" s="193"/>
      <c r="O118" s="193"/>
      <c r="P118" s="193"/>
      <c r="Q118" s="193"/>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row>
    <row r="119" customFormat="false" ht="15" hidden="false" customHeight="false" outlineLevel="1" collapsed="false">
      <c r="B119" s="391" t="s">
        <v>608</v>
      </c>
      <c r="C119" s="392"/>
      <c r="D119" s="185" t="s">
        <v>609</v>
      </c>
      <c r="E119" s="15" t="s">
        <v>601</v>
      </c>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row>
    <row r="120" customFormat="false" ht="15" hidden="false" customHeight="false" outlineLevel="1" collapsed="false">
      <c r="B120" s="370"/>
      <c r="C120" s="370" t="s">
        <v>368</v>
      </c>
      <c r="D120" s="271" t="n">
        <f aca="false">'3. Assumptions'!E133</f>
        <v>1500</v>
      </c>
      <c r="E120" s="386" t="n">
        <f aca="false">IF('1. Project Summary'!$F$13="Real",0,'3. Assumptions'!$E$138)</f>
        <v>0.05</v>
      </c>
      <c r="H120" s="236" t="n">
        <f aca="false">'3. Assumptions'!G133*(1+$E120)^H$6</f>
        <v>55125</v>
      </c>
      <c r="I120" s="236" t="n">
        <f aca="false">'3. Assumptions'!H133*(1+$E120)^I$6</f>
        <v>-13230</v>
      </c>
      <c r="J120" s="236" t="n">
        <f aca="false">'3. Assumptions'!I133*(1+$E120)^J$6</f>
        <v>0</v>
      </c>
      <c r="K120" s="236" t="n">
        <f aca="false">'3. Assumptions'!J133*(1+$E120)^K$6</f>
        <v>0</v>
      </c>
      <c r="L120" s="236" t="n">
        <f aca="false">'3. Assumptions'!K133*(1+$E120)^L$6</f>
        <v>19144.2234375</v>
      </c>
      <c r="M120" s="236" t="n">
        <f aca="false">'3. Assumptions'!L133*(1+$E120)^M$6</f>
        <v>0</v>
      </c>
      <c r="N120" s="236" t="n">
        <f aca="false">'3. Assumptions'!M133*(1+$E120)^N$6</f>
        <v>21106.5063398438</v>
      </c>
      <c r="O120" s="202" t="n">
        <f aca="false">N120*(1+$E120)</f>
        <v>22161.8316568359</v>
      </c>
      <c r="P120" s="236" t="n">
        <f aca="false">O120*(1+$E120)</f>
        <v>23269.9232396777</v>
      </c>
      <c r="Q120" s="236" t="n">
        <f aca="false">P120*(1+$E120)</f>
        <v>24433.4194016616</v>
      </c>
      <c r="R120" s="236" t="n">
        <f aca="false">Q120*(1+$E120)</f>
        <v>25655.0903717447</v>
      </c>
      <c r="S120" s="236" t="n">
        <f aca="false">R120*(1+$E120)</f>
        <v>26937.8448903319</v>
      </c>
      <c r="T120" s="236" t="n">
        <f aca="false">S120*(1+$E120)</f>
        <v>28284.7371348485</v>
      </c>
      <c r="U120" s="236" t="n">
        <f aca="false">T120*(1+$E120)</f>
        <v>29698.973991591</v>
      </c>
      <c r="V120" s="236" t="n">
        <f aca="false">U120*(1+$E120)</f>
        <v>31183.9226911705</v>
      </c>
      <c r="W120" s="236" t="n">
        <f aca="false">V120*(1+$E120)</f>
        <v>32743.118825729</v>
      </c>
      <c r="X120" s="236" t="n">
        <f aca="false">W120*(1+$E120)</f>
        <v>34380.2747670155</v>
      </c>
      <c r="Y120" s="236" t="n">
        <f aca="false">X120*(1+$E120)</f>
        <v>36099.2885053663</v>
      </c>
      <c r="Z120" s="236" t="n">
        <f aca="false">Y120*(1+$E120)</f>
        <v>37904.2529306346</v>
      </c>
      <c r="AA120" s="236" t="n">
        <f aca="false">Z120*(1+$E120)</f>
        <v>39799.4655771663</v>
      </c>
      <c r="AB120" s="236" t="n">
        <f aca="false">AA120*(1+$E120)</f>
        <v>41789.4388560246</v>
      </c>
      <c r="AC120" s="236" t="n">
        <f aca="false">AB120*(1+$E120)</f>
        <v>43878.9107988259</v>
      </c>
      <c r="AD120" s="236" t="n">
        <f aca="false">AC120*(1+$E120)</f>
        <v>46072.8563387672</v>
      </c>
      <c r="AE120" s="236" t="n">
        <f aca="false">AD120*(1+$E120)</f>
        <v>48376.4991557055</v>
      </c>
      <c r="AF120" s="236" t="n">
        <f aca="false">AE120*(1+$E120)</f>
        <v>50795.3241134908</v>
      </c>
      <c r="AG120" s="236" t="n">
        <f aca="false">AF120*(1+$E120)</f>
        <v>53335.0903191654</v>
      </c>
      <c r="AH120" s="236" t="n">
        <f aca="false">AG120*(1+$E120)</f>
        <v>56001.8448351236</v>
      </c>
      <c r="AI120" s="236" t="n">
        <f aca="false">AH120*(1+$E120)</f>
        <v>58801.9370768798</v>
      </c>
      <c r="AJ120" s="236" t="n">
        <f aca="false">AI120*(1+$E120)</f>
        <v>61742.0339307238</v>
      </c>
      <c r="AK120" s="236" t="n">
        <f aca="false">AJ120*(1+$E120)</f>
        <v>64829.13562726</v>
      </c>
      <c r="AL120" s="236" t="n">
        <f aca="false">AK120*(1+$E120)</f>
        <v>68070.592408623</v>
      </c>
    </row>
    <row r="121" customFormat="false" ht="15" hidden="false" customHeight="false" outlineLevel="1" collapsed="false">
      <c r="B121" s="370"/>
      <c r="C121" s="370" t="s">
        <v>369</v>
      </c>
      <c r="D121" s="271" t="n">
        <f aca="false">'3. Assumptions'!E134</f>
        <v>1000</v>
      </c>
      <c r="E121" s="386" t="n">
        <f aca="false">IF('1. Project Summary'!$F$13="Real",0,'3. Assumptions'!$E$138)</f>
        <v>0.05</v>
      </c>
      <c r="H121" s="236" t="n">
        <f aca="false">'3. Assumptions'!G134*(1+$E121)^H$6</f>
        <v>36750</v>
      </c>
      <c r="I121" s="236" t="n">
        <f aca="false">'3. Assumptions'!H134*(1+$E121)^I$6</f>
        <v>-8820</v>
      </c>
      <c r="J121" s="236" t="n">
        <f aca="false">'3. Assumptions'!I134*(1+$E121)^J$6</f>
        <v>0</v>
      </c>
      <c r="K121" s="236" t="n">
        <f aca="false">'3. Assumptions'!J134*(1+$E121)^K$6</f>
        <v>0</v>
      </c>
      <c r="L121" s="236" t="n">
        <f aca="false">'3. Assumptions'!K134*(1+$E121)^L$6</f>
        <v>12762.815625</v>
      </c>
      <c r="M121" s="236" t="n">
        <f aca="false">'3. Assumptions'!L134*(1+$E121)^M$6</f>
        <v>0</v>
      </c>
      <c r="N121" s="236" t="n">
        <f aca="false">'3. Assumptions'!M134*(1+$E121)^N$6</f>
        <v>14071.0042265625</v>
      </c>
      <c r="O121" s="202" t="n">
        <f aca="false">N121*(1+$E121)</f>
        <v>14774.5544378906</v>
      </c>
      <c r="P121" s="236" t="n">
        <f aca="false">O121*(1+$E121)</f>
        <v>15513.2821597852</v>
      </c>
      <c r="Q121" s="236" t="n">
        <f aca="false">P121*(1+$E121)</f>
        <v>16288.9462677744</v>
      </c>
      <c r="R121" s="236" t="n">
        <f aca="false">Q121*(1+$E121)</f>
        <v>17103.3935811631</v>
      </c>
      <c r="S121" s="236" t="n">
        <f aca="false">R121*(1+$E121)</f>
        <v>17958.5632602213</v>
      </c>
      <c r="T121" s="236" t="n">
        <f aca="false">S121*(1+$E121)</f>
        <v>18856.4914232324</v>
      </c>
      <c r="U121" s="236" t="n">
        <f aca="false">T121*(1+$E121)</f>
        <v>19799.315994394</v>
      </c>
      <c r="V121" s="236" t="n">
        <f aca="false">U121*(1+$E121)</f>
        <v>20789.2817941137</v>
      </c>
      <c r="W121" s="236" t="n">
        <f aca="false">V121*(1+$E121)</f>
        <v>21828.7458838194</v>
      </c>
      <c r="X121" s="236" t="n">
        <f aca="false">W121*(1+$E121)</f>
        <v>22920.1831780103</v>
      </c>
      <c r="Y121" s="236" t="n">
        <f aca="false">X121*(1+$E121)</f>
        <v>24066.1923369109</v>
      </c>
      <c r="Z121" s="236" t="n">
        <f aca="false">Y121*(1+$E121)</f>
        <v>25269.5019537564</v>
      </c>
      <c r="AA121" s="236" t="n">
        <f aca="false">Z121*(1+$E121)</f>
        <v>26532.9770514442</v>
      </c>
      <c r="AB121" s="236" t="n">
        <f aca="false">AA121*(1+$E121)</f>
        <v>27859.6259040164</v>
      </c>
      <c r="AC121" s="236" t="n">
        <f aca="false">AB121*(1+$E121)</f>
        <v>29252.6071992173</v>
      </c>
      <c r="AD121" s="236" t="n">
        <f aca="false">AC121*(1+$E121)</f>
        <v>30715.2375591781</v>
      </c>
      <c r="AE121" s="236" t="n">
        <f aca="false">AD121*(1+$E121)</f>
        <v>32250.999437137</v>
      </c>
      <c r="AF121" s="236" t="n">
        <f aca="false">AE121*(1+$E121)</f>
        <v>33863.5494089939</v>
      </c>
      <c r="AG121" s="236" t="n">
        <f aca="false">AF121*(1+$E121)</f>
        <v>35556.7268794436</v>
      </c>
      <c r="AH121" s="236" t="n">
        <f aca="false">AG121*(1+$E121)</f>
        <v>37334.5632234157</v>
      </c>
      <c r="AI121" s="236" t="n">
        <f aca="false">AH121*(1+$E121)</f>
        <v>39201.2913845865</v>
      </c>
      <c r="AJ121" s="236" t="n">
        <f aca="false">AI121*(1+$E121)</f>
        <v>41161.3559538159</v>
      </c>
      <c r="AK121" s="236" t="n">
        <f aca="false">AJ121*(1+$E121)</f>
        <v>43219.4237515067</v>
      </c>
      <c r="AL121" s="236" t="n">
        <f aca="false">AK121*(1+$E121)</f>
        <v>45380.394939082</v>
      </c>
    </row>
    <row r="122" customFormat="false" ht="15" hidden="false" customHeight="false" outlineLevel="1" collapsed="false">
      <c r="B122" s="370"/>
      <c r="C122" s="370" t="s">
        <v>370</v>
      </c>
      <c r="D122" s="271" t="n">
        <f aca="false">'3. Assumptions'!E135</f>
        <v>1200</v>
      </c>
      <c r="E122" s="386" t="n">
        <f aca="false">IF('1. Project Summary'!$F$13="Real",0,'3. Assumptions'!$E$138)</f>
        <v>0.05</v>
      </c>
      <c r="H122" s="236" t="n">
        <f aca="false">'3. Assumptions'!G135*(1+$E122)^H$6</f>
        <v>44100</v>
      </c>
      <c r="I122" s="236" t="n">
        <f aca="false">'3. Assumptions'!H135*(1+$E122)^I$6</f>
        <v>-10584</v>
      </c>
      <c r="J122" s="236" t="n">
        <f aca="false">'3. Assumptions'!I135*(1+$E122)^J$6</f>
        <v>0</v>
      </c>
      <c r="K122" s="236" t="n">
        <f aca="false">'3. Assumptions'!J135*(1+$E122)^K$6</f>
        <v>0</v>
      </c>
      <c r="L122" s="236" t="n">
        <f aca="false">'3. Assumptions'!K135*(1+$E122)^L$6</f>
        <v>15315.37875</v>
      </c>
      <c r="M122" s="236" t="n">
        <f aca="false">'3. Assumptions'!L135*(1+$E122)^M$6</f>
        <v>0</v>
      </c>
      <c r="N122" s="236" t="n">
        <f aca="false">'3. Assumptions'!M135*(1+$E122)^N$6</f>
        <v>16885.205071875</v>
      </c>
      <c r="O122" s="202" t="n">
        <f aca="false">N122*(1+$E122)</f>
        <v>17729.4653254688</v>
      </c>
      <c r="P122" s="236" t="n">
        <f aca="false">O122*(1+$E122)</f>
        <v>18615.9385917422</v>
      </c>
      <c r="Q122" s="236" t="n">
        <f aca="false">P122*(1+$E122)</f>
        <v>19546.7355213293</v>
      </c>
      <c r="R122" s="236" t="n">
        <f aca="false">Q122*(1+$E122)</f>
        <v>20524.0722973958</v>
      </c>
      <c r="S122" s="236" t="n">
        <f aca="false">R122*(1+$E122)</f>
        <v>21550.2759122656</v>
      </c>
      <c r="T122" s="236" t="n">
        <f aca="false">S122*(1+$E122)</f>
        <v>22627.7897078788</v>
      </c>
      <c r="U122" s="236" t="n">
        <f aca="false">T122*(1+$E122)</f>
        <v>23759.1791932728</v>
      </c>
      <c r="V122" s="236" t="n">
        <f aca="false">U122*(1+$E122)</f>
        <v>24947.1381529364</v>
      </c>
      <c r="W122" s="236" t="n">
        <f aca="false">V122*(1+$E122)</f>
        <v>26194.4950605832</v>
      </c>
      <c r="X122" s="236" t="n">
        <f aca="false">W122*(1+$E122)</f>
        <v>27504.2198136124</v>
      </c>
      <c r="Y122" s="236" t="n">
        <f aca="false">X122*(1+$E122)</f>
        <v>28879.430804293</v>
      </c>
      <c r="Z122" s="236" t="n">
        <f aca="false">Y122*(1+$E122)</f>
        <v>30323.4023445077</v>
      </c>
      <c r="AA122" s="236" t="n">
        <f aca="false">Z122*(1+$E122)</f>
        <v>31839.5724617331</v>
      </c>
      <c r="AB122" s="236" t="n">
        <f aca="false">AA122*(1+$E122)</f>
        <v>33431.5510848197</v>
      </c>
      <c r="AC122" s="236" t="n">
        <f aca="false">AB122*(1+$E122)</f>
        <v>35103.1286390607</v>
      </c>
      <c r="AD122" s="236" t="n">
        <f aca="false">AC122*(1+$E122)</f>
        <v>36858.2850710138</v>
      </c>
      <c r="AE122" s="236" t="n">
        <f aca="false">AD122*(1+$E122)</f>
        <v>38701.1993245644</v>
      </c>
      <c r="AF122" s="236" t="n">
        <f aca="false">AE122*(1+$E122)</f>
        <v>40636.2592907927</v>
      </c>
      <c r="AG122" s="236" t="n">
        <f aca="false">AF122*(1+$E122)</f>
        <v>42668.0722553323</v>
      </c>
      <c r="AH122" s="236" t="n">
        <f aca="false">AG122*(1+$E122)</f>
        <v>44801.4758680989</v>
      </c>
      <c r="AI122" s="236" t="n">
        <f aca="false">AH122*(1+$E122)</f>
        <v>47041.5496615039</v>
      </c>
      <c r="AJ122" s="236" t="n">
        <f aca="false">AI122*(1+$E122)</f>
        <v>49393.6271445791</v>
      </c>
      <c r="AK122" s="236" t="n">
        <f aca="false">AJ122*(1+$E122)</f>
        <v>51863.308501808</v>
      </c>
      <c r="AL122" s="236" t="n">
        <f aca="false">AK122*(1+$E122)</f>
        <v>54456.4739268984</v>
      </c>
    </row>
    <row r="123" customFormat="false" ht="15" hidden="false" customHeight="false" outlineLevel="1" collapsed="false">
      <c r="B123" s="370"/>
      <c r="C123" s="370" t="s">
        <v>371</v>
      </c>
      <c r="D123" s="271"/>
      <c r="E123" s="386" t="n">
        <f aca="false">IF('1. Project Summary'!$F$13="Real",0,'3. Assumptions'!$E$138)</f>
        <v>0.05</v>
      </c>
      <c r="H123" s="236" t="n">
        <f aca="false">'3. Assumptions'!G136</f>
        <v>125000</v>
      </c>
      <c r="I123" s="236" t="n">
        <f aca="false">'3. Assumptions'!$H$136*(1+$E$123)^I6</f>
        <v>11025</v>
      </c>
      <c r="J123" s="236" t="n">
        <f aca="false">'3. Assumptions'!$H$136*(1+$E$123)^J6</f>
        <v>11576.25</v>
      </c>
      <c r="K123" s="236" t="n">
        <f aca="false">'3. Assumptions'!$H$136*(1+$E$123)^K6</f>
        <v>12155.0625</v>
      </c>
      <c r="L123" s="236" t="n">
        <f aca="false">'3. Assumptions'!$H$136*(1+$E$123)^L6</f>
        <v>12762.815625</v>
      </c>
      <c r="M123" s="236" t="n">
        <f aca="false">'3. Assumptions'!$H$136*(1+$E$123)^M6</f>
        <v>13400.95640625</v>
      </c>
      <c r="N123" s="236" t="n">
        <f aca="false">'3. Assumptions'!$H$136*(1+$E$123)^N6</f>
        <v>14071.0042265625</v>
      </c>
      <c r="O123" s="236" t="n">
        <f aca="false">'3. Assumptions'!$H$136*(1+$E$123)^O6</f>
        <v>14774.5544378906</v>
      </c>
      <c r="P123" s="236" t="n">
        <f aca="false">'3. Assumptions'!$H$136*(1+$E$123)^P6</f>
        <v>15513.2821597852</v>
      </c>
      <c r="Q123" s="236" t="n">
        <f aca="false">'3. Assumptions'!$H$136*(1+$E$123)^Q6</f>
        <v>16288.9462677744</v>
      </c>
      <c r="R123" s="236" t="n">
        <f aca="false">'3. Assumptions'!$H$136*(1+$E$123)^R6</f>
        <v>17103.3935811631</v>
      </c>
      <c r="S123" s="236" t="n">
        <f aca="false">'3. Assumptions'!$H$136*(1+$E$123)^S6</f>
        <v>17958.5632602213</v>
      </c>
      <c r="T123" s="236" t="n">
        <f aca="false">'3. Assumptions'!$H$136*(1+$E$123)^T6</f>
        <v>18856.4914232324</v>
      </c>
      <c r="U123" s="236" t="n">
        <f aca="false">'3. Assumptions'!$H$136*(1+$E$123)^U6</f>
        <v>19799.315994394</v>
      </c>
      <c r="V123" s="236" t="n">
        <f aca="false">'3. Assumptions'!$H$136*(1+$E$123)^V6</f>
        <v>20789.2817941137</v>
      </c>
      <c r="W123" s="236" t="n">
        <f aca="false">'3. Assumptions'!$H$136*(1+$E$123)^W6</f>
        <v>21828.7458838194</v>
      </c>
      <c r="X123" s="236" t="n">
        <f aca="false">'3. Assumptions'!$H$136*(1+$E$123)^X6</f>
        <v>22920.1831780103</v>
      </c>
      <c r="Y123" s="236" t="n">
        <f aca="false">'3. Assumptions'!$H$136*(1+$E$123)^Y6</f>
        <v>24066.1923369108</v>
      </c>
      <c r="Z123" s="236" t="n">
        <f aca="false">'3. Assumptions'!$H$136*(1+$E$123)^Z6</f>
        <v>25269.5019537564</v>
      </c>
      <c r="AA123" s="236" t="n">
        <f aca="false">'3. Assumptions'!$H$136*(1+$E$123)^AA6</f>
        <v>26532.9770514442</v>
      </c>
      <c r="AB123" s="236" t="n">
        <f aca="false">'3. Assumptions'!$H$136*(1+$E$123)^AB6</f>
        <v>27859.6259040164</v>
      </c>
      <c r="AC123" s="236" t="n">
        <f aca="false">'3. Assumptions'!$H$136*(1+$E$123)^AC6</f>
        <v>29252.6071992172</v>
      </c>
      <c r="AD123" s="236" t="n">
        <f aca="false">'3. Assumptions'!$H$136*(1+$E$123)^AD6</f>
        <v>30715.2375591781</v>
      </c>
      <c r="AE123" s="236" t="n">
        <f aca="false">'3. Assumptions'!$H$136*(1+$E$123)^AE6</f>
        <v>32250.999437137</v>
      </c>
      <c r="AF123" s="236" t="n">
        <f aca="false">'3. Assumptions'!$H$136*(1+$E$123)^AF6</f>
        <v>33863.5494089939</v>
      </c>
      <c r="AG123" s="236" t="n">
        <f aca="false">'3. Assumptions'!$H$136*(1+$E$123)^AG6</f>
        <v>35556.7268794436</v>
      </c>
      <c r="AH123" s="236" t="n">
        <f aca="false">'3. Assumptions'!$H$136*(1+$E$123)^AH6</f>
        <v>37334.5632234157</v>
      </c>
      <c r="AI123" s="236" t="n">
        <f aca="false">'3. Assumptions'!$H$136*(1+$E$123)^AI6</f>
        <v>39201.2913845865</v>
      </c>
      <c r="AJ123" s="236" t="n">
        <f aca="false">'3. Assumptions'!$H$136*(1+$E$123)^AJ6</f>
        <v>41161.3559538159</v>
      </c>
      <c r="AK123" s="236" t="n">
        <f aca="false">'3. Assumptions'!$H$136*(1+$E$123)^AK6</f>
        <v>43219.4237515066</v>
      </c>
      <c r="AL123" s="236" t="n">
        <f aca="false">'3. Assumptions'!$H$136*(1+$E$123)^AL6</f>
        <v>45380.394939082</v>
      </c>
    </row>
    <row r="124" customFormat="false" ht="15" hidden="false" customHeight="false" outlineLevel="1" collapsed="false">
      <c r="B124" s="378"/>
      <c r="C124" s="378" t="s">
        <v>372</v>
      </c>
      <c r="D124" s="377" t="n">
        <f aca="false">'3. Assumptions'!E137</f>
        <v>0.2</v>
      </c>
      <c r="E124" s="386" t="n">
        <f aca="false">IF('1. Project Summary'!$F$13="Real",0,'3. Assumptions'!$E$138)</f>
        <v>0.05</v>
      </c>
      <c r="F124" s="56"/>
      <c r="G124" s="393"/>
      <c r="H124" s="369" t="n">
        <f aca="false">SUM(H120:H122)*$D$124</f>
        <v>27195</v>
      </c>
      <c r="I124" s="369" t="n">
        <f aca="false">SUM(I120:I122)*$D$124</f>
        <v>-6526.8</v>
      </c>
      <c r="J124" s="369" t="n">
        <f aca="false">SUM(J120:J122)*$D$124</f>
        <v>0</v>
      </c>
      <c r="K124" s="369" t="n">
        <f aca="false">SUM(K120:K122)*$D$124</f>
        <v>0</v>
      </c>
      <c r="L124" s="369" t="n">
        <f aca="false">SUM(L120:L122)*$D$124</f>
        <v>9444.4835625</v>
      </c>
      <c r="M124" s="369" t="n">
        <f aca="false">SUM(M120:M122)*$D$124</f>
        <v>0</v>
      </c>
      <c r="N124" s="369" t="n">
        <f aca="false">SUM(N120:N122)*$D$124</f>
        <v>10412.5431276563</v>
      </c>
      <c r="O124" s="369" t="n">
        <f aca="false">SUM(O120:O122)*$D$124</f>
        <v>10933.1702840391</v>
      </c>
      <c r="P124" s="369" t="n">
        <f aca="false">SUM(P120:P122)*$D$124</f>
        <v>11479.828798241</v>
      </c>
      <c r="Q124" s="369" t="n">
        <f aca="false">SUM(Q120:Q122)*$D$124</f>
        <v>12053.8202381531</v>
      </c>
      <c r="R124" s="369" t="n">
        <f aca="false">SUM(R120:R122)*$D$124</f>
        <v>12656.5112500607</v>
      </c>
      <c r="S124" s="369" t="n">
        <f aca="false">SUM(S120:S122)*$D$124</f>
        <v>13289.3368125638</v>
      </c>
      <c r="T124" s="369" t="n">
        <f aca="false">SUM(T120:T122)*$D$124</f>
        <v>13953.803653192</v>
      </c>
      <c r="U124" s="369" t="n">
        <f aca="false">SUM(U120:U122)*$D$124</f>
        <v>14651.4938358515</v>
      </c>
      <c r="V124" s="369" t="n">
        <f aca="false">SUM(V120:V122)*$D$124</f>
        <v>15384.0685276441</v>
      </c>
      <c r="W124" s="369" t="n">
        <f aca="false">SUM(W120:W122)*$D$124</f>
        <v>16153.2719540263</v>
      </c>
      <c r="X124" s="369" t="n">
        <f aca="false">SUM(X120:X122)*$D$124</f>
        <v>16960.9355517277</v>
      </c>
      <c r="Y124" s="369" t="n">
        <f aca="false">SUM(Y120:Y122)*$D$124</f>
        <v>17808.982329314</v>
      </c>
      <c r="Z124" s="369" t="n">
        <f aca="false">SUM(Z120:Z122)*$D$124</f>
        <v>18699.4314457797</v>
      </c>
      <c r="AA124" s="369" t="n">
        <f aca="false">SUM(AA120:AA122)*$D$124</f>
        <v>19634.4030180687</v>
      </c>
      <c r="AB124" s="369" t="n">
        <f aca="false">SUM(AB120:AB122)*$D$124</f>
        <v>20616.1231689722</v>
      </c>
      <c r="AC124" s="369" t="n">
        <f aca="false">SUM(AC120:AC122)*$D$124</f>
        <v>21646.9293274208</v>
      </c>
      <c r="AD124" s="369" t="n">
        <f aca="false">SUM(AD120:AD122)*$D$124</f>
        <v>22729.2757937918</v>
      </c>
      <c r="AE124" s="369" t="n">
        <f aca="false">SUM(AE120:AE122)*$D$124</f>
        <v>23865.7395834814</v>
      </c>
      <c r="AF124" s="369" t="n">
        <f aca="false">SUM(AF120:AF122)*$D$124</f>
        <v>25059.0265626555</v>
      </c>
      <c r="AG124" s="369" t="n">
        <f aca="false">SUM(AG120:AG122)*$D$124</f>
        <v>26311.9778907882</v>
      </c>
      <c r="AH124" s="369" t="n">
        <f aca="false">SUM(AH120:AH122)*$D$124</f>
        <v>27627.5767853277</v>
      </c>
      <c r="AI124" s="369" t="n">
        <f aca="false">SUM(AI120:AI122)*$D$124</f>
        <v>29008.955624594</v>
      </c>
      <c r="AJ124" s="369" t="n">
        <f aca="false">SUM(AJ120:AJ122)*$D$124</f>
        <v>30459.4034058237</v>
      </c>
      <c r="AK124" s="369" t="n">
        <f aca="false">SUM(AK120:AK122)*$D$124</f>
        <v>31982.3735761149</v>
      </c>
      <c r="AL124" s="369" t="n">
        <f aca="false">SUM(AL120:AL122)*$D$124</f>
        <v>33581.4922549207</v>
      </c>
    </row>
    <row r="125" customFormat="false" ht="15" hidden="false" customHeight="false" outlineLevel="1" collapsed="false">
      <c r="B125" s="13" t="str">
        <f aca="false">"Total "&amp;B119</f>
        <v>Total Office Equipment</v>
      </c>
      <c r="C125" s="370"/>
      <c r="D125" s="30"/>
      <c r="E125" s="193"/>
      <c r="H125" s="193" t="n">
        <f aca="false">SUM(H120:H124)</f>
        <v>288170</v>
      </c>
      <c r="I125" s="193" t="n">
        <f aca="false">SUM(I120:I124)</f>
        <v>-28135.8</v>
      </c>
      <c r="J125" s="193" t="n">
        <f aca="false">SUM(J120:J124)</f>
        <v>11576.25</v>
      </c>
      <c r="K125" s="193" t="n">
        <f aca="false">SUM(K120:K124)</f>
        <v>12155.0625</v>
      </c>
      <c r="L125" s="193" t="n">
        <f aca="false">SUM(L120:L124)</f>
        <v>69429.717</v>
      </c>
      <c r="M125" s="193" t="n">
        <f aca="false">SUM(M120:M124)</f>
        <v>13400.95640625</v>
      </c>
      <c r="N125" s="193" t="n">
        <f aca="false">SUM(N120:N124)</f>
        <v>76546.2629925</v>
      </c>
      <c r="O125" s="193" t="n">
        <f aca="false">SUM(O120:O124)</f>
        <v>80373.576142125</v>
      </c>
      <c r="P125" s="193" t="n">
        <f aca="false">SUM(P120:P124)</f>
        <v>84392.2549492313</v>
      </c>
      <c r="Q125" s="193" t="n">
        <f aca="false">SUM(Q120:Q124)</f>
        <v>88611.8676966928</v>
      </c>
      <c r="R125" s="193" t="n">
        <f aca="false">SUM(R120:R124)</f>
        <v>93042.4610815275</v>
      </c>
      <c r="S125" s="193" t="n">
        <f aca="false">SUM(S120:S124)</f>
        <v>97694.5841356039</v>
      </c>
      <c r="T125" s="193" t="n">
        <f aca="false">SUM(T120:T124)</f>
        <v>102579.313342384</v>
      </c>
      <c r="U125" s="193" t="n">
        <f aca="false">SUM(U120:U124)</f>
        <v>107708.279009503</v>
      </c>
      <c r="V125" s="193" t="n">
        <f aca="false">SUM(V120:V124)</f>
        <v>113093.692959978</v>
      </c>
      <c r="W125" s="193" t="n">
        <f aca="false">SUM(W120:W124)</f>
        <v>118748.377607977</v>
      </c>
      <c r="X125" s="193" t="n">
        <f aca="false">SUM(X120:X124)</f>
        <v>124685.796488376</v>
      </c>
      <c r="Y125" s="193" t="n">
        <f aca="false">SUM(Y120:Y124)</f>
        <v>130920.086312795</v>
      </c>
      <c r="Z125" s="193" t="n">
        <f aca="false">SUM(Z120:Z124)</f>
        <v>137466.090628435</v>
      </c>
      <c r="AA125" s="193" t="n">
        <f aca="false">SUM(AA120:AA124)</f>
        <v>144339.395159857</v>
      </c>
      <c r="AB125" s="193" t="n">
        <f aca="false">SUM(AB120:AB124)</f>
        <v>151556.364917849</v>
      </c>
      <c r="AC125" s="193" t="n">
        <f aca="false">SUM(AC120:AC124)</f>
        <v>159134.183163742</v>
      </c>
      <c r="AD125" s="193" t="n">
        <f aca="false">SUM(AD120:AD124)</f>
        <v>167090.892321929</v>
      </c>
      <c r="AE125" s="193" t="n">
        <f aca="false">SUM(AE120:AE124)</f>
        <v>175445.436938025</v>
      </c>
      <c r="AF125" s="193" t="n">
        <f aca="false">SUM(AF120:AF124)</f>
        <v>184217.708784927</v>
      </c>
      <c r="AG125" s="193" t="n">
        <f aca="false">SUM(AG120:AG124)</f>
        <v>193428.594224173</v>
      </c>
      <c r="AH125" s="193" t="n">
        <f aca="false">SUM(AH120:AH124)</f>
        <v>203100.023935382</v>
      </c>
      <c r="AI125" s="193" t="n">
        <f aca="false">SUM(AI120:AI124)</f>
        <v>213255.025132151</v>
      </c>
      <c r="AJ125" s="193" t="n">
        <f aca="false">SUM(AJ120:AJ124)</f>
        <v>223917.776388758</v>
      </c>
      <c r="AK125" s="193" t="n">
        <f aca="false">SUM(AK120:AK124)</f>
        <v>235113.665208196</v>
      </c>
      <c r="AL125" s="193" t="n">
        <f aca="false">SUM(AL120:AL124)</f>
        <v>246869.348468606</v>
      </c>
    </row>
    <row r="126" customFormat="false" ht="15" hidden="false" customHeight="false" outlineLevel="1" collapsed="false">
      <c r="C126" s="370"/>
      <c r="D126" s="30"/>
      <c r="E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row>
    <row r="127" customFormat="false" ht="15" hidden="false" customHeight="false" outlineLevel="1" collapsed="false">
      <c r="B127" s="391" t="s">
        <v>310</v>
      </c>
      <c r="C127" s="392"/>
      <c r="D127" s="30"/>
      <c r="E127" s="394" t="s">
        <v>610</v>
      </c>
      <c r="H127" s="193"/>
      <c r="I127" s="193"/>
      <c r="J127" s="193"/>
      <c r="K127" s="193"/>
      <c r="L127" s="193"/>
      <c r="M127" s="193"/>
      <c r="N127" s="193"/>
      <c r="O127" s="193"/>
      <c r="P127" s="193"/>
      <c r="Q127" s="193"/>
      <c r="R127" s="193"/>
      <c r="S127" s="193"/>
      <c r="T127" s="193"/>
      <c r="U127" s="193"/>
      <c r="V127" s="193"/>
      <c r="W127" s="193"/>
      <c r="X127" s="193"/>
      <c r="Y127" s="193"/>
      <c r="Z127" s="193"/>
      <c r="AA127" s="193"/>
      <c r="AB127" s="193"/>
      <c r="AC127" s="193"/>
      <c r="AD127" s="193"/>
      <c r="AE127" s="193"/>
      <c r="AF127" s="193"/>
      <c r="AG127" s="193"/>
      <c r="AH127" s="193"/>
      <c r="AI127" s="193"/>
      <c r="AJ127" s="193"/>
      <c r="AK127" s="193"/>
      <c r="AL127" s="193"/>
    </row>
    <row r="128" customFormat="false" ht="15" hidden="false" customHeight="false" outlineLevel="1" collapsed="false">
      <c r="C128" s="370" t="str">
        <f aca="false">'3. Assumptions'!C141</f>
        <v>Utility vehicle management</v>
      </c>
      <c r="E128" s="271" t="n">
        <f aca="false">'3. Assumptions'!E141</f>
        <v>50000</v>
      </c>
      <c r="H128" s="236" t="n">
        <f aca="false">$E128*H$8</f>
        <v>51000</v>
      </c>
      <c r="I128" s="236" t="n">
        <f aca="false">$E128*I$8</f>
        <v>52020</v>
      </c>
      <c r="J128" s="236" t="n">
        <f aca="false">$E128*J$8</f>
        <v>53060.4</v>
      </c>
      <c r="K128" s="236" t="n">
        <f aca="false">$E128*K$8</f>
        <v>54121.608</v>
      </c>
      <c r="L128" s="236" t="n">
        <f aca="false">$E128*L$8</f>
        <v>55204.04016</v>
      </c>
      <c r="M128" s="236" t="n">
        <f aca="false">$E128*M$8</f>
        <v>56308.1209632</v>
      </c>
      <c r="N128" s="236" t="n">
        <f aca="false">$E128*N$8</f>
        <v>57434.283382464</v>
      </c>
      <c r="O128" s="236" t="n">
        <f aca="false">$E128*O$8</f>
        <v>58582.9690501133</v>
      </c>
      <c r="P128" s="236" t="n">
        <f aca="false">$E128*P$8</f>
        <v>59754.6284311156</v>
      </c>
      <c r="Q128" s="236" t="n">
        <f aca="false">$E128*Q$8</f>
        <v>60949.7209997379</v>
      </c>
      <c r="R128" s="236" t="n">
        <f aca="false">$E128*R$8</f>
        <v>62168.7154197326</v>
      </c>
      <c r="S128" s="236" t="n">
        <f aca="false">$E128*S$8</f>
        <v>63412.0897281273</v>
      </c>
      <c r="T128" s="236" t="n">
        <f aca="false">$E128*T$8</f>
        <v>64680.3315226898</v>
      </c>
      <c r="U128" s="236" t="n">
        <f aca="false">$E128*U$8</f>
        <v>65973.9381531436</v>
      </c>
      <c r="V128" s="236" t="n">
        <f aca="false">$E128*V$8</f>
        <v>67293.4169162065</v>
      </c>
      <c r="W128" s="236" t="n">
        <f aca="false">$E128*W$8</f>
        <v>68639.2852545306</v>
      </c>
      <c r="X128" s="236" t="n">
        <f aca="false">$E128*X$8</f>
        <v>70012.0709596212</v>
      </c>
      <c r="Y128" s="236" t="n">
        <f aca="false">$E128*Y$8</f>
        <v>71412.3123788137</v>
      </c>
      <c r="Z128" s="236" t="n">
        <f aca="false">$E128*Z$8</f>
        <v>72840.55862639</v>
      </c>
      <c r="AA128" s="236" t="n">
        <f aca="false">$E128*AA$8</f>
        <v>74297.3697989178</v>
      </c>
      <c r="AB128" s="236" t="n">
        <f aca="false">$E128*AB$8</f>
        <v>75783.3171948961</v>
      </c>
      <c r="AC128" s="236" t="n">
        <f aca="false">$E128*AC$8</f>
        <v>77298.983538794</v>
      </c>
      <c r="AD128" s="236" t="n">
        <f aca="false">$E128*AD$8</f>
        <v>78844.9632095699</v>
      </c>
      <c r="AE128" s="236" t="n">
        <f aca="false">$E128*AE$8</f>
        <v>80421.8624737613</v>
      </c>
      <c r="AF128" s="236" t="n">
        <f aca="false">$E128*AF$8</f>
        <v>82030.2997232365</v>
      </c>
      <c r="AG128" s="236" t="n">
        <f aca="false">$E128*AG$8</f>
        <v>83670.9057177013</v>
      </c>
      <c r="AH128" s="236" t="n">
        <f aca="false">$E128*AH$8</f>
        <v>85344.3238320553</v>
      </c>
      <c r="AI128" s="236" t="n">
        <f aca="false">$E128*AI$8</f>
        <v>87051.2103086964</v>
      </c>
      <c r="AJ128" s="236" t="n">
        <f aca="false">$E128*AJ$8</f>
        <v>88792.2345148703</v>
      </c>
      <c r="AK128" s="236" t="n">
        <f aca="false">$E128*AK$8</f>
        <v>90568.0792051677</v>
      </c>
      <c r="AL128" s="236" t="n">
        <f aca="false">$E128*AL$8</f>
        <v>92379.440789271</v>
      </c>
    </row>
    <row r="129" customFormat="false" ht="15" hidden="false" customHeight="false" outlineLevel="1" collapsed="false">
      <c r="B129" s="56"/>
      <c r="C129" s="378" t="str">
        <f aca="false">'3. Assumptions'!C142</f>
        <v>Utility vehicle management</v>
      </c>
      <c r="D129" s="56"/>
      <c r="E129" s="271" t="n">
        <f aca="false">'3. Assumptions'!E142</f>
        <v>25000</v>
      </c>
      <c r="F129" s="56"/>
      <c r="G129" s="393"/>
      <c r="H129" s="369" t="n">
        <f aca="false">$E129*H$8</f>
        <v>25500</v>
      </c>
      <c r="I129" s="369" t="n">
        <f aca="false">$E129*I$8</f>
        <v>26010</v>
      </c>
      <c r="J129" s="369" t="n">
        <f aca="false">$E129*J$8</f>
        <v>26530.2</v>
      </c>
      <c r="K129" s="369" t="n">
        <f aca="false">$E129*K$8</f>
        <v>27060.804</v>
      </c>
      <c r="L129" s="369" t="n">
        <f aca="false">$E129*L$8</f>
        <v>27602.02008</v>
      </c>
      <c r="M129" s="369" t="n">
        <f aca="false">$E129*M$8</f>
        <v>28154.0604816</v>
      </c>
      <c r="N129" s="369" t="n">
        <f aca="false">$E129*N$8</f>
        <v>28717.141691232</v>
      </c>
      <c r="O129" s="369" t="n">
        <f aca="false">$E129*O$8</f>
        <v>29291.4845250566</v>
      </c>
      <c r="P129" s="369" t="n">
        <f aca="false">$E129*P$8</f>
        <v>29877.3142155578</v>
      </c>
      <c r="Q129" s="369" t="n">
        <f aca="false">$E129*Q$8</f>
        <v>30474.8604998689</v>
      </c>
      <c r="R129" s="369" t="n">
        <f aca="false">$E129*R$8</f>
        <v>31084.3577098663</v>
      </c>
      <c r="S129" s="369" t="n">
        <f aca="false">$E129*S$8</f>
        <v>31706.0448640636</v>
      </c>
      <c r="T129" s="369" t="n">
        <f aca="false">$E129*T$8</f>
        <v>32340.1657613449</v>
      </c>
      <c r="U129" s="369" t="n">
        <f aca="false">$E129*U$8</f>
        <v>32986.9690765718</v>
      </c>
      <c r="V129" s="369" t="n">
        <f aca="false">$E129*V$8</f>
        <v>33646.7084581033</v>
      </c>
      <c r="W129" s="369" t="n">
        <f aca="false">$E129*W$8</f>
        <v>34319.6426272653</v>
      </c>
      <c r="X129" s="369" t="n">
        <f aca="false">$E129*X$8</f>
        <v>35006.0354798106</v>
      </c>
      <c r="Y129" s="369" t="n">
        <f aca="false">$E129*Y$8</f>
        <v>35706.1561894068</v>
      </c>
      <c r="Z129" s="369" t="n">
        <f aca="false">$E129*Z$8</f>
        <v>36420.279313195</v>
      </c>
      <c r="AA129" s="369" t="n">
        <f aca="false">$E129*AA$8</f>
        <v>37148.6848994589</v>
      </c>
      <c r="AB129" s="369" t="n">
        <f aca="false">$E129*AB$8</f>
        <v>37891.6585974481</v>
      </c>
      <c r="AC129" s="369" t="n">
        <f aca="false">$E129*AC$8</f>
        <v>38649.491769397</v>
      </c>
      <c r="AD129" s="369" t="n">
        <f aca="false">$E129*AD$8</f>
        <v>39422.481604785</v>
      </c>
      <c r="AE129" s="369" t="n">
        <f aca="false">$E129*AE$8</f>
        <v>40210.9312368807</v>
      </c>
      <c r="AF129" s="369" t="n">
        <f aca="false">$E129*AF$8</f>
        <v>41015.1498616183</v>
      </c>
      <c r="AG129" s="369" t="n">
        <f aca="false">$E129*AG$8</f>
        <v>41835.4528588506</v>
      </c>
      <c r="AH129" s="369" t="n">
        <f aca="false">$E129*AH$8</f>
        <v>42672.1619160276</v>
      </c>
      <c r="AI129" s="369" t="n">
        <f aca="false">$E129*AI$8</f>
        <v>43525.6051543482</v>
      </c>
      <c r="AJ129" s="369" t="n">
        <f aca="false">$E129*AJ$8</f>
        <v>44396.1172574352</v>
      </c>
      <c r="AK129" s="369" t="n">
        <f aca="false">$E129*AK$8</f>
        <v>45284.0396025838</v>
      </c>
      <c r="AL129" s="369" t="n">
        <f aca="false">$E129*AL$8</f>
        <v>46189.7203946355</v>
      </c>
    </row>
    <row r="130" customFormat="false" ht="15" hidden="false" customHeight="false" outlineLevel="1" collapsed="false">
      <c r="B130" s="13" t="str">
        <f aca="false">"Total "&amp;B127</f>
        <v>Total Vehicles</v>
      </c>
      <c r="C130" s="370"/>
      <c r="D130" s="30"/>
      <c r="E130" s="193"/>
      <c r="H130" s="193" t="n">
        <f aca="false">SUM(H128:H129)</f>
        <v>76500</v>
      </c>
      <c r="I130" s="193" t="n">
        <f aca="false">SUM(I128:I129)</f>
        <v>78030</v>
      </c>
      <c r="J130" s="193" t="n">
        <f aca="false">SUM(J128:J129)</f>
        <v>79590.6</v>
      </c>
      <c r="K130" s="193" t="n">
        <f aca="false">SUM(K128:K129)</f>
        <v>81182.412</v>
      </c>
      <c r="L130" s="193" t="n">
        <f aca="false">SUM(L128:L129)</f>
        <v>82806.06024</v>
      </c>
      <c r="M130" s="193" t="n">
        <f aca="false">SUM(M128:M129)</f>
        <v>84462.1814448</v>
      </c>
      <c r="N130" s="193" t="n">
        <f aca="false">SUM(N128:N129)</f>
        <v>86151.425073696</v>
      </c>
      <c r="O130" s="193" t="n">
        <f aca="false">SUM(O128:O129)</f>
        <v>87874.4535751699</v>
      </c>
      <c r="P130" s="193" t="n">
        <f aca="false">SUM(P128:P129)</f>
        <v>89631.9426466733</v>
      </c>
      <c r="Q130" s="193" t="n">
        <f aca="false">SUM(Q128:Q129)</f>
        <v>91424.5814996068</v>
      </c>
      <c r="R130" s="193" t="n">
        <f aca="false">SUM(R128:R129)</f>
        <v>93253.0731295989</v>
      </c>
      <c r="S130" s="193" t="n">
        <f aca="false">SUM(S128:S129)</f>
        <v>95118.1345921909</v>
      </c>
      <c r="T130" s="193" t="n">
        <f aca="false">SUM(T128:T129)</f>
        <v>97020.4972840347</v>
      </c>
      <c r="U130" s="193" t="n">
        <f aca="false">SUM(U128:U129)</f>
        <v>98960.9072297154</v>
      </c>
      <c r="V130" s="193" t="n">
        <f aca="false">SUM(V128:V129)</f>
        <v>100940.12537431</v>
      </c>
      <c r="W130" s="193" t="n">
        <f aca="false">SUM(W128:W129)</f>
        <v>102958.927881796</v>
      </c>
      <c r="X130" s="193" t="n">
        <f aca="false">SUM(X128:X129)</f>
        <v>105018.106439432</v>
      </c>
      <c r="Y130" s="193" t="n">
        <f aca="false">SUM(Y128:Y129)</f>
        <v>107118.468568221</v>
      </c>
      <c r="Z130" s="193" t="n">
        <f aca="false">SUM(Z128:Z129)</f>
        <v>109260.837939585</v>
      </c>
      <c r="AA130" s="193" t="n">
        <f aca="false">SUM(AA128:AA129)</f>
        <v>111446.054698377</v>
      </c>
      <c r="AB130" s="193" t="n">
        <f aca="false">SUM(AB128:AB129)</f>
        <v>113674.975792344</v>
      </c>
      <c r="AC130" s="193" t="n">
        <f aca="false">SUM(AC128:AC129)</f>
        <v>115948.475308191</v>
      </c>
      <c r="AD130" s="193" t="n">
        <f aca="false">SUM(AD128:AD129)</f>
        <v>118267.444814355</v>
      </c>
      <c r="AE130" s="193" t="n">
        <f aca="false">SUM(AE128:AE129)</f>
        <v>120632.793710642</v>
      </c>
      <c r="AF130" s="193" t="n">
        <f aca="false">SUM(AF128:AF129)</f>
        <v>123045.449584855</v>
      </c>
      <c r="AG130" s="193" t="n">
        <f aca="false">SUM(AG128:AG129)</f>
        <v>125506.358576552</v>
      </c>
      <c r="AH130" s="193" t="n">
        <f aca="false">SUM(AH128:AH129)</f>
        <v>128016.485748083</v>
      </c>
      <c r="AI130" s="193" t="n">
        <f aca="false">SUM(AI128:AI129)</f>
        <v>130576.815463045</v>
      </c>
      <c r="AJ130" s="193" t="n">
        <f aca="false">SUM(AJ128:AJ129)</f>
        <v>133188.351772306</v>
      </c>
      <c r="AK130" s="193" t="n">
        <f aca="false">SUM(AK128:AK129)</f>
        <v>135852.118807752</v>
      </c>
      <c r="AL130" s="193" t="n">
        <f aca="false">SUM(AL128:AL129)</f>
        <v>138569.161183907</v>
      </c>
    </row>
    <row r="131" customFormat="false" ht="15" hidden="false" customHeight="false" outlineLevel="1" collapsed="false">
      <c r="C131" s="370"/>
      <c r="D131" s="30"/>
      <c r="E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3"/>
      <c r="AE131" s="193"/>
      <c r="AF131" s="193"/>
      <c r="AG131" s="193"/>
      <c r="AH131" s="193"/>
      <c r="AI131" s="193"/>
      <c r="AJ131" s="193"/>
      <c r="AK131" s="193"/>
      <c r="AL131" s="193"/>
    </row>
    <row r="132" customFormat="false" ht="15" hidden="false" customHeight="false" outlineLevel="0" collapsed="false">
      <c r="B132" s="83" t="s">
        <v>611</v>
      </c>
      <c r="C132" s="83"/>
      <c r="D132" s="83"/>
      <c r="E132" s="83"/>
      <c r="F132" s="83"/>
      <c r="G132" s="395"/>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row>
    <row r="133" customFormat="false" ht="15" hidden="false" customHeight="false" outlineLevel="0" collapsed="false">
      <c r="E133" s="185" t="s">
        <v>138</v>
      </c>
    </row>
    <row r="134" customFormat="false" ht="15" hidden="false" customHeight="false" outlineLevel="0" collapsed="false">
      <c r="C134" s="14" t="s">
        <v>612</v>
      </c>
      <c r="E134" s="21" t="n">
        <f aca="false">SUM(H134:AL134)</f>
        <v>1101992.0625</v>
      </c>
      <c r="F134" s="95"/>
      <c r="G134" s="151" t="s">
        <v>112</v>
      </c>
      <c r="H134" s="21" t="n">
        <f aca="false">H26</f>
        <v>545540.625</v>
      </c>
      <c r="I134" s="21" t="n">
        <f aca="false">I26</f>
        <v>556451.4375</v>
      </c>
      <c r="J134" s="21" t="n">
        <f aca="false">J26</f>
        <v>0</v>
      </c>
      <c r="K134" s="21" t="n">
        <f aca="false">K26</f>
        <v>0</v>
      </c>
      <c r="L134" s="21" t="n">
        <f aca="false">L26</f>
        <v>0</v>
      </c>
      <c r="M134" s="21" t="n">
        <f aca="false">M26</f>
        <v>0</v>
      </c>
      <c r="N134" s="21" t="n">
        <f aca="false">N26</f>
        <v>0</v>
      </c>
      <c r="O134" s="21" t="n">
        <f aca="false">O26</f>
        <v>0</v>
      </c>
      <c r="P134" s="21" t="n">
        <f aca="false">P26</f>
        <v>0</v>
      </c>
      <c r="Q134" s="21" t="n">
        <f aca="false">Q26</f>
        <v>0</v>
      </c>
      <c r="R134" s="21" t="n">
        <f aca="false">R26</f>
        <v>0</v>
      </c>
      <c r="S134" s="21" t="n">
        <f aca="false">S26</f>
        <v>0</v>
      </c>
      <c r="T134" s="21" t="n">
        <f aca="false">T26</f>
        <v>0</v>
      </c>
      <c r="U134" s="21" t="n">
        <f aca="false">U26</f>
        <v>0</v>
      </c>
      <c r="V134" s="21" t="n">
        <f aca="false">V26</f>
        <v>0</v>
      </c>
      <c r="W134" s="21" t="n">
        <f aca="false">W26</f>
        <v>0</v>
      </c>
      <c r="X134" s="21" t="n">
        <f aca="false">X26</f>
        <v>0</v>
      </c>
      <c r="Y134" s="21" t="n">
        <f aca="false">Y26</f>
        <v>0</v>
      </c>
      <c r="Z134" s="21" t="n">
        <f aca="false">Z26</f>
        <v>0</v>
      </c>
      <c r="AA134" s="21" t="n">
        <f aca="false">AA26</f>
        <v>0</v>
      </c>
      <c r="AB134" s="21" t="n">
        <f aca="false">AB26</f>
        <v>0</v>
      </c>
      <c r="AC134" s="21" t="n">
        <f aca="false">AC26</f>
        <v>0</v>
      </c>
      <c r="AD134" s="21" t="n">
        <f aca="false">AD26</f>
        <v>0</v>
      </c>
      <c r="AE134" s="21" t="n">
        <f aca="false">AE26</f>
        <v>0</v>
      </c>
      <c r="AF134" s="21" t="n">
        <f aca="false">AF26</f>
        <v>0</v>
      </c>
      <c r="AG134" s="21" t="n">
        <f aca="false">AG26</f>
        <v>0</v>
      </c>
      <c r="AH134" s="21" t="n">
        <f aca="false">AH26</f>
        <v>0</v>
      </c>
      <c r="AI134" s="21" t="n">
        <f aca="false">AI26</f>
        <v>0</v>
      </c>
      <c r="AJ134" s="21" t="n">
        <f aca="false">AJ26</f>
        <v>0</v>
      </c>
      <c r="AK134" s="21" t="n">
        <f aca="false">AK26</f>
        <v>0</v>
      </c>
      <c r="AL134" s="21" t="n">
        <f aca="false">AL26</f>
        <v>0</v>
      </c>
    </row>
    <row r="135" customFormat="false" ht="15" hidden="false" customHeight="false" outlineLevel="0" collapsed="false">
      <c r="C135" s="14" t="s">
        <v>613</v>
      </c>
      <c r="E135" s="21" t="n">
        <f aca="false">SUM(H135:AL135)</f>
        <v>10716324.3918279</v>
      </c>
      <c r="F135" s="95"/>
      <c r="G135" s="151" t="s">
        <v>112</v>
      </c>
      <c r="H135" s="21" t="n">
        <f aca="false">H31</f>
        <v>816000</v>
      </c>
      <c r="I135" s="21" t="n">
        <f aca="false">I31</f>
        <v>1331712</v>
      </c>
      <c r="J135" s="21" t="n">
        <f aca="false">J31</f>
        <v>1358346.24</v>
      </c>
      <c r="K135" s="21" t="n">
        <f aca="false">K31</f>
        <v>1385513.1648</v>
      </c>
      <c r="L135" s="21" t="n">
        <f aca="false">L31</f>
        <v>1413223.428096</v>
      </c>
      <c r="M135" s="21" t="n">
        <f aca="false">M31</f>
        <v>1441487.89665792</v>
      </c>
      <c r="N135" s="21" t="n">
        <f aca="false">N31</f>
        <v>1470317.65459108</v>
      </c>
      <c r="O135" s="21" t="n">
        <f aca="false">O31</f>
        <v>1499724.0076829</v>
      </c>
      <c r="P135" s="21" t="n">
        <f aca="false">P31</f>
        <v>0</v>
      </c>
      <c r="Q135" s="21" t="n">
        <f aca="false">Q31</f>
        <v>0</v>
      </c>
      <c r="R135" s="21" t="n">
        <f aca="false">R31</f>
        <v>0</v>
      </c>
      <c r="S135" s="21" t="n">
        <f aca="false">S31</f>
        <v>0</v>
      </c>
      <c r="T135" s="21" t="n">
        <f aca="false">T31</f>
        <v>0</v>
      </c>
      <c r="U135" s="21" t="n">
        <f aca="false">U31</f>
        <v>0</v>
      </c>
      <c r="V135" s="21" t="n">
        <f aca="false">V31</f>
        <v>0</v>
      </c>
      <c r="W135" s="21" t="n">
        <f aca="false">W31</f>
        <v>0</v>
      </c>
      <c r="X135" s="21" t="n">
        <f aca="false">X31</f>
        <v>0</v>
      </c>
      <c r="Y135" s="21" t="n">
        <f aca="false">Y31</f>
        <v>0</v>
      </c>
      <c r="Z135" s="21" t="n">
        <f aca="false">Z31</f>
        <v>0</v>
      </c>
      <c r="AA135" s="21" t="n">
        <f aca="false">AA31</f>
        <v>0</v>
      </c>
      <c r="AB135" s="21" t="n">
        <f aca="false">AB31</f>
        <v>0</v>
      </c>
      <c r="AC135" s="21" t="n">
        <f aca="false">AC31</f>
        <v>0</v>
      </c>
      <c r="AD135" s="21" t="n">
        <f aca="false">AD31</f>
        <v>0</v>
      </c>
      <c r="AE135" s="21" t="n">
        <f aca="false">AE31</f>
        <v>0</v>
      </c>
      <c r="AF135" s="21" t="n">
        <f aca="false">AF31</f>
        <v>0</v>
      </c>
      <c r="AG135" s="21" t="n">
        <f aca="false">AG31</f>
        <v>0</v>
      </c>
      <c r="AH135" s="21" t="n">
        <f aca="false">AH31</f>
        <v>0</v>
      </c>
      <c r="AI135" s="21" t="n">
        <f aca="false">AI31</f>
        <v>0</v>
      </c>
      <c r="AJ135" s="21" t="n">
        <f aca="false">AJ31</f>
        <v>0</v>
      </c>
      <c r="AK135" s="21" t="n">
        <f aca="false">AK31</f>
        <v>0</v>
      </c>
      <c r="AL135" s="21" t="n">
        <f aca="false">AL31</f>
        <v>0</v>
      </c>
    </row>
    <row r="136" customFormat="false" ht="15" hidden="false" customHeight="false" outlineLevel="0" collapsed="false">
      <c r="C136" s="14" t="s">
        <v>591</v>
      </c>
      <c r="E136" s="21" t="n">
        <f aca="false">SUM(H136:AL136)</f>
        <v>5465325.43983223</v>
      </c>
      <c r="F136" s="95"/>
      <c r="G136" s="151" t="s">
        <v>112</v>
      </c>
      <c r="H136" s="21" t="n">
        <f aca="false">H38</f>
        <v>0</v>
      </c>
      <c r="I136" s="21" t="n">
        <f aca="false">I38</f>
        <v>416160</v>
      </c>
      <c r="J136" s="21" t="n">
        <f aca="false">J38</f>
        <v>679173.12</v>
      </c>
      <c r="K136" s="21" t="n">
        <f aca="false">K38</f>
        <v>692756.5824</v>
      </c>
      <c r="L136" s="21" t="n">
        <f aca="false">L38</f>
        <v>706611.714048</v>
      </c>
      <c r="M136" s="21" t="n">
        <f aca="false">M38</f>
        <v>720743.94832896</v>
      </c>
      <c r="N136" s="21" t="n">
        <f aca="false">N38</f>
        <v>735158.827295539</v>
      </c>
      <c r="O136" s="21" t="n">
        <f aca="false">O38</f>
        <v>749862.00384145</v>
      </c>
      <c r="P136" s="21" t="n">
        <f aca="false">P38</f>
        <v>764859.243918279</v>
      </c>
      <c r="Q136" s="21" t="n">
        <f aca="false">Q38</f>
        <v>0</v>
      </c>
      <c r="R136" s="21" t="n">
        <f aca="false">R38</f>
        <v>0</v>
      </c>
      <c r="S136" s="21" t="n">
        <f aca="false">S38</f>
        <v>0</v>
      </c>
      <c r="T136" s="21" t="n">
        <f aca="false">T38</f>
        <v>0</v>
      </c>
      <c r="U136" s="21" t="n">
        <f aca="false">U38</f>
        <v>0</v>
      </c>
      <c r="V136" s="21" t="n">
        <f aca="false">V38</f>
        <v>0</v>
      </c>
      <c r="W136" s="21" t="n">
        <f aca="false">W38</f>
        <v>0</v>
      </c>
      <c r="X136" s="21" t="n">
        <f aca="false">X38</f>
        <v>0</v>
      </c>
      <c r="Y136" s="21" t="n">
        <f aca="false">Y38</f>
        <v>0</v>
      </c>
      <c r="Z136" s="21" t="n">
        <f aca="false">Z38</f>
        <v>0</v>
      </c>
      <c r="AA136" s="21" t="n">
        <f aca="false">AA38</f>
        <v>0</v>
      </c>
      <c r="AB136" s="21" t="n">
        <f aca="false">AB38</f>
        <v>0</v>
      </c>
      <c r="AC136" s="21" t="n">
        <f aca="false">AC38</f>
        <v>0</v>
      </c>
      <c r="AD136" s="21" t="n">
        <f aca="false">AD38</f>
        <v>0</v>
      </c>
      <c r="AE136" s="21" t="n">
        <f aca="false">AE38</f>
        <v>0</v>
      </c>
      <c r="AF136" s="21" t="n">
        <f aca="false">AF38</f>
        <v>0</v>
      </c>
      <c r="AG136" s="21" t="n">
        <f aca="false">AG38</f>
        <v>0</v>
      </c>
      <c r="AH136" s="21" t="n">
        <f aca="false">AH38</f>
        <v>0</v>
      </c>
      <c r="AI136" s="21" t="n">
        <f aca="false">AI38</f>
        <v>0</v>
      </c>
      <c r="AJ136" s="21" t="n">
        <f aca="false">AJ38</f>
        <v>0</v>
      </c>
      <c r="AK136" s="21" t="n">
        <f aca="false">AK38</f>
        <v>0</v>
      </c>
      <c r="AL136" s="21" t="n">
        <f aca="false">AL38</f>
        <v>0</v>
      </c>
    </row>
    <row r="137" customFormat="false" ht="15" hidden="false" customHeight="false" outlineLevel="0" collapsed="false">
      <c r="C137" s="14" t="s">
        <v>614</v>
      </c>
      <c r="E137" s="21" t="n">
        <f aca="false">SUM(H137:AL137)</f>
        <v>3625378.26831156</v>
      </c>
      <c r="F137" s="95"/>
      <c r="G137" s="151" t="s">
        <v>112</v>
      </c>
      <c r="H137" s="21" t="n">
        <f aca="false">H56</f>
        <v>0</v>
      </c>
      <c r="I137" s="21" t="n">
        <f aca="false">I56</f>
        <v>0</v>
      </c>
      <c r="J137" s="21" t="n">
        <f aca="false">J56</f>
        <v>90202.68</v>
      </c>
      <c r="K137" s="21" t="n">
        <f aca="false">K56</f>
        <v>239217.50736</v>
      </c>
      <c r="L137" s="21" t="n">
        <f aca="false">L56</f>
        <v>394156.8467424</v>
      </c>
      <c r="M137" s="21" t="n">
        <f aca="false">M56</f>
        <v>459474.267059712</v>
      </c>
      <c r="N137" s="21" t="n">
        <f aca="false">N56</f>
        <v>468663.752400906</v>
      </c>
      <c r="O137" s="21" t="n">
        <f aca="false">O56</f>
        <v>478037.027448924</v>
      </c>
      <c r="P137" s="21" t="n">
        <f aca="false">P56</f>
        <v>487597.767997903</v>
      </c>
      <c r="Q137" s="21" t="n">
        <f aca="false">Q56</f>
        <v>497349.723357861</v>
      </c>
      <c r="R137" s="21" t="n">
        <f aca="false">R56</f>
        <v>338197.811883346</v>
      </c>
      <c r="S137" s="21" t="n">
        <f aca="false">S56</f>
        <v>172480.884060506</v>
      </c>
      <c r="T137" s="21" t="n">
        <f aca="false">T56</f>
        <v>0</v>
      </c>
      <c r="U137" s="21" t="n">
        <f aca="false">U56</f>
        <v>0</v>
      </c>
      <c r="V137" s="21" t="n">
        <f aca="false">V56</f>
        <v>0</v>
      </c>
      <c r="W137" s="21" t="n">
        <f aca="false">W56</f>
        <v>0</v>
      </c>
      <c r="X137" s="21" t="n">
        <f aca="false">X56</f>
        <v>0</v>
      </c>
      <c r="Y137" s="21" t="n">
        <f aca="false">Y56</f>
        <v>0</v>
      </c>
      <c r="Z137" s="21" t="n">
        <f aca="false">Z56</f>
        <v>0</v>
      </c>
      <c r="AA137" s="21" t="n">
        <f aca="false">AA56</f>
        <v>0</v>
      </c>
      <c r="AB137" s="21" t="n">
        <f aca="false">AB56</f>
        <v>0</v>
      </c>
      <c r="AC137" s="21" t="n">
        <f aca="false">AC56</f>
        <v>0</v>
      </c>
      <c r="AD137" s="21" t="n">
        <f aca="false">AD56</f>
        <v>0</v>
      </c>
      <c r="AE137" s="21" t="n">
        <f aca="false">AE56</f>
        <v>0</v>
      </c>
      <c r="AF137" s="21" t="n">
        <f aca="false">AF56</f>
        <v>0</v>
      </c>
      <c r="AG137" s="21" t="n">
        <f aca="false">AG56</f>
        <v>0</v>
      </c>
      <c r="AH137" s="21" t="n">
        <f aca="false">AH56</f>
        <v>0</v>
      </c>
      <c r="AI137" s="21" t="n">
        <f aca="false">AI56</f>
        <v>0</v>
      </c>
      <c r="AJ137" s="21" t="n">
        <f aca="false">AJ56</f>
        <v>0</v>
      </c>
      <c r="AK137" s="21" t="n">
        <f aca="false">AK56</f>
        <v>0</v>
      </c>
      <c r="AL137" s="21" t="n">
        <f aca="false">AL56</f>
        <v>0</v>
      </c>
    </row>
    <row r="138" customFormat="false" ht="15" hidden="false" customHeight="false" outlineLevel="0" collapsed="false">
      <c r="C138" s="14" t="s">
        <v>325</v>
      </c>
      <c r="E138" s="21" t="n">
        <f aca="false">SUM(H138:AL138)</f>
        <v>43560756.5174644</v>
      </c>
      <c r="F138" s="95"/>
      <c r="G138" s="151" t="s">
        <v>112</v>
      </c>
      <c r="H138" s="21" t="n">
        <f aca="false">SUM(H139:H143)</f>
        <v>396060</v>
      </c>
      <c r="I138" s="21" t="n">
        <f aca="false">SUM(I139:I143)</f>
        <v>674967.48</v>
      </c>
      <c r="J138" s="21" t="n">
        <f aca="false">SUM(J139:J143)</f>
        <v>701931.7446</v>
      </c>
      <c r="K138" s="21" t="n">
        <f aca="false">SUM(K139:K143)</f>
        <v>928306.66335</v>
      </c>
      <c r="L138" s="21" t="n">
        <f aca="false">SUM(L139:L143)</f>
        <v>1044410.7235047</v>
      </c>
      <c r="M138" s="21" t="n">
        <f aca="false">SUM(M139:M143)</f>
        <v>1074613.74288104</v>
      </c>
      <c r="N138" s="21" t="n">
        <f aca="false">SUM(N139:N143)</f>
        <v>1188547.55719968</v>
      </c>
      <c r="O138" s="21" t="n">
        <f aca="false">SUM(O139:O143)</f>
        <v>1215202.76859727</v>
      </c>
      <c r="P138" s="21" t="n">
        <f aca="false">SUM(P139:P143)</f>
        <v>1242433.29723549</v>
      </c>
      <c r="Q138" s="21" t="n">
        <f aca="false">SUM(Q139:Q143)</f>
        <v>1270252.76010979</v>
      </c>
      <c r="R138" s="21" t="n">
        <f aca="false">SUM(R139:R143)</f>
        <v>1298675.15208805</v>
      </c>
      <c r="S138" s="21" t="n">
        <f aca="false">SUM(S139:S143)</f>
        <v>1325674.85874468</v>
      </c>
      <c r="T138" s="21" t="n">
        <f aca="false">SUM(T139:T143)</f>
        <v>1353265.86971519</v>
      </c>
      <c r="U138" s="21" t="n">
        <f aca="false">SUM(U139:U143)</f>
        <v>1381462.57659488</v>
      </c>
      <c r="V138" s="21" t="n">
        <f aca="false">SUM(V139:V143)</f>
        <v>1410279.78708645</v>
      </c>
      <c r="W138" s="21" t="n">
        <f aca="false">SUM(W139:W143)</f>
        <v>1439732.73973582</v>
      </c>
      <c r="X138" s="21" t="n">
        <f aca="false">SUM(X139:X143)</f>
        <v>1469837.11928357</v>
      </c>
      <c r="Y138" s="21" t="n">
        <f aca="false">SUM(Y139:Y143)</f>
        <v>1500609.07265992</v>
      </c>
      <c r="Z138" s="21" t="n">
        <f aca="false">SUM(Z139:Z143)</f>
        <v>1532065.22565333</v>
      </c>
      <c r="AA138" s="21" t="n">
        <f aca="false">SUM(AA139:AA143)</f>
        <v>1564222.70028362</v>
      </c>
      <c r="AB138" s="21" t="n">
        <f aca="false">SUM(AB139:AB143)</f>
        <v>1597099.13291238</v>
      </c>
      <c r="AC138" s="21" t="n">
        <f aca="false">SUM(AC139:AC143)</f>
        <v>1630712.69312487</v>
      </c>
      <c r="AD138" s="21" t="n">
        <f aca="false">SUM(AD139:AD143)</f>
        <v>1665082.10341932</v>
      </c>
      <c r="AE138" s="21" t="n">
        <f aca="false">SUM(AE139:AE143)</f>
        <v>1700226.65974126</v>
      </c>
      <c r="AF138" s="21" t="n">
        <f aca="false">SUM(AF139:AF143)</f>
        <v>1736166.25290231</v>
      </c>
      <c r="AG138" s="21" t="n">
        <f aca="false">SUM(AG139:AG143)</f>
        <v>1772921.3909249</v>
      </c>
      <c r="AH138" s="21" t="n">
        <f aca="false">SUM(AH139:AH143)</f>
        <v>1810513.22235616</v>
      </c>
      <c r="AI138" s="21" t="n">
        <f aca="false">SUM(AI139:AI143)</f>
        <v>1848963.56059669</v>
      </c>
      <c r="AJ138" s="21" t="n">
        <f aca="false">SUM(AJ139:AJ143)</f>
        <v>1888294.9092917</v>
      </c>
      <c r="AK138" s="21" t="n">
        <f aca="false">SUM(AK139:AK143)</f>
        <v>1928530.48883476</v>
      </c>
      <c r="AL138" s="21" t="n">
        <f aca="false">SUM(AL139:AL143)</f>
        <v>1969694.26403655</v>
      </c>
    </row>
    <row r="139" customFormat="false" ht="15" hidden="false" customHeight="false" outlineLevel="0" collapsed="false">
      <c r="C139" s="396" t="s">
        <v>326</v>
      </c>
      <c r="D139" s="30"/>
      <c r="E139" s="397" t="n">
        <f aca="false">SUM(H139:AL139)</f>
        <v>19918109.3388324</v>
      </c>
      <c r="F139" s="398"/>
      <c r="G139" s="151" t="s">
        <v>112</v>
      </c>
      <c r="H139" s="397" t="n">
        <f aca="false">H99</f>
        <v>360060</v>
      </c>
      <c r="I139" s="397" t="n">
        <f aca="false">I99</f>
        <v>333448.2</v>
      </c>
      <c r="J139" s="397" t="n">
        <f aca="false">J99</f>
        <v>340117.164</v>
      </c>
      <c r="K139" s="397" t="n">
        <f aca="false">K99</f>
        <v>346919.50728</v>
      </c>
      <c r="L139" s="397" t="n">
        <f aca="false">L99</f>
        <v>443288.4424848</v>
      </c>
      <c r="M139" s="397" t="n">
        <f aca="false">M99</f>
        <v>452154.211334496</v>
      </c>
      <c r="N139" s="397" t="n">
        <f aca="false">N99</f>
        <v>550794.77763783</v>
      </c>
      <c r="O139" s="397" t="n">
        <f aca="false">O99</f>
        <v>561810.673190586</v>
      </c>
      <c r="P139" s="397" t="n">
        <f aca="false">P99</f>
        <v>573046.886654398</v>
      </c>
      <c r="Q139" s="397" t="n">
        <f aca="false">Q99</f>
        <v>584507.824387486</v>
      </c>
      <c r="R139" s="397" t="n">
        <f aca="false">R99</f>
        <v>596197.980875236</v>
      </c>
      <c r="S139" s="397" t="n">
        <f aca="false">S99</f>
        <v>608121.940492741</v>
      </c>
      <c r="T139" s="397" t="n">
        <f aca="false">T99</f>
        <v>620284.379302595</v>
      </c>
      <c r="U139" s="397" t="n">
        <f aca="false">U99</f>
        <v>632690.066888647</v>
      </c>
      <c r="V139" s="397" t="n">
        <f aca="false">V99</f>
        <v>645343.86822642</v>
      </c>
      <c r="W139" s="397" t="n">
        <f aca="false">W99</f>
        <v>658250.745590949</v>
      </c>
      <c r="X139" s="397" t="n">
        <f aca="false">X99</f>
        <v>671415.760502768</v>
      </c>
      <c r="Y139" s="397" t="n">
        <f aca="false">Y99</f>
        <v>684844.075712823</v>
      </c>
      <c r="Z139" s="397" t="n">
        <f aca="false">Z99</f>
        <v>698540.95722708</v>
      </c>
      <c r="AA139" s="397" t="n">
        <f aca="false">AA99</f>
        <v>712511.776371621</v>
      </c>
      <c r="AB139" s="397" t="n">
        <f aca="false">AB99</f>
        <v>726762.011899054</v>
      </c>
      <c r="AC139" s="397" t="n">
        <f aca="false">AC99</f>
        <v>741297.252137035</v>
      </c>
      <c r="AD139" s="397" t="n">
        <f aca="false">AD99</f>
        <v>756123.197179776</v>
      </c>
      <c r="AE139" s="397" t="n">
        <f aca="false">AE99</f>
        <v>771245.661123371</v>
      </c>
      <c r="AF139" s="397" t="n">
        <f aca="false">AF99</f>
        <v>786670.574345838</v>
      </c>
      <c r="AG139" s="397" t="n">
        <f aca="false">AG99</f>
        <v>802403.985832755</v>
      </c>
      <c r="AH139" s="397" t="n">
        <f aca="false">AH99</f>
        <v>818452.06554941</v>
      </c>
      <c r="AI139" s="397" t="n">
        <f aca="false">AI99</f>
        <v>834821.106860399</v>
      </c>
      <c r="AJ139" s="397" t="n">
        <f aca="false">AJ99</f>
        <v>851517.528997607</v>
      </c>
      <c r="AK139" s="397" t="n">
        <f aca="false">AK99</f>
        <v>868547.879577559</v>
      </c>
      <c r="AL139" s="397" t="n">
        <f aca="false">AL99</f>
        <v>885918.83716911</v>
      </c>
    </row>
    <row r="140" customFormat="false" ht="15" hidden="false" customHeight="false" outlineLevel="0" collapsed="false">
      <c r="C140" s="396" t="s">
        <v>615</v>
      </c>
      <c r="D140" s="30"/>
      <c r="E140" s="397" t="n">
        <f aca="false">SUM(H140:AL140)</f>
        <v>20042014.2132499</v>
      </c>
      <c r="F140" s="398"/>
      <c r="G140" s="151" t="s">
        <v>112</v>
      </c>
      <c r="H140" s="397" t="n">
        <f aca="false">H104</f>
        <v>0</v>
      </c>
      <c r="I140" s="397" t="n">
        <f aca="false">I104</f>
        <v>302444.28</v>
      </c>
      <c r="J140" s="397" t="n">
        <f aca="false">J104</f>
        <v>308493.1656</v>
      </c>
      <c r="K140" s="397" t="n">
        <f aca="false">K104</f>
        <v>524438.38152</v>
      </c>
      <c r="L140" s="397" t="n">
        <f aca="false">L104</f>
        <v>534927.1491504</v>
      </c>
      <c r="M140" s="397" t="n">
        <f aca="false">M104</f>
        <v>545625.692133408</v>
      </c>
      <c r="N140" s="397" t="n">
        <f aca="false">N104</f>
        <v>556538.205976076</v>
      </c>
      <c r="O140" s="397" t="n">
        <f aca="false">O104</f>
        <v>567668.970095598</v>
      </c>
      <c r="P140" s="397" t="n">
        <f aca="false">P104</f>
        <v>579022.34949751</v>
      </c>
      <c r="Q140" s="397" t="n">
        <f aca="false">Q104</f>
        <v>590602.79648746</v>
      </c>
      <c r="R140" s="397" t="n">
        <f aca="false">R104</f>
        <v>602414.852417209</v>
      </c>
      <c r="S140" s="397" t="n">
        <f aca="false">S104</f>
        <v>614463.149465553</v>
      </c>
      <c r="T140" s="397" t="n">
        <f aca="false">T104</f>
        <v>626752.412454864</v>
      </c>
      <c r="U140" s="397" t="n">
        <f aca="false">U104</f>
        <v>639287.460703962</v>
      </c>
      <c r="V140" s="397" t="n">
        <f aca="false">V104</f>
        <v>652073.209918041</v>
      </c>
      <c r="W140" s="397" t="n">
        <f aca="false">W104</f>
        <v>665114.674116402</v>
      </c>
      <c r="X140" s="397" t="n">
        <f aca="false">X104</f>
        <v>678416.96759873</v>
      </c>
      <c r="Y140" s="397" t="n">
        <f aca="false">Y104</f>
        <v>691985.306950704</v>
      </c>
      <c r="Z140" s="397" t="n">
        <f aca="false">Z104</f>
        <v>705825.013089718</v>
      </c>
      <c r="AA140" s="397" t="n">
        <f aca="false">AA104</f>
        <v>719941.513351513</v>
      </c>
      <c r="AB140" s="397" t="n">
        <f aca="false">AB104</f>
        <v>734340.343618543</v>
      </c>
      <c r="AC140" s="397" t="n">
        <f aca="false">AC104</f>
        <v>749027.150490914</v>
      </c>
      <c r="AD140" s="397" t="n">
        <f aca="false">AD104</f>
        <v>764007.693500732</v>
      </c>
      <c r="AE140" s="397" t="n">
        <f aca="false">AE104</f>
        <v>779287.847370747</v>
      </c>
      <c r="AF140" s="397" t="n">
        <f aca="false">AF104</f>
        <v>794873.604318162</v>
      </c>
      <c r="AG140" s="397" t="n">
        <f aca="false">AG104</f>
        <v>810771.076404525</v>
      </c>
      <c r="AH140" s="397" t="n">
        <f aca="false">AH104</f>
        <v>826986.497932615</v>
      </c>
      <c r="AI140" s="397" t="n">
        <f aca="false">AI104</f>
        <v>843526.227891268</v>
      </c>
      <c r="AJ140" s="397" t="n">
        <f aca="false">AJ104</f>
        <v>860396.752449093</v>
      </c>
      <c r="AK140" s="397" t="n">
        <f aca="false">AK104</f>
        <v>877604.687498075</v>
      </c>
      <c r="AL140" s="397" t="n">
        <f aca="false">AL104</f>
        <v>895156.781248036</v>
      </c>
    </row>
    <row r="141" customFormat="false" ht="15" hidden="false" customHeight="false" outlineLevel="0" collapsed="false">
      <c r="C141" s="396" t="s">
        <v>353</v>
      </c>
      <c r="D141" s="30"/>
      <c r="E141" s="397" t="n">
        <f aca="false">SUM(H141:AL141)</f>
        <v>1446204.52337894</v>
      </c>
      <c r="F141" s="398"/>
      <c r="G141" s="151" t="s">
        <v>112</v>
      </c>
      <c r="H141" s="397" t="n">
        <f aca="false">H109</f>
        <v>10500</v>
      </c>
      <c r="I141" s="397" t="n">
        <f aca="false">I109</f>
        <v>11025</v>
      </c>
      <c r="J141" s="397" t="n">
        <f aca="false">J109</f>
        <v>17364.375</v>
      </c>
      <c r="K141" s="397" t="n">
        <f aca="false">K109</f>
        <v>18232.59375</v>
      </c>
      <c r="L141" s="397" t="n">
        <f aca="false">L109</f>
        <v>19144.2234375</v>
      </c>
      <c r="M141" s="397" t="n">
        <f aca="false">M109</f>
        <v>26801.9128125</v>
      </c>
      <c r="N141" s="397" t="n">
        <f aca="false">N109</f>
        <v>28142.008453125</v>
      </c>
      <c r="O141" s="397" t="n">
        <f aca="false">O109</f>
        <v>29549.1088757813</v>
      </c>
      <c r="P141" s="397" t="n">
        <f aca="false">P109</f>
        <v>31026.5643195703</v>
      </c>
      <c r="Q141" s="397" t="n">
        <f aca="false">Q109</f>
        <v>32577.8925355488</v>
      </c>
      <c r="R141" s="397" t="n">
        <f aca="false">R109</f>
        <v>34206.7871623263</v>
      </c>
      <c r="S141" s="397" t="n">
        <f aca="false">S109</f>
        <v>35917.1265204426</v>
      </c>
      <c r="T141" s="397" t="n">
        <f aca="false">T109</f>
        <v>37712.9828464647</v>
      </c>
      <c r="U141" s="397" t="n">
        <f aca="false">U109</f>
        <v>39598.631988788</v>
      </c>
      <c r="V141" s="397" t="n">
        <f aca="false">V109</f>
        <v>41578.5635882274</v>
      </c>
      <c r="W141" s="397" t="n">
        <f aca="false">W109</f>
        <v>43657.4917676387</v>
      </c>
      <c r="X141" s="397" t="n">
        <f aca="false">X109</f>
        <v>45840.3663560207</v>
      </c>
      <c r="Y141" s="397" t="n">
        <f aca="false">Y109</f>
        <v>48132.3846738217</v>
      </c>
      <c r="Z141" s="397" t="n">
        <f aca="false">Z109</f>
        <v>50539.0039075128</v>
      </c>
      <c r="AA141" s="397" t="n">
        <f aca="false">AA109</f>
        <v>53065.9541028884</v>
      </c>
      <c r="AB141" s="397" t="n">
        <f aca="false">AB109</f>
        <v>55719.2518080329</v>
      </c>
      <c r="AC141" s="397" t="n">
        <f aca="false">AC109</f>
        <v>58505.2143984345</v>
      </c>
      <c r="AD141" s="397" t="n">
        <f aca="false">AD109</f>
        <v>61430.4751183563</v>
      </c>
      <c r="AE141" s="397" t="n">
        <f aca="false">AE109</f>
        <v>64501.9988742741</v>
      </c>
      <c r="AF141" s="397" t="n">
        <f aca="false">AF109</f>
        <v>67727.0988179878</v>
      </c>
      <c r="AG141" s="397" t="n">
        <f aca="false">AG109</f>
        <v>71113.4537588872</v>
      </c>
      <c r="AH141" s="397" t="n">
        <f aca="false">AH109</f>
        <v>74669.1264468315</v>
      </c>
      <c r="AI141" s="397" t="n">
        <f aca="false">AI109</f>
        <v>78402.5827691731</v>
      </c>
      <c r="AJ141" s="397" t="n">
        <f aca="false">AJ109</f>
        <v>82322.7119076318</v>
      </c>
      <c r="AK141" s="397" t="n">
        <f aca="false">AK109</f>
        <v>86438.8475030134</v>
      </c>
      <c r="AL141" s="397" t="n">
        <f aca="false">AL109</f>
        <v>90760.789878164</v>
      </c>
    </row>
    <row r="142" customFormat="false" ht="15" hidden="false" customHeight="false" outlineLevel="0" collapsed="false">
      <c r="C142" s="396" t="s">
        <v>361</v>
      </c>
      <c r="D142" s="30"/>
      <c r="E142" s="397" t="n">
        <f aca="false">SUM(H142:AL142)</f>
        <v>888939.754651529</v>
      </c>
      <c r="F142" s="398"/>
      <c r="G142" s="151" t="s">
        <v>112</v>
      </c>
      <c r="H142" s="397" t="n">
        <f aca="false">H113</f>
        <v>5100</v>
      </c>
      <c r="I142" s="397" t="n">
        <f aca="false">I113</f>
        <v>7242</v>
      </c>
      <c r="J142" s="397" t="n">
        <f aca="false">J113</f>
        <v>9426.84</v>
      </c>
      <c r="K142" s="397" t="n">
        <f aca="false">K113</f>
        <v>11655.3768</v>
      </c>
      <c r="L142" s="397" t="n">
        <f aca="false">L113</f>
        <v>13928.484336</v>
      </c>
      <c r="M142" s="397" t="n">
        <f aca="false">M113</f>
        <v>16247.05402272</v>
      </c>
      <c r="N142" s="397" t="n">
        <f aca="false">N113</f>
        <v>18611.9951031744</v>
      </c>
      <c r="O142" s="397" t="n">
        <f aca="false">O113</f>
        <v>21024.2350052379</v>
      </c>
      <c r="P142" s="397" t="n">
        <f aca="false">P113</f>
        <v>23484.7197053426</v>
      </c>
      <c r="Q142" s="397" t="n">
        <f aca="false">Q113</f>
        <v>25994.4140994495</v>
      </c>
      <c r="R142" s="397" t="n">
        <f aca="false">R113</f>
        <v>28554.3023814385</v>
      </c>
      <c r="S142" s="397" t="n">
        <f aca="false">S113</f>
        <v>29125.3884290673</v>
      </c>
      <c r="T142" s="397" t="n">
        <f aca="false">T113</f>
        <v>29707.8961976486</v>
      </c>
      <c r="U142" s="397" t="n">
        <f aca="false">U113</f>
        <v>30302.0541216016</v>
      </c>
      <c r="V142" s="397" t="n">
        <f aca="false">V113</f>
        <v>30908.0952040336</v>
      </c>
      <c r="W142" s="397" t="n">
        <f aca="false">W113</f>
        <v>31526.2571081143</v>
      </c>
      <c r="X142" s="397" t="n">
        <f aca="false">X113</f>
        <v>32156.7822502766</v>
      </c>
      <c r="Y142" s="397" t="n">
        <f aca="false">Y113</f>
        <v>32799.9178952821</v>
      </c>
      <c r="Z142" s="397" t="n">
        <f aca="false">Z113</f>
        <v>33455.9162531877</v>
      </c>
      <c r="AA142" s="397" t="n">
        <f aca="false">AA113</f>
        <v>34125.0345782515</v>
      </c>
      <c r="AB142" s="397" t="n">
        <f aca="false">AB113</f>
        <v>34807.5352698165</v>
      </c>
      <c r="AC142" s="397" t="n">
        <f aca="false">AC113</f>
        <v>35503.6859752129</v>
      </c>
      <c r="AD142" s="397" t="n">
        <f aca="false">AD113</f>
        <v>36213.7596947171</v>
      </c>
      <c r="AE142" s="397" t="n">
        <f aca="false">AE113</f>
        <v>36938.0348886115</v>
      </c>
      <c r="AF142" s="397" t="n">
        <f aca="false">AF113</f>
        <v>37676.7955863837</v>
      </c>
      <c r="AG142" s="397" t="n">
        <f aca="false">AG113</f>
        <v>38430.3314981114</v>
      </c>
      <c r="AH142" s="397" t="n">
        <f aca="false">AH113</f>
        <v>39198.9381280736</v>
      </c>
      <c r="AI142" s="397" t="n">
        <f aca="false">AI113</f>
        <v>39982.9168906351</v>
      </c>
      <c r="AJ142" s="397" t="n">
        <f aca="false">AJ113</f>
        <v>40782.5752284478</v>
      </c>
      <c r="AK142" s="397" t="n">
        <f aca="false">AK113</f>
        <v>41598.2267330167</v>
      </c>
      <c r="AL142" s="397" t="n">
        <f aca="false">AL113</f>
        <v>42430.1912676771</v>
      </c>
    </row>
    <row r="143" customFormat="false" ht="15" hidden="false" customHeight="false" outlineLevel="0" collapsed="false">
      <c r="C143" s="396" t="s">
        <v>364</v>
      </c>
      <c r="D143" s="30"/>
      <c r="E143" s="397" t="n">
        <f aca="false">SUM(H143:AL143)</f>
        <v>1265488.68735169</v>
      </c>
      <c r="F143" s="398"/>
      <c r="G143" s="151" t="s">
        <v>112</v>
      </c>
      <c r="H143" s="397" t="n">
        <f aca="false">H117</f>
        <v>20400</v>
      </c>
      <c r="I143" s="397" t="n">
        <f aca="false">I117</f>
        <v>20808</v>
      </c>
      <c r="J143" s="397" t="n">
        <f aca="false">J117</f>
        <v>26530.2</v>
      </c>
      <c r="K143" s="397" t="n">
        <f aca="false">K117</f>
        <v>27060.804</v>
      </c>
      <c r="L143" s="397" t="n">
        <f aca="false">L117</f>
        <v>33122.424096</v>
      </c>
      <c r="M143" s="397" t="n">
        <f aca="false">M117</f>
        <v>33784.87257792</v>
      </c>
      <c r="N143" s="397" t="n">
        <f aca="false">N117</f>
        <v>34460.5700294784</v>
      </c>
      <c r="O143" s="397" t="n">
        <f aca="false">O117</f>
        <v>35149.781430068</v>
      </c>
      <c r="P143" s="397" t="n">
        <f aca="false">P117</f>
        <v>35852.7770586693</v>
      </c>
      <c r="Q143" s="397" t="n">
        <f aca="false">Q117</f>
        <v>36569.8325998427</v>
      </c>
      <c r="R143" s="397" t="n">
        <f aca="false">R117</f>
        <v>37301.2292518396</v>
      </c>
      <c r="S143" s="397" t="n">
        <f aca="false">S117</f>
        <v>38047.2538368764</v>
      </c>
      <c r="T143" s="397" t="n">
        <f aca="false">T117</f>
        <v>38808.1989136139</v>
      </c>
      <c r="U143" s="397" t="n">
        <f aca="false">U117</f>
        <v>39584.3628918862</v>
      </c>
      <c r="V143" s="397" t="n">
        <f aca="false">V117</f>
        <v>40376.0501497239</v>
      </c>
      <c r="W143" s="397" t="n">
        <f aca="false">W117</f>
        <v>41183.5711527184</v>
      </c>
      <c r="X143" s="397" t="n">
        <f aca="false">X117</f>
        <v>42007.2425757727</v>
      </c>
      <c r="Y143" s="397" t="n">
        <f aca="false">Y117</f>
        <v>42847.3874272882</v>
      </c>
      <c r="Z143" s="397" t="n">
        <f aca="false">Z117</f>
        <v>43704.3351758339</v>
      </c>
      <c r="AA143" s="397" t="n">
        <f aca="false">AA117</f>
        <v>44578.4218793506</v>
      </c>
      <c r="AB143" s="397" t="n">
        <f aca="false">AB117</f>
        <v>45469.9903169376</v>
      </c>
      <c r="AC143" s="397" t="n">
        <f aca="false">AC117</f>
        <v>46379.3901232764</v>
      </c>
      <c r="AD143" s="397" t="n">
        <f aca="false">AD117</f>
        <v>47306.9779257419</v>
      </c>
      <c r="AE143" s="397" t="n">
        <f aca="false">AE117</f>
        <v>48253.1174842568</v>
      </c>
      <c r="AF143" s="397" t="n">
        <f aca="false">AF117</f>
        <v>49218.1798339419</v>
      </c>
      <c r="AG143" s="397" t="n">
        <f aca="false">AG117</f>
        <v>50202.5434306207</v>
      </c>
      <c r="AH143" s="397" t="n">
        <f aca="false">AH117</f>
        <v>51206.5942992331</v>
      </c>
      <c r="AI143" s="397" t="n">
        <f aca="false">AI117</f>
        <v>52230.7261852178</v>
      </c>
      <c r="AJ143" s="397" t="n">
        <f aca="false">AJ117</f>
        <v>53275.3407089222</v>
      </c>
      <c r="AK143" s="397" t="n">
        <f aca="false">AK117</f>
        <v>54340.8475231006</v>
      </c>
      <c r="AL143" s="397" t="n">
        <f aca="false">AL117</f>
        <v>55427.6644735626</v>
      </c>
    </row>
    <row r="144" customFormat="false" ht="15" hidden="false" customHeight="false" outlineLevel="0" collapsed="false">
      <c r="B144" s="56"/>
      <c r="C144" s="368" t="s">
        <v>616</v>
      </c>
      <c r="D144" s="56"/>
      <c r="E144" s="21" t="n">
        <f aca="false">SUM(H144:AL144)</f>
        <v>7261954.46427621</v>
      </c>
      <c r="F144" s="399"/>
      <c r="G144" s="393" t="s">
        <v>112</v>
      </c>
      <c r="H144" s="58" t="n">
        <f aca="false">H125+H130</f>
        <v>364670</v>
      </c>
      <c r="I144" s="58" t="n">
        <f aca="false">I125+I130</f>
        <v>49894.2</v>
      </c>
      <c r="J144" s="58" t="n">
        <f aca="false">J125+J130</f>
        <v>91166.85</v>
      </c>
      <c r="K144" s="58" t="n">
        <f aca="false">K125+K130</f>
        <v>93337.4745</v>
      </c>
      <c r="L144" s="58" t="n">
        <f aca="false">L125+L130</f>
        <v>152235.77724</v>
      </c>
      <c r="M144" s="58" t="n">
        <f aca="false">M125+M130</f>
        <v>97863.13785105</v>
      </c>
      <c r="N144" s="58" t="n">
        <f aca="false">N125+N130</f>
        <v>162697.688066196</v>
      </c>
      <c r="O144" s="58" t="n">
        <f aca="false">O125+O130</f>
        <v>168248.029717295</v>
      </c>
      <c r="P144" s="58" t="n">
        <f aca="false">P125+P130</f>
        <v>174024.197595905</v>
      </c>
      <c r="Q144" s="58" t="n">
        <f aca="false">Q125+Q130</f>
        <v>180036.4491963</v>
      </c>
      <c r="R144" s="58" t="n">
        <f aca="false">R125+R130</f>
        <v>186295.534211126</v>
      </c>
      <c r="S144" s="58" t="n">
        <f aca="false">S125+S130</f>
        <v>192812.718727795</v>
      </c>
      <c r="T144" s="58" t="n">
        <f aca="false">T125+T130</f>
        <v>199599.810626419</v>
      </c>
      <c r="U144" s="58" t="n">
        <f aca="false">U125+U130</f>
        <v>206669.186239219</v>
      </c>
      <c r="V144" s="58" t="n">
        <f aca="false">V125+V130</f>
        <v>214033.818334288</v>
      </c>
      <c r="W144" s="58" t="n">
        <f aca="false">W125+W130</f>
        <v>221707.305489773</v>
      </c>
      <c r="X144" s="58" t="n">
        <f aca="false">X125+X130</f>
        <v>229703.902927808</v>
      </c>
      <c r="Y144" s="58" t="n">
        <f aca="false">Y125+Y130</f>
        <v>238038.554881016</v>
      </c>
      <c r="Z144" s="58" t="n">
        <f aca="false">Z125+Z130</f>
        <v>246726.92856802</v>
      </c>
      <c r="AA144" s="58" t="n">
        <f aca="false">AA125+AA130</f>
        <v>255785.449858233</v>
      </c>
      <c r="AB144" s="58" t="n">
        <f aca="false">AB125+AB130</f>
        <v>265231.340710194</v>
      </c>
      <c r="AC144" s="58" t="n">
        <f aca="false">AC125+AC130</f>
        <v>275082.658471933</v>
      </c>
      <c r="AD144" s="58" t="n">
        <f aca="false">AD125+AD130</f>
        <v>285358.337136284</v>
      </c>
      <c r="AE144" s="58" t="n">
        <f aca="false">AE125+AE130</f>
        <v>296078.230648667</v>
      </c>
      <c r="AF144" s="58" t="n">
        <f aca="false">AF125+AF130</f>
        <v>307263.158369781</v>
      </c>
      <c r="AG144" s="58" t="n">
        <f aca="false">AG125+AG130</f>
        <v>318934.952800725</v>
      </c>
      <c r="AH144" s="58" t="n">
        <f aca="false">AH125+AH130</f>
        <v>331116.509683465</v>
      </c>
      <c r="AI144" s="58" t="n">
        <f aca="false">AI125+AI130</f>
        <v>343831.840595195</v>
      </c>
      <c r="AJ144" s="58" t="n">
        <f aca="false">AJ125+AJ130</f>
        <v>357106.128161064</v>
      </c>
      <c r="AK144" s="58" t="n">
        <f aca="false">AK125+AK130</f>
        <v>370965.784015948</v>
      </c>
      <c r="AL144" s="58" t="n">
        <f aca="false">AL125+AL130</f>
        <v>385438.509652513</v>
      </c>
    </row>
    <row r="145" customFormat="false" ht="15" hidden="false" customHeight="false" outlineLevel="0" collapsed="false">
      <c r="B145" s="13" t="s">
        <v>617</v>
      </c>
      <c r="E145" s="265" t="n">
        <f aca="false">SUM(H145:AL145)</f>
        <v>71731731.1442123</v>
      </c>
      <c r="G145" s="367" t="s">
        <v>112</v>
      </c>
      <c r="H145" s="60" t="n">
        <f aca="false">SUM(H134:H138,H144)</f>
        <v>2122270.625</v>
      </c>
      <c r="I145" s="60" t="n">
        <f aca="false">SUM(I134:I138,I144)</f>
        <v>3029185.1175</v>
      </c>
      <c r="J145" s="60" t="n">
        <f aca="false">SUM(J134:J138,J144)</f>
        <v>2920820.6346</v>
      </c>
      <c r="K145" s="60" t="n">
        <f aca="false">SUM(K134:K138,K144)</f>
        <v>3339131.39241</v>
      </c>
      <c r="L145" s="60" t="n">
        <f aca="false">SUM(L134:L138,L144)</f>
        <v>3710638.4896311</v>
      </c>
      <c r="M145" s="60" t="n">
        <f aca="false">SUM(M134:M138,M144)</f>
        <v>3794182.99277869</v>
      </c>
      <c r="N145" s="60" t="n">
        <f aca="false">SUM(N134:N138,N144)</f>
        <v>4025385.4795534</v>
      </c>
      <c r="O145" s="60" t="n">
        <f aca="false">SUM(O134:O138,O144)</f>
        <v>4111073.83728784</v>
      </c>
      <c r="P145" s="60" t="n">
        <f aca="false">SUM(P134:P138,P144)</f>
        <v>2668914.50674758</v>
      </c>
      <c r="Q145" s="60" t="n">
        <f aca="false">SUM(Q134:Q138,Q144)</f>
        <v>1947638.93266395</v>
      </c>
      <c r="R145" s="60" t="n">
        <f aca="false">SUM(R134:R138,R144)</f>
        <v>1823168.49818252</v>
      </c>
      <c r="S145" s="60" t="n">
        <f aca="false">SUM(S134:S138,S144)</f>
        <v>1690968.46153298</v>
      </c>
      <c r="T145" s="60" t="n">
        <f aca="false">SUM(T134:T138,T144)</f>
        <v>1552865.68034161</v>
      </c>
      <c r="U145" s="60" t="n">
        <f aca="false">SUM(U134:U138,U144)</f>
        <v>1588131.7628341</v>
      </c>
      <c r="V145" s="60" t="n">
        <f aca="false">SUM(V134:V138,V144)</f>
        <v>1624313.60542073</v>
      </c>
      <c r="W145" s="60" t="n">
        <f aca="false">SUM(W134:W138,W144)</f>
        <v>1661440.04522559</v>
      </c>
      <c r="X145" s="60" t="n">
        <f aca="false">SUM(X134:X138,X144)</f>
        <v>1699541.02221138</v>
      </c>
      <c r="Y145" s="60" t="n">
        <f aca="false">SUM(Y134:Y138,Y144)</f>
        <v>1738647.62754093</v>
      </c>
      <c r="Z145" s="60" t="n">
        <f aca="false">SUM(Z134:Z138,Z144)</f>
        <v>1778792.15422135</v>
      </c>
      <c r="AA145" s="60" t="n">
        <f aca="false">SUM(AA134:AA138,AA144)</f>
        <v>1820008.15014186</v>
      </c>
      <c r="AB145" s="60" t="n">
        <f aca="false">SUM(AB134:AB138,AB144)</f>
        <v>1862330.47362258</v>
      </c>
      <c r="AC145" s="60" t="n">
        <f aca="false">SUM(AC134:AC138,AC144)</f>
        <v>1905795.35159681</v>
      </c>
      <c r="AD145" s="60" t="n">
        <f aca="false">SUM(AD134:AD138,AD144)</f>
        <v>1950440.44055561</v>
      </c>
      <c r="AE145" s="60" t="n">
        <f aca="false">SUM(AE134:AE138,AE144)</f>
        <v>1996304.89038993</v>
      </c>
      <c r="AF145" s="60" t="n">
        <f aca="false">SUM(AF134:AF138,AF144)</f>
        <v>2043429.41127209</v>
      </c>
      <c r="AG145" s="60" t="n">
        <f aca="false">SUM(AG134:AG138,AG144)</f>
        <v>2091856.34372562</v>
      </c>
      <c r="AH145" s="60" t="n">
        <f aca="false">SUM(AH134:AH138,AH144)</f>
        <v>2141629.73203963</v>
      </c>
      <c r="AI145" s="60" t="n">
        <f aca="false">SUM(AI134:AI138,AI144)</f>
        <v>2192795.40119189</v>
      </c>
      <c r="AJ145" s="60" t="n">
        <f aca="false">SUM(AJ134:AJ138,AJ144)</f>
        <v>2245401.03745277</v>
      </c>
      <c r="AK145" s="60" t="n">
        <f aca="false">SUM(AK134:AK138,AK144)</f>
        <v>2299496.27285071</v>
      </c>
      <c r="AL145" s="60" t="n">
        <f aca="false">SUM(AL134:AL138,AL144)</f>
        <v>2355132.77368906</v>
      </c>
    </row>
    <row r="147" customFormat="false" ht="15" hidden="false" customHeight="false" outlineLevel="0" collapsed="false">
      <c r="E147" s="400"/>
    </row>
    <row r="148" customFormat="false" ht="15" hidden="false" customHeight="false" outlineLevel="0" collapsed="false">
      <c r="E148" s="400"/>
    </row>
    <row r="149" customFormat="false" ht="15" hidden="false" customHeight="false" outlineLevel="0" collapsed="false">
      <c r="E149" s="400"/>
    </row>
    <row r="152" customFormat="false" ht="15" hidden="false" customHeight="false" outlineLevel="0" collapsed="false">
      <c r="H152" s="55"/>
      <c r="I152" s="55"/>
      <c r="J152" s="55"/>
      <c r="K152" s="55"/>
      <c r="L152" s="55"/>
      <c r="M152" s="55"/>
      <c r="N152" s="55"/>
    </row>
    <row r="153" customFormat="false" ht="15" hidden="false" customHeight="false" outlineLevel="0" collapsed="false">
      <c r="H153" s="55"/>
      <c r="I153" s="55"/>
      <c r="J153" s="55"/>
      <c r="K153" s="55"/>
      <c r="L153" s="55"/>
      <c r="M153" s="55"/>
      <c r="N153" s="55"/>
    </row>
    <row r="154" customFormat="false" ht="15" hidden="false" customHeight="false" outlineLevel="0" collapsed="false">
      <c r="H154" s="55"/>
      <c r="I154" s="55"/>
      <c r="J154" s="55"/>
      <c r="K154" s="55"/>
      <c r="L154" s="55"/>
      <c r="M154" s="55"/>
      <c r="N154" s="55"/>
    </row>
    <row r="155" customFormat="false" ht="15" hidden="false" customHeight="false" outlineLevel="0" collapsed="false">
      <c r="H155" s="55"/>
      <c r="I155" s="55"/>
      <c r="J155" s="55"/>
      <c r="K155" s="55"/>
      <c r="L155" s="55"/>
      <c r="M155" s="55"/>
      <c r="N155" s="55"/>
    </row>
    <row r="156" customFormat="false" ht="15" hidden="false" customHeight="false" outlineLevel="0" collapsed="false">
      <c r="H156" s="55"/>
      <c r="I156" s="55"/>
      <c r="J156" s="55"/>
      <c r="K156" s="55"/>
      <c r="L156" s="55"/>
      <c r="M156" s="55"/>
      <c r="N156" s="55"/>
    </row>
    <row r="157" customFormat="false" ht="15" hidden="false" customHeight="false" outlineLevel="0" collapsed="false">
      <c r="H157" s="55"/>
      <c r="I157" s="55"/>
      <c r="J157" s="55"/>
      <c r="K157" s="55"/>
      <c r="L157" s="55"/>
      <c r="M157" s="55"/>
      <c r="N157" s="55"/>
    </row>
    <row r="158" customFormat="false" ht="15" hidden="false" customHeight="false" outlineLevel="0" collapsed="false">
      <c r="H158" s="55"/>
      <c r="I158" s="55"/>
      <c r="J158" s="55"/>
      <c r="K158" s="55"/>
      <c r="L158" s="55"/>
      <c r="M158" s="55"/>
      <c r="N158" s="55"/>
    </row>
    <row r="160" customFormat="false" ht="15" hidden="false" customHeight="false" outlineLevel="0" collapsed="false">
      <c r="H160" s="21"/>
      <c r="I160" s="21"/>
      <c r="J160" s="21"/>
      <c r="K160" s="21"/>
      <c r="L160" s="21"/>
      <c r="M160" s="21"/>
      <c r="N160" s="21"/>
    </row>
    <row r="161" customFormat="false" ht="15" hidden="false" customHeight="false" outlineLevel="0" collapsed="false">
      <c r="H161" s="21"/>
      <c r="I161" s="21"/>
      <c r="J161" s="21"/>
      <c r="K161" s="21"/>
      <c r="L161" s="21"/>
      <c r="M161" s="21"/>
      <c r="N161" s="21"/>
    </row>
    <row r="162" customFormat="false" ht="15" hidden="false" customHeight="false" outlineLevel="0" collapsed="false">
      <c r="H162" s="21"/>
      <c r="I162" s="21"/>
      <c r="J162" s="21"/>
      <c r="K162" s="21"/>
      <c r="L162" s="21"/>
      <c r="M162" s="21"/>
      <c r="N162"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161"/>
  <sheetViews>
    <sheetView showFormulas="false" showGridLines="false" showRowColHeaders="true" showZeros="true" rightToLeft="false" tabSelected="true" showOutlineSymbols="true" defaultGridColor="true" view="normal" topLeftCell="A1" colorId="64" zoomScale="70" zoomScaleNormal="70" zoomScalePageLayoutView="80" workbookViewId="0">
      <pane xSplit="3" ySplit="8" topLeftCell="G73" activePane="bottomRight" state="frozen"/>
      <selection pane="topLeft" activeCell="A1" activeCellId="0" sqref="A1"/>
      <selection pane="topRight" activeCell="G1" activeCellId="0" sqref="G1"/>
      <selection pane="bottomLeft" activeCell="A73" activeCellId="0" sqref="A73"/>
      <selection pane="bottomRight" activeCell="J73" activeCellId="0" sqref="J73"/>
    </sheetView>
  </sheetViews>
  <sheetFormatPr defaultColWidth="8.83203125" defaultRowHeight="15" zeroHeight="false" outlineLevelRow="1" outlineLevelCol="1"/>
  <cols>
    <col collapsed="false" customWidth="true" hidden="false" outlineLevel="0" max="2" min="1" style="0" width="3"/>
    <col collapsed="false" customWidth="true" hidden="false" outlineLevel="0" max="3" min="3" style="0" width="37.83"/>
    <col collapsed="false" customWidth="true" hidden="true" outlineLevel="1" max="4" min="4" style="0" width="28.5"/>
    <col collapsed="false" customWidth="true" hidden="true" outlineLevel="1" max="5" min="5" style="0" width="17.83"/>
    <col collapsed="false" customWidth="true" hidden="true" outlineLevel="1" max="6" min="6" style="0" width="13.67"/>
    <col collapsed="false" customWidth="true" hidden="false" outlineLevel="0" max="7" min="7" style="151" width="12"/>
    <col collapsed="false" customWidth="true" hidden="false" outlineLevel="0" max="11" min="8" style="0" width="12.5"/>
    <col collapsed="false" customWidth="true" hidden="false" outlineLevel="0" max="12" min="12" style="0" width="11.83"/>
    <col collapsed="false" customWidth="true" hidden="false" outlineLevel="0" max="17" min="13" style="0" width="13.16"/>
    <col collapsed="false" customWidth="true" hidden="true" outlineLevel="1" max="19" min="18" style="0" width="11.67"/>
    <col collapsed="false" customWidth="true" hidden="true" outlineLevel="1" max="33" min="20" style="0" width="11.5"/>
    <col collapsed="false" customWidth="true" hidden="true" outlineLevel="1" max="36" min="34" style="0" width="11.67"/>
    <col collapsed="false" customWidth="true" hidden="false" outlineLevel="0" max="38" min="37" style="0" width="12.33"/>
    <col collapsed="false" customWidth="true" hidden="false" outlineLevel="0" max="40" min="40" style="0" width="10.66"/>
  </cols>
  <sheetData>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557</v>
      </c>
      <c r="C5" s="6"/>
      <c r="D5" s="97"/>
      <c r="E5" s="6"/>
      <c r="F5" s="6"/>
      <c r="G5" s="152" t="s">
        <v>87</v>
      </c>
      <c r="H5" s="6" t="n">
        <f aca="false">'2. NPV'!H47</f>
        <v>2024</v>
      </c>
      <c r="I5" s="6" t="n">
        <f aca="false">'2. NPV'!I47</f>
        <v>2025</v>
      </c>
      <c r="J5" s="6" t="n">
        <f aca="false">'2. NPV'!J47</f>
        <v>2026</v>
      </c>
      <c r="K5" s="6" t="n">
        <f aca="false">'2. NPV'!K47</f>
        <v>2027</v>
      </c>
      <c r="L5" s="6" t="n">
        <f aca="false">'2. NPV'!L47</f>
        <v>2028</v>
      </c>
      <c r="M5" s="6" t="n">
        <f aca="false">'2. NPV'!M47</f>
        <v>2029</v>
      </c>
      <c r="N5" s="6" t="n">
        <f aca="false">'2. NPV'!N47</f>
        <v>2030</v>
      </c>
      <c r="O5" s="6" t="n">
        <f aca="false">'2. NPV'!O47</f>
        <v>2031</v>
      </c>
      <c r="P5" s="6" t="n">
        <f aca="false">'2. NPV'!P47</f>
        <v>2032</v>
      </c>
      <c r="Q5" s="6" t="n">
        <f aca="false">'2. NPV'!Q47</f>
        <v>2033</v>
      </c>
      <c r="R5" s="6" t="n">
        <f aca="false">'2. NPV'!R47</f>
        <v>2034</v>
      </c>
      <c r="S5" s="6" t="n">
        <f aca="false">'2. NPV'!S47</f>
        <v>2035</v>
      </c>
      <c r="T5" s="6" t="n">
        <f aca="false">'2. NPV'!T47</f>
        <v>2036</v>
      </c>
      <c r="U5" s="6" t="n">
        <f aca="false">'2. NPV'!U47</f>
        <v>2037</v>
      </c>
      <c r="V5" s="6" t="n">
        <f aca="false">'2. NPV'!V47</f>
        <v>2038</v>
      </c>
      <c r="W5" s="6" t="n">
        <f aca="false">'2. NPV'!W47</f>
        <v>2039</v>
      </c>
      <c r="X5" s="6" t="n">
        <f aca="false">'2. NPV'!X47</f>
        <v>2040</v>
      </c>
      <c r="Y5" s="6" t="n">
        <f aca="false">'2. NPV'!Y47</f>
        <v>2041</v>
      </c>
      <c r="Z5" s="6" t="n">
        <f aca="false">'2. NPV'!Z47</f>
        <v>2042</v>
      </c>
      <c r="AA5" s="6" t="n">
        <f aca="false">'2. NPV'!AA47</f>
        <v>2043</v>
      </c>
      <c r="AB5" s="6" t="n">
        <f aca="false">'2. NPV'!AB47</f>
        <v>2044</v>
      </c>
      <c r="AC5" s="6" t="n">
        <f aca="false">'2. NPV'!AC47</f>
        <v>2045</v>
      </c>
      <c r="AD5" s="6" t="n">
        <f aca="false">'2. NPV'!AD47</f>
        <v>2046</v>
      </c>
      <c r="AE5" s="6" t="n">
        <f aca="false">'2. NPV'!AE47</f>
        <v>2047</v>
      </c>
      <c r="AF5" s="6" t="n">
        <f aca="false">'2. NPV'!AF47</f>
        <v>2048</v>
      </c>
      <c r="AG5" s="6" t="n">
        <f aca="false">'2. NPV'!AG47</f>
        <v>2049</v>
      </c>
      <c r="AH5" s="6" t="n">
        <f aca="false">'2. NPV'!AH47</f>
        <v>2050</v>
      </c>
      <c r="AI5" s="6" t="n">
        <f aca="false">'2. NPV'!AI47</f>
        <v>2051</v>
      </c>
      <c r="AJ5" s="6" t="n">
        <f aca="false">'2. NPV'!AJ47</f>
        <v>2052</v>
      </c>
      <c r="AK5" s="6" t="n">
        <f aca="false">'2. NPV'!AK47</f>
        <v>2053</v>
      </c>
      <c r="AL5" s="6" t="n">
        <f aca="false">'2. NPV'!AL47</f>
        <v>2054</v>
      </c>
    </row>
    <row r="6" s="1" customFormat="true" ht="15" hidden="false" customHeight="false" outlineLevel="0" collapsed="false">
      <c r="B6" s="6" t="s">
        <v>618</v>
      </c>
      <c r="C6" s="6"/>
      <c r="D6" s="97"/>
      <c r="E6" s="6"/>
      <c r="F6" s="6"/>
      <c r="G6" s="152"/>
      <c r="H6" s="6" t="n">
        <f aca="false">Period_Start</f>
        <v>1</v>
      </c>
      <c r="I6" s="6" t="n">
        <f aca="false">H6+1</f>
        <v>2</v>
      </c>
      <c r="J6" s="6" t="n">
        <f aca="false">I6+1</f>
        <v>3</v>
      </c>
      <c r="K6" s="6" t="n">
        <f aca="false">J6+1</f>
        <v>4</v>
      </c>
      <c r="L6" s="6" t="n">
        <f aca="false">K6+1</f>
        <v>5</v>
      </c>
      <c r="M6" s="6" t="n">
        <f aca="false">L6+1</f>
        <v>6</v>
      </c>
      <c r="N6" s="6" t="n">
        <f aca="false">M6+1</f>
        <v>7</v>
      </c>
      <c r="O6" s="6" t="n">
        <f aca="false">N6+1</f>
        <v>8</v>
      </c>
      <c r="P6" s="6" t="n">
        <f aca="false">O6+1</f>
        <v>9</v>
      </c>
      <c r="Q6" s="6" t="n">
        <f aca="false">P6+1</f>
        <v>10</v>
      </c>
      <c r="R6" s="6" t="n">
        <f aca="false">Q6+1</f>
        <v>11</v>
      </c>
      <c r="S6" s="6" t="n">
        <f aca="false">R6+1</f>
        <v>12</v>
      </c>
      <c r="T6" s="6" t="n">
        <f aca="false">S6+1</f>
        <v>13</v>
      </c>
      <c r="U6" s="6" t="n">
        <f aca="false">T6+1</f>
        <v>14</v>
      </c>
      <c r="V6" s="6" t="n">
        <f aca="false">U6+1</f>
        <v>15</v>
      </c>
      <c r="W6" s="6" t="n">
        <f aca="false">V6+1</f>
        <v>16</v>
      </c>
      <c r="X6" s="6" t="n">
        <f aca="false">W6+1</f>
        <v>17</v>
      </c>
      <c r="Y6" s="6" t="n">
        <f aca="false">X6+1</f>
        <v>18</v>
      </c>
      <c r="Z6" s="6" t="n">
        <f aca="false">Y6+1</f>
        <v>19</v>
      </c>
      <c r="AA6" s="6" t="n">
        <f aca="false">Z6+1</f>
        <v>20</v>
      </c>
      <c r="AB6" s="6" t="n">
        <f aca="false">AA6+1</f>
        <v>21</v>
      </c>
      <c r="AC6" s="6" t="n">
        <f aca="false">AB6+1</f>
        <v>22</v>
      </c>
      <c r="AD6" s="6" t="n">
        <f aca="false">AC6+1</f>
        <v>23</v>
      </c>
      <c r="AE6" s="6" t="n">
        <f aca="false">AD6+1</f>
        <v>24</v>
      </c>
      <c r="AF6" s="6" t="n">
        <f aca="false">AE6+1</f>
        <v>25</v>
      </c>
      <c r="AG6" s="6" t="n">
        <f aca="false">AF6+1</f>
        <v>26</v>
      </c>
      <c r="AH6" s="6" t="n">
        <f aca="false">AG6+1</f>
        <v>27</v>
      </c>
      <c r="AI6" s="6" t="n">
        <f aca="false">AH6+1</f>
        <v>28</v>
      </c>
      <c r="AJ6" s="6" t="n">
        <f aca="false">AI6+1</f>
        <v>29</v>
      </c>
      <c r="AK6" s="6" t="n">
        <f aca="false">AJ6+1</f>
        <v>30</v>
      </c>
      <c r="AL6" s="6" t="n">
        <f aca="false">AK6+1</f>
        <v>31</v>
      </c>
    </row>
    <row r="7" s="162" customFormat="true" ht="15" hidden="false" customHeight="false" outlineLevel="0" collapsed="false">
      <c r="A7" s="0"/>
      <c r="B7" s="269"/>
      <c r="C7" s="269"/>
      <c r="D7" s="318"/>
      <c r="E7" s="269"/>
      <c r="F7" s="269"/>
      <c r="G7" s="35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XEQ7" s="0"/>
      <c r="XER7" s="0"/>
      <c r="XES7" s="0"/>
      <c r="XET7" s="0"/>
      <c r="XEU7" s="0"/>
      <c r="XEV7" s="0"/>
      <c r="XEW7" s="0"/>
      <c r="XEX7" s="0"/>
      <c r="XEY7" s="0"/>
      <c r="XEZ7" s="0"/>
      <c r="XFA7" s="0"/>
      <c r="XFB7" s="0"/>
      <c r="XFC7" s="0"/>
      <c r="XFD7" s="0"/>
    </row>
    <row r="8" s="162" customFormat="true" ht="15" hidden="false" customHeight="false" outlineLevel="0" collapsed="false">
      <c r="A8" s="0"/>
      <c r="B8" s="162" t="s">
        <v>559</v>
      </c>
      <c r="C8" s="269"/>
      <c r="D8" s="318"/>
      <c r="E8" s="124" t="n">
        <f aca="false">'1. Project Summary'!F15</f>
        <v>0.02</v>
      </c>
      <c r="F8" s="269"/>
      <c r="G8" s="340" t="s">
        <v>577</v>
      </c>
      <c r="H8" s="360" t="n">
        <f aca="false">(1+$E8)^H$6</f>
        <v>1.02</v>
      </c>
      <c r="I8" s="360" t="n">
        <f aca="false">(1+$E8)^I$6</f>
        <v>1.0404</v>
      </c>
      <c r="J8" s="360" t="n">
        <f aca="false">(1+$E8)^J$6</f>
        <v>1.061208</v>
      </c>
      <c r="K8" s="360" t="n">
        <f aca="false">(1+$E8)^K$6</f>
        <v>1.08243216</v>
      </c>
      <c r="L8" s="360" t="n">
        <f aca="false">(1+$E8)^L$6</f>
        <v>1.1040808032</v>
      </c>
      <c r="M8" s="360" t="n">
        <f aca="false">(1+$E8)^M$6</f>
        <v>1.126162419264</v>
      </c>
      <c r="N8" s="360" t="n">
        <f aca="false">(1+$E8)^N$6</f>
        <v>1.14868566764928</v>
      </c>
      <c r="O8" s="360" t="n">
        <f aca="false">(1+$E8)^O$6</f>
        <v>1.17165938100227</v>
      </c>
      <c r="P8" s="360" t="n">
        <f aca="false">(1+$E8)^P$6</f>
        <v>1.19509256862231</v>
      </c>
      <c r="Q8" s="360" t="n">
        <f aca="false">(1+$E8)^Q$6</f>
        <v>1.21899441999476</v>
      </c>
      <c r="R8" s="360" t="n">
        <f aca="false">(1+$E8)^R$6</f>
        <v>1.24337430839465</v>
      </c>
      <c r="S8" s="360" t="n">
        <f aca="false">(1+$E8)^S$6</f>
        <v>1.26824179456255</v>
      </c>
      <c r="T8" s="360" t="n">
        <f aca="false">(1+$E8)^T$6</f>
        <v>1.2936066304538</v>
      </c>
      <c r="U8" s="360" t="n">
        <f aca="false">(1+$E8)^U$6</f>
        <v>1.31947876306287</v>
      </c>
      <c r="V8" s="360" t="n">
        <f aca="false">(1+$E8)^V$6</f>
        <v>1.34586833832413</v>
      </c>
      <c r="W8" s="360" t="n">
        <f aca="false">(1+$E8)^W$6</f>
        <v>1.37278570509061</v>
      </c>
      <c r="X8" s="360" t="n">
        <f aca="false">(1+$E8)^X$6</f>
        <v>1.40024141919242</v>
      </c>
      <c r="Y8" s="360" t="n">
        <f aca="false">(1+$E8)^Y$6</f>
        <v>1.42824624757627</v>
      </c>
      <c r="Z8" s="360" t="n">
        <f aca="false">(1+$E8)^Z$6</f>
        <v>1.4568111725278</v>
      </c>
      <c r="AA8" s="360" t="n">
        <f aca="false">(1+$E8)^AA$6</f>
        <v>1.48594739597836</v>
      </c>
      <c r="AB8" s="360" t="n">
        <f aca="false">(1+$E8)^AB$6</f>
        <v>1.51566634389792</v>
      </c>
      <c r="AC8" s="360" t="n">
        <f aca="false">(1+$E8)^AC$6</f>
        <v>1.54597967077588</v>
      </c>
      <c r="AD8" s="360" t="n">
        <f aca="false">(1+$E8)^AD$6</f>
        <v>1.5768992641914</v>
      </c>
      <c r="AE8" s="360" t="n">
        <f aca="false">(1+$E8)^AE$6</f>
        <v>1.60843724947523</v>
      </c>
      <c r="AF8" s="360" t="n">
        <f aca="false">(1+$E8)^AF$6</f>
        <v>1.64060599446473</v>
      </c>
      <c r="AG8" s="360" t="n">
        <f aca="false">(1+$E8)^AG$6</f>
        <v>1.67341811435403</v>
      </c>
      <c r="AH8" s="360" t="n">
        <f aca="false">(1+$E8)^AH$6</f>
        <v>1.70688647664111</v>
      </c>
      <c r="AI8" s="360" t="n">
        <f aca="false">(1+$E8)^AI$6</f>
        <v>1.74102420617393</v>
      </c>
      <c r="AJ8" s="360" t="n">
        <f aca="false">(1+$E8)^AJ$6</f>
        <v>1.77584469029741</v>
      </c>
      <c r="AK8" s="360" t="n">
        <f aca="false">(1+$E8)^AK$6</f>
        <v>1.81136158410335</v>
      </c>
      <c r="AL8" s="360" t="n">
        <f aca="false">(1+$E8)^AL$6</f>
        <v>1.84758881578542</v>
      </c>
      <c r="XEQ8" s="0"/>
      <c r="XER8" s="0"/>
      <c r="XES8" s="0"/>
      <c r="XET8" s="0"/>
      <c r="XEU8" s="0"/>
      <c r="XEV8" s="0"/>
      <c r="XEW8" s="0"/>
      <c r="XEX8" s="0"/>
      <c r="XEY8" s="0"/>
      <c r="XEZ8" s="0"/>
      <c r="XFA8" s="0"/>
      <c r="XFB8" s="0"/>
      <c r="XFC8" s="0"/>
      <c r="XFD8" s="0"/>
    </row>
    <row r="9" customFormat="false" ht="15" hidden="false" customHeight="false" outlineLevel="0" collapsed="false">
      <c r="B9" s="317"/>
      <c r="C9" s="317"/>
      <c r="D9" s="361"/>
      <c r="E9" s="317"/>
      <c r="F9" s="317"/>
      <c r="G9" s="362"/>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row>
    <row r="10" customFormat="false" ht="15" hidden="false" customHeight="false" outlineLevel="0" collapsed="false">
      <c r="B10" s="401" t="s">
        <v>619</v>
      </c>
      <c r="C10" s="363"/>
      <c r="D10" s="364"/>
      <c r="E10" s="363"/>
      <c r="F10" s="363"/>
      <c r="G10" s="365"/>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row>
    <row r="11" customFormat="false" ht="15" hidden="false" customHeight="false" outlineLevel="1" collapsed="false"/>
    <row r="12" customFormat="false" ht="15" hidden="false" customHeight="false" outlineLevel="1" collapsed="false">
      <c r="B12" s="13" t="s">
        <v>620</v>
      </c>
    </row>
    <row r="13" customFormat="false" ht="15" hidden="false" customHeight="false" outlineLevel="1" collapsed="false">
      <c r="C13" s="0" t="s">
        <v>621</v>
      </c>
      <c r="H13" s="55" t="n">
        <f aca="false">'3. Assumptions'!F149</f>
        <v>0</v>
      </c>
      <c r="I13" s="55" t="n">
        <f aca="false">'3. Assumptions'!G149</f>
        <v>2</v>
      </c>
      <c r="J13" s="55" t="n">
        <f aca="false">'3. Assumptions'!H149</f>
        <v>2</v>
      </c>
      <c r="K13" s="55" t="n">
        <f aca="false">'3. Assumptions'!I149</f>
        <v>2</v>
      </c>
      <c r="L13" s="55" t="n">
        <f aca="false">'3. Assumptions'!J149</f>
        <v>2</v>
      </c>
      <c r="M13" s="55" t="n">
        <f aca="false">'3. Assumptions'!K149</f>
        <v>2</v>
      </c>
      <c r="N13" s="55" t="n">
        <f aca="false">'3. Assumptions'!L149</f>
        <v>2</v>
      </c>
      <c r="O13" s="55" t="n">
        <f aca="false">'3. Assumptions'!M149</f>
        <v>2</v>
      </c>
      <c r="P13" s="55" t="n">
        <f aca="false">'3. Assumptions'!N149</f>
        <v>2</v>
      </c>
      <c r="Q13" s="55" t="n">
        <f aca="false">'3. Assumptions'!O149</f>
        <v>2</v>
      </c>
      <c r="R13" s="55" t="n">
        <f aca="false">'3. Assumptions'!P149</f>
        <v>0</v>
      </c>
      <c r="S13" s="55" t="n">
        <f aca="false">'3. Assumptions'!Q149</f>
        <v>0</v>
      </c>
      <c r="T13" s="55" t="n">
        <f aca="false">'3. Assumptions'!R149</f>
        <v>0</v>
      </c>
      <c r="U13" s="55" t="n">
        <f aca="false">'3. Assumptions'!S149</f>
        <v>0</v>
      </c>
      <c r="V13" s="55" t="n">
        <f aca="false">'3. Assumptions'!T149</f>
        <v>0</v>
      </c>
      <c r="W13" s="55" t="n">
        <f aca="false">'3. Assumptions'!U149</f>
        <v>0</v>
      </c>
      <c r="X13" s="55" t="n">
        <f aca="false">'3. Assumptions'!V149</f>
        <v>0</v>
      </c>
      <c r="Y13" s="55" t="n">
        <f aca="false">'3. Assumptions'!W149</f>
        <v>0</v>
      </c>
      <c r="Z13" s="55" t="n">
        <f aca="false">'3. Assumptions'!X149</f>
        <v>0</v>
      </c>
      <c r="AA13" s="55" t="n">
        <f aca="false">'3. Assumptions'!Y149</f>
        <v>0</v>
      </c>
      <c r="AB13" s="55" t="n">
        <f aca="false">'3. Assumptions'!Z149</f>
        <v>0</v>
      </c>
      <c r="AC13" s="55" t="n">
        <f aca="false">'3. Assumptions'!AA149</f>
        <v>0</v>
      </c>
      <c r="AD13" s="55" t="n">
        <f aca="false">'3. Assumptions'!AB149</f>
        <v>0</v>
      </c>
      <c r="AE13" s="55" t="n">
        <f aca="false">'3. Assumptions'!AC149</f>
        <v>0</v>
      </c>
      <c r="AF13" s="55" t="n">
        <f aca="false">'3. Assumptions'!AD149</f>
        <v>0</v>
      </c>
      <c r="AG13" s="55" t="n">
        <f aca="false">'3. Assumptions'!AE149</f>
        <v>0</v>
      </c>
      <c r="AH13" s="55" t="n">
        <f aca="false">'3. Assumptions'!AF149</f>
        <v>0</v>
      </c>
      <c r="AI13" s="55" t="n">
        <f aca="false">'3. Assumptions'!AG149</f>
        <v>0</v>
      </c>
      <c r="AJ13" s="55" t="n">
        <f aca="false">'3. Assumptions'!AH149</f>
        <v>0</v>
      </c>
      <c r="AK13" s="55" t="n">
        <f aca="false">'3. Assumptions'!AI149</f>
        <v>0</v>
      </c>
      <c r="AL13" s="55" t="n">
        <f aca="false">'3. Assumptions'!AJ149</f>
        <v>0</v>
      </c>
    </row>
    <row r="14" customFormat="false" ht="15" hidden="false" customHeight="false" outlineLevel="1" collapsed="false">
      <c r="C14" s="0" t="s">
        <v>622</v>
      </c>
      <c r="H14" s="55" t="n">
        <f aca="false">'3. Assumptions'!F150</f>
        <v>0</v>
      </c>
      <c r="I14" s="55" t="n">
        <f aca="false">'3. Assumptions'!G150</f>
        <v>0</v>
      </c>
      <c r="J14" s="55" t="n">
        <f aca="false">'3. Assumptions'!H150</f>
        <v>0</v>
      </c>
      <c r="K14" s="55" t="n">
        <f aca="false">'3. Assumptions'!I150</f>
        <v>0</v>
      </c>
      <c r="L14" s="55" t="n">
        <f aca="false">'3. Assumptions'!J150</f>
        <v>0</v>
      </c>
      <c r="M14" s="55" t="n">
        <f aca="false">'3. Assumptions'!K150</f>
        <v>0</v>
      </c>
      <c r="N14" s="55" t="n">
        <f aca="false">'3. Assumptions'!L150</f>
        <v>0</v>
      </c>
      <c r="O14" s="55" t="n">
        <f aca="false">'3. Assumptions'!M150</f>
        <v>0</v>
      </c>
      <c r="P14" s="55" t="n">
        <f aca="false">'3. Assumptions'!N150</f>
        <v>0</v>
      </c>
      <c r="Q14" s="55" t="n">
        <f aca="false">'3. Assumptions'!O150</f>
        <v>0</v>
      </c>
      <c r="R14" s="55" t="n">
        <f aca="false">'3. Assumptions'!P150</f>
        <v>0</v>
      </c>
      <c r="S14" s="55" t="n">
        <f aca="false">'3. Assumptions'!Q150</f>
        <v>0</v>
      </c>
      <c r="T14" s="55" t="n">
        <f aca="false">'3. Assumptions'!R150</f>
        <v>0</v>
      </c>
      <c r="U14" s="55" t="n">
        <f aca="false">'3. Assumptions'!S150</f>
        <v>0</v>
      </c>
      <c r="V14" s="55" t="n">
        <f aca="false">'3. Assumptions'!T150</f>
        <v>0</v>
      </c>
      <c r="W14" s="55" t="n">
        <f aca="false">'3. Assumptions'!U150</f>
        <v>0</v>
      </c>
      <c r="X14" s="55" t="n">
        <f aca="false">'3. Assumptions'!V150</f>
        <v>0</v>
      </c>
      <c r="Y14" s="55" t="n">
        <f aca="false">'3. Assumptions'!W150</f>
        <v>0</v>
      </c>
      <c r="Z14" s="55" t="n">
        <f aca="false">'3. Assumptions'!X150</f>
        <v>0</v>
      </c>
      <c r="AA14" s="55" t="n">
        <f aca="false">'3. Assumptions'!Y150</f>
        <v>0</v>
      </c>
      <c r="AB14" s="55" t="n">
        <f aca="false">'3. Assumptions'!Z150</f>
        <v>0</v>
      </c>
      <c r="AC14" s="55" t="n">
        <f aca="false">'3. Assumptions'!AA150</f>
        <v>0</v>
      </c>
      <c r="AD14" s="55" t="n">
        <f aca="false">'3. Assumptions'!AB150</f>
        <v>0</v>
      </c>
      <c r="AE14" s="55" t="n">
        <f aca="false">'3. Assumptions'!AC150</f>
        <v>0</v>
      </c>
      <c r="AF14" s="55" t="n">
        <f aca="false">'3. Assumptions'!AD150</f>
        <v>0</v>
      </c>
      <c r="AG14" s="55" t="n">
        <f aca="false">'3. Assumptions'!AE150</f>
        <v>0</v>
      </c>
      <c r="AH14" s="55" t="n">
        <f aca="false">'3. Assumptions'!AF150</f>
        <v>0</v>
      </c>
      <c r="AI14" s="55" t="n">
        <f aca="false">'3. Assumptions'!AG150</f>
        <v>0</v>
      </c>
      <c r="AJ14" s="55" t="n">
        <f aca="false">'3. Assumptions'!AH150</f>
        <v>0</v>
      </c>
      <c r="AK14" s="55" t="n">
        <f aca="false">'3. Assumptions'!AI150</f>
        <v>0</v>
      </c>
      <c r="AL14" s="55" t="n">
        <f aca="false">'3. Assumptions'!AJ150</f>
        <v>0</v>
      </c>
    </row>
    <row r="15" customFormat="false" ht="15" hidden="false" customHeight="false" outlineLevel="1" collapsed="false">
      <c r="B15" s="56"/>
      <c r="C15" s="56" t="s">
        <v>623</v>
      </c>
      <c r="D15" s="56"/>
      <c r="E15" s="56"/>
      <c r="F15" s="56"/>
      <c r="G15" s="393"/>
      <c r="H15" s="59" t="n">
        <f aca="false">'3. Assumptions'!F151</f>
        <v>0</v>
      </c>
      <c r="I15" s="59" t="n">
        <f aca="false">'3. Assumptions'!G151</f>
        <v>0</v>
      </c>
      <c r="J15" s="59" t="n">
        <f aca="false">'3. Assumptions'!H151</f>
        <v>0</v>
      </c>
      <c r="K15" s="59" t="n">
        <f aca="false">'3. Assumptions'!I151</f>
        <v>0</v>
      </c>
      <c r="L15" s="59" t="n">
        <f aca="false">'3. Assumptions'!J151</f>
        <v>0</v>
      </c>
      <c r="M15" s="59" t="n">
        <f aca="false">'3. Assumptions'!K151</f>
        <v>0</v>
      </c>
      <c r="N15" s="59" t="n">
        <f aca="false">'3. Assumptions'!L151</f>
        <v>0</v>
      </c>
      <c r="O15" s="59" t="n">
        <f aca="false">'3. Assumptions'!M151</f>
        <v>0</v>
      </c>
      <c r="P15" s="59" t="n">
        <f aca="false">'3. Assumptions'!N151</f>
        <v>0</v>
      </c>
      <c r="Q15" s="59" t="n">
        <f aca="false">'3. Assumptions'!O151</f>
        <v>0</v>
      </c>
      <c r="R15" s="59" t="n">
        <f aca="false">'3. Assumptions'!P151</f>
        <v>0</v>
      </c>
      <c r="S15" s="59" t="n">
        <f aca="false">'3. Assumptions'!Q151</f>
        <v>0</v>
      </c>
      <c r="T15" s="59" t="n">
        <f aca="false">'3. Assumptions'!R151</f>
        <v>0</v>
      </c>
      <c r="U15" s="59" t="n">
        <f aca="false">'3. Assumptions'!S151</f>
        <v>0</v>
      </c>
      <c r="V15" s="59" t="n">
        <f aca="false">'3. Assumptions'!T151</f>
        <v>0</v>
      </c>
      <c r="W15" s="59" t="n">
        <f aca="false">'3. Assumptions'!U151</f>
        <v>0</v>
      </c>
      <c r="X15" s="59" t="n">
        <f aca="false">'3. Assumptions'!V151</f>
        <v>0</v>
      </c>
      <c r="Y15" s="59" t="n">
        <f aca="false">'3. Assumptions'!W151</f>
        <v>0</v>
      </c>
      <c r="Z15" s="59" t="n">
        <f aca="false">'3. Assumptions'!X151</f>
        <v>0</v>
      </c>
      <c r="AA15" s="59" t="n">
        <f aca="false">'3. Assumptions'!Y151</f>
        <v>0</v>
      </c>
      <c r="AB15" s="59" t="n">
        <f aca="false">'3. Assumptions'!Z151</f>
        <v>0</v>
      </c>
      <c r="AC15" s="59" t="n">
        <f aca="false">'3. Assumptions'!AA151</f>
        <v>0</v>
      </c>
      <c r="AD15" s="59" t="n">
        <f aca="false">'3. Assumptions'!AB151</f>
        <v>0</v>
      </c>
      <c r="AE15" s="59" t="n">
        <f aca="false">'3. Assumptions'!AC151</f>
        <v>0</v>
      </c>
      <c r="AF15" s="59" t="n">
        <f aca="false">'3. Assumptions'!AD151</f>
        <v>0</v>
      </c>
      <c r="AG15" s="59" t="n">
        <f aca="false">'3. Assumptions'!AE151</f>
        <v>0</v>
      </c>
      <c r="AH15" s="59" t="n">
        <f aca="false">'3. Assumptions'!AF151</f>
        <v>0</v>
      </c>
      <c r="AI15" s="59" t="n">
        <f aca="false">'3. Assumptions'!AG151</f>
        <v>0</v>
      </c>
      <c r="AJ15" s="59" t="n">
        <f aca="false">'3. Assumptions'!AH151</f>
        <v>0</v>
      </c>
      <c r="AK15" s="59" t="n">
        <f aca="false">'3. Assumptions'!AI151</f>
        <v>0</v>
      </c>
      <c r="AL15" s="59" t="n">
        <f aca="false">'3. Assumptions'!AJ151</f>
        <v>0</v>
      </c>
    </row>
    <row r="16" customFormat="false" ht="15" hidden="false" customHeight="false" outlineLevel="1" collapsed="false">
      <c r="B16" s="13" t="str">
        <f aca="false">"Total "&amp;B12</f>
        <v>Total # of Processing Centers to be Built</v>
      </c>
      <c r="H16" s="61" t="n">
        <f aca="false">SUM(H13:H15)</f>
        <v>0</v>
      </c>
      <c r="I16" s="61" t="n">
        <f aca="false">SUM(I13:I15)</f>
        <v>2</v>
      </c>
      <c r="J16" s="61" t="n">
        <f aca="false">SUM(J13:J15)</f>
        <v>2</v>
      </c>
      <c r="K16" s="61" t="n">
        <f aca="false">SUM(K13:K15)</f>
        <v>2</v>
      </c>
      <c r="L16" s="61" t="n">
        <f aca="false">SUM(L13:L15)</f>
        <v>2</v>
      </c>
      <c r="M16" s="61" t="n">
        <f aca="false">SUM(M13:M15)</f>
        <v>2</v>
      </c>
      <c r="N16" s="61" t="n">
        <f aca="false">SUM(N13:N15)</f>
        <v>2</v>
      </c>
      <c r="O16" s="61" t="n">
        <f aca="false">SUM(O13:O15)</f>
        <v>2</v>
      </c>
      <c r="P16" s="61" t="n">
        <f aca="false">SUM(P13:P15)</f>
        <v>2</v>
      </c>
      <c r="Q16" s="61" t="n">
        <f aca="false">SUM(Q13:Q15)</f>
        <v>2</v>
      </c>
      <c r="R16" s="61" t="n">
        <f aca="false">SUM(R13:R15)</f>
        <v>0</v>
      </c>
      <c r="S16" s="61" t="n">
        <f aca="false">SUM(S13:S15)</f>
        <v>0</v>
      </c>
      <c r="T16" s="61" t="n">
        <f aca="false">SUM(T13:T15)</f>
        <v>0</v>
      </c>
      <c r="U16" s="61" t="n">
        <f aca="false">SUM(U13:U15)</f>
        <v>0</v>
      </c>
      <c r="V16" s="61" t="n">
        <f aca="false">SUM(V13:V15)</f>
        <v>0</v>
      </c>
      <c r="W16" s="61" t="n">
        <f aca="false">SUM(W13:W15)</f>
        <v>0</v>
      </c>
      <c r="X16" s="61" t="n">
        <f aca="false">SUM(X13:X15)</f>
        <v>0</v>
      </c>
      <c r="Y16" s="61" t="n">
        <f aca="false">SUM(Y13:Y15)</f>
        <v>0</v>
      </c>
      <c r="Z16" s="61" t="n">
        <f aca="false">SUM(Z13:Z15)</f>
        <v>0</v>
      </c>
      <c r="AA16" s="61" t="n">
        <f aca="false">SUM(AA13:AA15)</f>
        <v>0</v>
      </c>
      <c r="AB16" s="61" t="n">
        <f aca="false">SUM(AB13:AB15)</f>
        <v>0</v>
      </c>
      <c r="AC16" s="61" t="n">
        <f aca="false">SUM(AC13:AC15)</f>
        <v>0</v>
      </c>
      <c r="AD16" s="61" t="n">
        <f aca="false">SUM(AD13:AD15)</f>
        <v>0</v>
      </c>
      <c r="AE16" s="61" t="n">
        <f aca="false">SUM(AE13:AE15)</f>
        <v>0</v>
      </c>
      <c r="AF16" s="61" t="n">
        <f aca="false">SUM(AF13:AF15)</f>
        <v>0</v>
      </c>
      <c r="AG16" s="61" t="n">
        <f aca="false">SUM(AG13:AG15)</f>
        <v>0</v>
      </c>
      <c r="AH16" s="61" t="n">
        <f aca="false">SUM(AH13:AH15)</f>
        <v>0</v>
      </c>
      <c r="AI16" s="61" t="n">
        <f aca="false">SUM(AI13:AI15)</f>
        <v>0</v>
      </c>
      <c r="AJ16" s="61" t="n">
        <f aca="false">SUM(AJ13:AJ15)</f>
        <v>0</v>
      </c>
      <c r="AK16" s="61" t="n">
        <f aca="false">SUM(AK13:AK15)</f>
        <v>0</v>
      </c>
      <c r="AL16" s="61" t="n">
        <f aca="false">SUM(AL13:AL15)</f>
        <v>0</v>
      </c>
    </row>
    <row r="17" customFormat="false" ht="15" hidden="false" customHeight="false" outlineLevel="1" collapsed="false"/>
    <row r="18" customFormat="false" ht="15" hidden="false" customHeight="false" outlineLevel="1" collapsed="false">
      <c r="B18" s="13" t="s">
        <v>624</v>
      </c>
      <c r="D18" s="185" t="s">
        <v>625</v>
      </c>
      <c r="E18" s="185" t="s">
        <v>601</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customFormat="false" ht="15" hidden="false" customHeight="false" outlineLevel="1" collapsed="false">
      <c r="C19" s="0" t="s">
        <v>621</v>
      </c>
      <c r="D19" s="236" t="n">
        <f aca="false">SUM(D20:D23)</f>
        <v>333784</v>
      </c>
      <c r="E19" s="402"/>
      <c r="G19" s="30" t="s">
        <v>112</v>
      </c>
      <c r="H19" s="21" t="n">
        <f aca="false">SUM(H20:H23)</f>
        <v>0</v>
      </c>
      <c r="I19" s="21" t="n">
        <f aca="false">SUM(I20:I23)</f>
        <v>735993.72</v>
      </c>
      <c r="J19" s="21" t="n">
        <f aca="false">SUM(J20:J23)</f>
        <v>772793.406</v>
      </c>
      <c r="K19" s="21" t="n">
        <f aca="false">SUM(K20:K23)</f>
        <v>811433.0763</v>
      </c>
      <c r="L19" s="21" t="n">
        <f aca="false">SUM(L20:L23)</f>
        <v>852004.730115</v>
      </c>
      <c r="M19" s="21" t="n">
        <f aca="false">SUM(M20:M23)</f>
        <v>894604.96662075</v>
      </c>
      <c r="N19" s="21" t="n">
        <f aca="false">SUM(N20:N23)</f>
        <v>939335.214951788</v>
      </c>
      <c r="O19" s="21" t="n">
        <f aca="false">SUM(O20:O23)</f>
        <v>986301.975699377</v>
      </c>
      <c r="P19" s="21" t="n">
        <f aca="false">SUM(P20:P23)</f>
        <v>1035617.07448435</v>
      </c>
      <c r="Q19" s="21" t="n">
        <f aca="false">SUM(Q20:Q23)</f>
        <v>1087397.92820856</v>
      </c>
      <c r="R19" s="21" t="n">
        <f aca="false">SUM(R20:R23)</f>
        <v>0</v>
      </c>
      <c r="S19" s="21" t="n">
        <f aca="false">SUM(S20:S23)</f>
        <v>0</v>
      </c>
      <c r="T19" s="21" t="n">
        <f aca="false">SUM(T20:T23)</f>
        <v>0</v>
      </c>
      <c r="U19" s="21" t="n">
        <f aca="false">SUM(U20:U23)</f>
        <v>0</v>
      </c>
      <c r="V19" s="21" t="n">
        <f aca="false">SUM(V20:V23)</f>
        <v>0</v>
      </c>
      <c r="W19" s="21" t="n">
        <f aca="false">SUM(W20:W23)</f>
        <v>0</v>
      </c>
      <c r="X19" s="21" t="n">
        <f aca="false">SUM(X20:X23)</f>
        <v>0</v>
      </c>
      <c r="Y19" s="21" t="n">
        <f aca="false">SUM(Y20:Y23)</f>
        <v>0</v>
      </c>
      <c r="Z19" s="21" t="n">
        <f aca="false">SUM(Z20:Z23)</f>
        <v>0</v>
      </c>
      <c r="AA19" s="21" t="n">
        <f aca="false">SUM(AA20:AA23)</f>
        <v>0</v>
      </c>
      <c r="AB19" s="21" t="n">
        <f aca="false">SUM(AB20:AB23)</f>
        <v>0</v>
      </c>
      <c r="AC19" s="21" t="n">
        <f aca="false">SUM(AC20:AC23)</f>
        <v>0</v>
      </c>
      <c r="AD19" s="21" t="n">
        <f aca="false">SUM(AD20:AD23)</f>
        <v>0</v>
      </c>
      <c r="AE19" s="21" t="n">
        <f aca="false">SUM(AE20:AE23)</f>
        <v>0</v>
      </c>
      <c r="AF19" s="21" t="n">
        <f aca="false">SUM(AF20:AF23)</f>
        <v>0</v>
      </c>
      <c r="AG19" s="21" t="n">
        <f aca="false">SUM(AG20:AG23)</f>
        <v>0</v>
      </c>
      <c r="AH19" s="21" t="n">
        <f aca="false">SUM(AH20:AH23)</f>
        <v>0</v>
      </c>
      <c r="AI19" s="21" t="n">
        <f aca="false">SUM(AI20:AI23)</f>
        <v>0</v>
      </c>
      <c r="AJ19" s="21" t="n">
        <f aca="false">SUM(AJ20:AJ23)</f>
        <v>0</v>
      </c>
      <c r="AK19" s="21" t="n">
        <f aca="false">SUM(AK20:AK23)</f>
        <v>0</v>
      </c>
      <c r="AL19" s="21" t="n">
        <f aca="false">SUM(AL20:AL23)</f>
        <v>0</v>
      </c>
    </row>
    <row r="20" customFormat="false" ht="15" hidden="false" customHeight="false" outlineLevel="1" collapsed="false">
      <c r="C20" s="18" t="s">
        <v>292</v>
      </c>
      <c r="D20" s="271" t="n">
        <f aca="false">'3. Assumptions'!G177</f>
        <v>10000</v>
      </c>
      <c r="E20" s="403" t="n">
        <f aca="false">IF('1. Project Summary'!$F$13="Real",0,'3. Assumptions'!$E$172)</f>
        <v>0.05</v>
      </c>
      <c r="G20" s="30" t="s">
        <v>112</v>
      </c>
      <c r="H20" s="397" t="n">
        <f aca="false">$D20*H$13*(1+$E20)^H$6</f>
        <v>0</v>
      </c>
      <c r="I20" s="397" t="n">
        <f aca="false">$D20*I$13*(1+$E20)^I$6</f>
        <v>22050</v>
      </c>
      <c r="J20" s="397" t="n">
        <f aca="false">$D20*J$13*(1+$E20)^J$6</f>
        <v>23152.5</v>
      </c>
      <c r="K20" s="397" t="n">
        <f aca="false">$D20*K$13*(1+$E20)^K$6</f>
        <v>24310.125</v>
      </c>
      <c r="L20" s="397" t="n">
        <f aca="false">$D20*L$13*(1+$E20)^L$6</f>
        <v>25525.63125</v>
      </c>
      <c r="M20" s="397" t="n">
        <f aca="false">$D20*M$13*(1+$E20)^M$6</f>
        <v>26801.9128125</v>
      </c>
      <c r="N20" s="397" t="n">
        <f aca="false">$D20*N$13*(1+$E20)^N$6</f>
        <v>28142.008453125</v>
      </c>
      <c r="O20" s="397" t="n">
        <f aca="false">$D20*O$13*(1+$E20)^O$6</f>
        <v>29549.1088757813</v>
      </c>
      <c r="P20" s="397" t="n">
        <f aca="false">$D20*P$13*(1+$E20)^P$6</f>
        <v>31026.5643195703</v>
      </c>
      <c r="Q20" s="397" t="n">
        <f aca="false">$D20*Q$13*(1+$E20)^Q$6</f>
        <v>32577.8925355488</v>
      </c>
      <c r="R20" s="397" t="n">
        <f aca="false">$D20*R$13*(1+$E20)^R$6</f>
        <v>0</v>
      </c>
      <c r="S20" s="397" t="n">
        <f aca="false">$D20*S$13*(1+$E20)^S$6</f>
        <v>0</v>
      </c>
      <c r="T20" s="397" t="n">
        <f aca="false">$D20*T$13*(1+$E20)^T$6</f>
        <v>0</v>
      </c>
      <c r="U20" s="397" t="n">
        <f aca="false">$D20*U$13*(1+$E20)^U$6</f>
        <v>0</v>
      </c>
      <c r="V20" s="397" t="n">
        <f aca="false">$D20*V$13*(1+$E20)^V$6</f>
        <v>0</v>
      </c>
      <c r="W20" s="397" t="n">
        <f aca="false">$D20*W$13*(1+$E20)^W$6</f>
        <v>0</v>
      </c>
      <c r="X20" s="397" t="n">
        <f aca="false">$D20*X$13*(1+$E20)^X$6</f>
        <v>0</v>
      </c>
      <c r="Y20" s="397" t="n">
        <f aca="false">$D20*Y$13*(1+$E20)^Y$6</f>
        <v>0</v>
      </c>
      <c r="Z20" s="397" t="n">
        <f aca="false">$D20*Z$13*(1+$E20)^Z$6</f>
        <v>0</v>
      </c>
      <c r="AA20" s="397" t="n">
        <f aca="false">$D20*AA$13*(1+$E20)^AA$6</f>
        <v>0</v>
      </c>
      <c r="AB20" s="397" t="n">
        <f aca="false">$D20*AB$13*(1+$E20)^AB$6</f>
        <v>0</v>
      </c>
      <c r="AC20" s="397" t="n">
        <f aca="false">$D20*AC$13*(1+$E20)^AC$6</f>
        <v>0</v>
      </c>
      <c r="AD20" s="397" t="n">
        <f aca="false">$D20*AD$13*(1+$E20)^AD$6</f>
        <v>0</v>
      </c>
      <c r="AE20" s="397" t="n">
        <f aca="false">$D20*AE$13*(1+$E20)^AE$6</f>
        <v>0</v>
      </c>
      <c r="AF20" s="397" t="n">
        <f aca="false">$D20*AF$13*(1+$E20)^AF$6</f>
        <v>0</v>
      </c>
      <c r="AG20" s="397" t="n">
        <f aca="false">$D20*AG$13*(1+$E20)^AG$6</f>
        <v>0</v>
      </c>
      <c r="AH20" s="397" t="n">
        <f aca="false">$D20*AH$13*(1+$E20)^AH$6</f>
        <v>0</v>
      </c>
      <c r="AI20" s="397" t="n">
        <f aca="false">$D20*AI$13*(1+$E20)^AI$6</f>
        <v>0</v>
      </c>
      <c r="AJ20" s="397" t="n">
        <f aca="false">$D20*AJ$13*(1+$E20)^AJ$6</f>
        <v>0</v>
      </c>
      <c r="AK20" s="397" t="n">
        <f aca="false">$D20*AK$13*(1+$E20)^AK$6</f>
        <v>0</v>
      </c>
      <c r="AL20" s="397" t="n">
        <f aca="false">$D20*AL$13*(1+$E20)^AL$6</f>
        <v>0</v>
      </c>
    </row>
    <row r="21" customFormat="false" ht="15" hidden="false" customHeight="false" outlineLevel="1" collapsed="false">
      <c r="C21" s="18" t="s">
        <v>403</v>
      </c>
      <c r="D21" s="271" t="n">
        <f aca="false">SUM('3. Assumptions'!G178:G183)</f>
        <v>175000</v>
      </c>
      <c r="E21" s="403" t="n">
        <f aca="false">IF('1. Project Summary'!$F$13="Real",0,'3. Assumptions'!$E$172)</f>
        <v>0.05</v>
      </c>
      <c r="G21" s="30" t="s">
        <v>112</v>
      </c>
      <c r="H21" s="397" t="n">
        <f aca="false">$D21*H$13*(1+$E21)^H$6</f>
        <v>0</v>
      </c>
      <c r="I21" s="397" t="n">
        <f aca="false">$D21*I$13*(1+$E21)^I$6</f>
        <v>385875</v>
      </c>
      <c r="J21" s="397" t="n">
        <f aca="false">$D21*J$13*(1+$E21)^J$6</f>
        <v>405168.75</v>
      </c>
      <c r="K21" s="397" t="n">
        <f aca="false">$D21*K$13*(1+$E21)^K$6</f>
        <v>425427.1875</v>
      </c>
      <c r="L21" s="397" t="n">
        <f aca="false">$D21*L$13*(1+$E21)^L$6</f>
        <v>446698.546875</v>
      </c>
      <c r="M21" s="397" t="n">
        <f aca="false">$D21*M$13*(1+$E21)^M$6</f>
        <v>469033.47421875</v>
      </c>
      <c r="N21" s="397" t="n">
        <f aca="false">$D21*N$13*(1+$E21)^N$6</f>
        <v>492485.147929688</v>
      </c>
      <c r="O21" s="397" t="n">
        <f aca="false">$D21*O$13*(1+$E21)^O$6</f>
        <v>517109.405326172</v>
      </c>
      <c r="P21" s="397" t="n">
        <f aca="false">$D21*P$13*(1+$E21)^P$6</f>
        <v>542964.875592481</v>
      </c>
      <c r="Q21" s="397" t="n">
        <f aca="false">$D21*Q$13*(1+$E21)^Q$6</f>
        <v>570113.119372105</v>
      </c>
      <c r="R21" s="397" t="n">
        <f aca="false">$D21*R$13*(1+$E21)^R$6</f>
        <v>0</v>
      </c>
      <c r="S21" s="397" t="n">
        <f aca="false">$D21*S$13*(1+$E21)^S$6</f>
        <v>0</v>
      </c>
      <c r="T21" s="397" t="n">
        <f aca="false">$D21*T$13*(1+$E21)^T$6</f>
        <v>0</v>
      </c>
      <c r="U21" s="397" t="n">
        <f aca="false">$D21*U$13*(1+$E21)^U$6</f>
        <v>0</v>
      </c>
      <c r="V21" s="397" t="n">
        <f aca="false">$D21*V$13*(1+$E21)^V$6</f>
        <v>0</v>
      </c>
      <c r="W21" s="397" t="n">
        <f aca="false">$D21*W$13*(1+$E21)^W$6</f>
        <v>0</v>
      </c>
      <c r="X21" s="397" t="n">
        <f aca="false">$D21*X$13*(1+$E21)^X$6</f>
        <v>0</v>
      </c>
      <c r="Y21" s="397" t="n">
        <f aca="false">$D21*Y$13*(1+$E21)^Y$6</f>
        <v>0</v>
      </c>
      <c r="Z21" s="397" t="n">
        <f aca="false">$D21*Z$13*(1+$E21)^Z$6</f>
        <v>0</v>
      </c>
      <c r="AA21" s="397" t="n">
        <f aca="false">$D21*AA$13*(1+$E21)^AA$6</f>
        <v>0</v>
      </c>
      <c r="AB21" s="397" t="n">
        <f aca="false">$D21*AB$13*(1+$E21)^AB$6</f>
        <v>0</v>
      </c>
      <c r="AC21" s="397" t="n">
        <f aca="false">$D21*AC$13*(1+$E21)^AC$6</f>
        <v>0</v>
      </c>
      <c r="AD21" s="397" t="n">
        <f aca="false">$D21*AD$13*(1+$E21)^AD$6</f>
        <v>0</v>
      </c>
      <c r="AE21" s="397" t="n">
        <f aca="false">$D21*AE$13*(1+$E21)^AE$6</f>
        <v>0</v>
      </c>
      <c r="AF21" s="397" t="n">
        <f aca="false">$D21*AF$13*(1+$E21)^AF$6</f>
        <v>0</v>
      </c>
      <c r="AG21" s="397" t="n">
        <f aca="false">$D21*AG$13*(1+$E21)^AG$6</f>
        <v>0</v>
      </c>
      <c r="AH21" s="397" t="n">
        <f aca="false">$D21*AH$13*(1+$E21)^AH$6</f>
        <v>0</v>
      </c>
      <c r="AI21" s="397" t="n">
        <f aca="false">$D21*AI$13*(1+$E21)^AI$6</f>
        <v>0</v>
      </c>
      <c r="AJ21" s="397" t="n">
        <f aca="false">$D21*AJ$13*(1+$E21)^AJ$6</f>
        <v>0</v>
      </c>
      <c r="AK21" s="397" t="n">
        <f aca="false">$D21*AK$13*(1+$E21)^AK$6</f>
        <v>0</v>
      </c>
      <c r="AL21" s="397" t="n">
        <f aca="false">$D21*AL$13*(1+$E21)^AL$6</f>
        <v>0</v>
      </c>
    </row>
    <row r="22" customFormat="false" ht="15" hidden="false" customHeight="false" outlineLevel="1" collapsed="false">
      <c r="C22" s="18" t="s">
        <v>626</v>
      </c>
      <c r="D22" s="271" t="n">
        <f aca="false">SUM('3. Assumptions'!G184)</f>
        <v>103784</v>
      </c>
      <c r="E22" s="403" t="n">
        <f aca="false">IF('1. Project Summary'!$F$13="Real",0,'3. Assumptions'!$E$172)</f>
        <v>0.05</v>
      </c>
      <c r="G22" s="30" t="s">
        <v>112</v>
      </c>
      <c r="H22" s="397" t="n">
        <f aca="false">$D22*H$13*(1+$E22)^H$6</f>
        <v>0</v>
      </c>
      <c r="I22" s="397" t="n">
        <f aca="false">$D22*I$13*(1+$E22)^I$6</f>
        <v>228843.72</v>
      </c>
      <c r="J22" s="397" t="n">
        <f aca="false">$D22*J$13*(1+$E22)^J$6</f>
        <v>240285.906</v>
      </c>
      <c r="K22" s="397" t="n">
        <f aca="false">$D22*K$13*(1+$E22)^K$6</f>
        <v>252300.2013</v>
      </c>
      <c r="L22" s="397" t="n">
        <f aca="false">$D22*L$13*(1+$E22)^L$6</f>
        <v>264915.211365</v>
      </c>
      <c r="M22" s="397" t="n">
        <f aca="false">$D22*M$13*(1+$E22)^M$6</f>
        <v>278160.97193325</v>
      </c>
      <c r="N22" s="397" t="n">
        <f aca="false">$D22*N$13*(1+$E22)^N$6</f>
        <v>292069.020529913</v>
      </c>
      <c r="O22" s="397" t="n">
        <f aca="false">$D22*O$13*(1+$E22)^O$6</f>
        <v>306672.471556408</v>
      </c>
      <c r="P22" s="397" t="n">
        <f aca="false">$D22*P$13*(1+$E22)^P$6</f>
        <v>322006.095134229</v>
      </c>
      <c r="Q22" s="397" t="n">
        <f aca="false">$D22*Q$13*(1+$E22)^Q$6</f>
        <v>338106.39989094</v>
      </c>
      <c r="R22" s="397" t="n">
        <f aca="false">$D22*R$13*(1+$E22)^R$6</f>
        <v>0</v>
      </c>
      <c r="S22" s="397" t="n">
        <f aca="false">$D22*S$13*(1+$E22)^S$6</f>
        <v>0</v>
      </c>
      <c r="T22" s="397" t="n">
        <f aca="false">$D22*T$13*(1+$E22)^T$6</f>
        <v>0</v>
      </c>
      <c r="U22" s="397" t="n">
        <f aca="false">$D22*U$13*(1+$E22)^U$6</f>
        <v>0</v>
      </c>
      <c r="V22" s="397" t="n">
        <f aca="false">$D22*V$13*(1+$E22)^V$6</f>
        <v>0</v>
      </c>
      <c r="W22" s="397" t="n">
        <f aca="false">$D22*W$13*(1+$E22)^W$6</f>
        <v>0</v>
      </c>
      <c r="X22" s="397" t="n">
        <f aca="false">$D22*X$13*(1+$E22)^X$6</f>
        <v>0</v>
      </c>
      <c r="Y22" s="397" t="n">
        <f aca="false">$D22*Y$13*(1+$E22)^Y$6</f>
        <v>0</v>
      </c>
      <c r="Z22" s="397" t="n">
        <f aca="false">$D22*Z$13*(1+$E22)^Z$6</f>
        <v>0</v>
      </c>
      <c r="AA22" s="397" t="n">
        <f aca="false">$D22*AA$13*(1+$E22)^AA$6</f>
        <v>0</v>
      </c>
      <c r="AB22" s="397" t="n">
        <f aca="false">$D22*AB$13*(1+$E22)^AB$6</f>
        <v>0</v>
      </c>
      <c r="AC22" s="397" t="n">
        <f aca="false">$D22*AC$13*(1+$E22)^AC$6</f>
        <v>0</v>
      </c>
      <c r="AD22" s="397" t="n">
        <f aca="false">$D22*AD$13*(1+$E22)^AD$6</f>
        <v>0</v>
      </c>
      <c r="AE22" s="397" t="n">
        <f aca="false">$D22*AE$13*(1+$E22)^AE$6</f>
        <v>0</v>
      </c>
      <c r="AF22" s="397" t="n">
        <f aca="false">$D22*AF$13*(1+$E22)^AF$6</f>
        <v>0</v>
      </c>
      <c r="AG22" s="397" t="n">
        <f aca="false">$D22*AG$13*(1+$E22)^AG$6</f>
        <v>0</v>
      </c>
      <c r="AH22" s="397" t="n">
        <f aca="false">$D22*AH$13*(1+$E22)^AH$6</f>
        <v>0</v>
      </c>
      <c r="AI22" s="397" t="n">
        <f aca="false">$D22*AI$13*(1+$E22)^AI$6</f>
        <v>0</v>
      </c>
      <c r="AJ22" s="397" t="n">
        <f aca="false">$D22*AJ$13*(1+$E22)^AJ$6</f>
        <v>0</v>
      </c>
      <c r="AK22" s="397" t="n">
        <f aca="false">$D22*AK$13*(1+$E22)^AK$6</f>
        <v>0</v>
      </c>
      <c r="AL22" s="397" t="n">
        <f aca="false">$D22*AL$13*(1+$E22)^AL$6</f>
        <v>0</v>
      </c>
    </row>
    <row r="23" customFormat="false" ht="15" hidden="false" customHeight="false" outlineLevel="1" collapsed="false">
      <c r="C23" s="18" t="s">
        <v>310</v>
      </c>
      <c r="D23" s="271" t="n">
        <f aca="false">'3. Assumptions'!G198</f>
        <v>45000</v>
      </c>
      <c r="E23" s="403" t="n">
        <f aca="false">IF('1. Project Summary'!$F$13="Real",0,'3. Assumptions'!$E$172)</f>
        <v>0.05</v>
      </c>
      <c r="G23" s="30" t="s">
        <v>112</v>
      </c>
      <c r="H23" s="397" t="n">
        <f aca="false">$D23*H$13*(1+$E23)^H$6</f>
        <v>0</v>
      </c>
      <c r="I23" s="397" t="n">
        <f aca="false">$D23*I$13*(1+$E23)^I$6</f>
        <v>99225</v>
      </c>
      <c r="J23" s="397" t="n">
        <f aca="false">$D23*J$13*(1+$E23)^J$6</f>
        <v>104186.25</v>
      </c>
      <c r="K23" s="397" t="n">
        <f aca="false">$D23*K$13*(1+$E23)^K$6</f>
        <v>109395.5625</v>
      </c>
      <c r="L23" s="397" t="n">
        <f aca="false">$D23*L$13*(1+$E23)^L$6</f>
        <v>114865.340625</v>
      </c>
      <c r="M23" s="397" t="n">
        <f aca="false">$D23*M$13*(1+$E23)^M$6</f>
        <v>120608.60765625</v>
      </c>
      <c r="N23" s="397" t="n">
        <f aca="false">$D23*N$13*(1+$E23)^N$6</f>
        <v>126639.038039063</v>
      </c>
      <c r="O23" s="397" t="n">
        <f aca="false">$D23*O$13*(1+$E23)^O$6</f>
        <v>132970.989941016</v>
      </c>
      <c r="P23" s="397" t="n">
        <f aca="false">$D23*P$13*(1+$E23)^P$6</f>
        <v>139619.539438066</v>
      </c>
      <c r="Q23" s="397" t="n">
        <f aca="false">$D23*Q$13*(1+$E23)^Q$6</f>
        <v>146600.51640997</v>
      </c>
      <c r="R23" s="397" t="n">
        <f aca="false">$D23*R$13*(1+$E23)^R$6</f>
        <v>0</v>
      </c>
      <c r="S23" s="397" t="n">
        <f aca="false">$D23*S$13*(1+$E23)^S$6</f>
        <v>0</v>
      </c>
      <c r="T23" s="397" t="n">
        <f aca="false">$D23*T$13*(1+$E23)^T$6</f>
        <v>0</v>
      </c>
      <c r="U23" s="397" t="n">
        <f aca="false">$D23*U$13*(1+$E23)^U$6</f>
        <v>0</v>
      </c>
      <c r="V23" s="397" t="n">
        <f aca="false">$D23*V$13*(1+$E23)^V$6</f>
        <v>0</v>
      </c>
      <c r="W23" s="397" t="n">
        <f aca="false">$D23*W$13*(1+$E23)^W$6</f>
        <v>0</v>
      </c>
      <c r="X23" s="397" t="n">
        <f aca="false">$D23*X$13*(1+$E23)^X$6</f>
        <v>0</v>
      </c>
      <c r="Y23" s="397" t="n">
        <f aca="false">$D23*Y$13*(1+$E23)^Y$6</f>
        <v>0</v>
      </c>
      <c r="Z23" s="397" t="n">
        <f aca="false">$D23*Z$13*(1+$E23)^Z$6</f>
        <v>0</v>
      </c>
      <c r="AA23" s="397" t="n">
        <f aca="false">$D23*AA$13*(1+$E23)^AA$6</f>
        <v>0</v>
      </c>
      <c r="AB23" s="397" t="n">
        <f aca="false">$D23*AB$13*(1+$E23)^AB$6</f>
        <v>0</v>
      </c>
      <c r="AC23" s="397" t="n">
        <f aca="false">$D23*AC$13*(1+$E23)^AC$6</f>
        <v>0</v>
      </c>
      <c r="AD23" s="397" t="n">
        <f aca="false">$D23*AD$13*(1+$E23)^AD$6</f>
        <v>0</v>
      </c>
      <c r="AE23" s="397" t="n">
        <f aca="false">$D23*AE$13*(1+$E23)^AE$6</f>
        <v>0</v>
      </c>
      <c r="AF23" s="397" t="n">
        <f aca="false">$D23*AF$13*(1+$E23)^AF$6</f>
        <v>0</v>
      </c>
      <c r="AG23" s="397" t="n">
        <f aca="false">$D23*AG$13*(1+$E23)^AG$6</f>
        <v>0</v>
      </c>
      <c r="AH23" s="397" t="n">
        <f aca="false">$D23*AH$13*(1+$E23)^AH$6</f>
        <v>0</v>
      </c>
      <c r="AI23" s="397" t="n">
        <f aca="false">$D23*AI$13*(1+$E23)^AI$6</f>
        <v>0</v>
      </c>
      <c r="AJ23" s="397" t="n">
        <f aca="false">$D23*AJ$13*(1+$E23)^AJ$6</f>
        <v>0</v>
      </c>
      <c r="AK23" s="397" t="n">
        <f aca="false">$D23*AK$13*(1+$E23)^AK$6</f>
        <v>0</v>
      </c>
      <c r="AL23" s="397" t="n">
        <f aca="false">$D23*AL$13*(1+$E23)^AL$6</f>
        <v>0</v>
      </c>
    </row>
    <row r="24" customFormat="false" ht="15" hidden="false" customHeight="false" outlineLevel="1" collapsed="false">
      <c r="C24" s="0" t="s">
        <v>622</v>
      </c>
      <c r="D24" s="236" t="n">
        <f aca="false">SUM(D25:D28)</f>
        <v>417531</v>
      </c>
      <c r="E24" s="404"/>
      <c r="G24" s="30" t="s">
        <v>112</v>
      </c>
      <c r="H24" s="21" t="n">
        <f aca="false">SUM(H25:H28)</f>
        <v>0</v>
      </c>
      <c r="I24" s="21" t="n">
        <f aca="false">SUM(I25:I28)</f>
        <v>0</v>
      </c>
      <c r="J24" s="21" t="n">
        <f aca="false">SUM(J25:J28)</f>
        <v>0</v>
      </c>
      <c r="K24" s="21" t="n">
        <f aca="false">SUM(K25:K28)</f>
        <v>0</v>
      </c>
      <c r="L24" s="21" t="n">
        <f aca="false">SUM(L25:L28)</f>
        <v>0</v>
      </c>
      <c r="M24" s="21" t="n">
        <f aca="false">SUM(M25:M28)</f>
        <v>0</v>
      </c>
      <c r="N24" s="21" t="n">
        <f aca="false">SUM(N25:N28)</f>
        <v>0</v>
      </c>
      <c r="O24" s="21" t="n">
        <f aca="false">SUM(O25:O28)</f>
        <v>0</v>
      </c>
      <c r="P24" s="21" t="n">
        <f aca="false">SUM(P25:P28)</f>
        <v>0</v>
      </c>
      <c r="Q24" s="21" t="n">
        <f aca="false">SUM(Q25:Q28)</f>
        <v>0</v>
      </c>
      <c r="R24" s="21" t="n">
        <f aca="false">SUM(R25:R28)</f>
        <v>0</v>
      </c>
      <c r="S24" s="21" t="n">
        <f aca="false">SUM(S25:S28)</f>
        <v>0</v>
      </c>
      <c r="T24" s="21" t="n">
        <f aca="false">SUM(T25:T28)</f>
        <v>0</v>
      </c>
      <c r="U24" s="21" t="n">
        <f aca="false">SUM(U25:U28)</f>
        <v>0</v>
      </c>
      <c r="V24" s="21" t="n">
        <f aca="false">SUM(V25:V28)</f>
        <v>0</v>
      </c>
      <c r="W24" s="21" t="n">
        <f aca="false">SUM(W25:W28)</f>
        <v>0</v>
      </c>
      <c r="X24" s="21" t="n">
        <f aca="false">SUM(X25:X28)</f>
        <v>0</v>
      </c>
      <c r="Y24" s="21" t="n">
        <f aca="false">SUM(Y25:Y28)</f>
        <v>0</v>
      </c>
      <c r="Z24" s="21" t="n">
        <f aca="false">SUM(Z25:Z28)</f>
        <v>0</v>
      </c>
      <c r="AA24" s="21" t="n">
        <f aca="false">SUM(AA25:AA28)</f>
        <v>0</v>
      </c>
      <c r="AB24" s="21" t="n">
        <f aca="false">SUM(AB25:AB28)</f>
        <v>0</v>
      </c>
      <c r="AC24" s="21" t="n">
        <f aca="false">SUM(AC25:AC28)</f>
        <v>0</v>
      </c>
      <c r="AD24" s="21" t="n">
        <f aca="false">SUM(AD25:AD28)</f>
        <v>0</v>
      </c>
      <c r="AE24" s="21" t="n">
        <f aca="false">SUM(AE25:AE28)</f>
        <v>0</v>
      </c>
      <c r="AF24" s="21" t="n">
        <f aca="false">SUM(AF25:AF28)</f>
        <v>0</v>
      </c>
      <c r="AG24" s="21" t="n">
        <f aca="false">SUM(AG25:AG28)</f>
        <v>0</v>
      </c>
      <c r="AH24" s="21" t="n">
        <f aca="false">SUM(AH25:AH28)</f>
        <v>0</v>
      </c>
      <c r="AI24" s="21" t="n">
        <f aca="false">SUM(AI25:AI28)</f>
        <v>0</v>
      </c>
      <c r="AJ24" s="21" t="n">
        <f aca="false">SUM(AJ25:AJ28)</f>
        <v>0</v>
      </c>
      <c r="AK24" s="21" t="n">
        <f aca="false">SUM(AK25:AK28)</f>
        <v>0</v>
      </c>
      <c r="AL24" s="21" t="n">
        <f aca="false">SUM(AL25:AL28)</f>
        <v>0</v>
      </c>
    </row>
    <row r="25" customFormat="false" ht="15" hidden="false" customHeight="false" outlineLevel="1" collapsed="false">
      <c r="C25" s="18" t="s">
        <v>292</v>
      </c>
      <c r="D25" s="271" t="n">
        <f aca="false">SUM('3. Assumptions'!G227)</f>
        <v>10000</v>
      </c>
      <c r="E25" s="403" t="n">
        <f aca="false">IF('1. Project Summary'!$F$13="Real",0,'3. Assumptions'!$E$172)</f>
        <v>0.05</v>
      </c>
      <c r="G25" s="30" t="s">
        <v>112</v>
      </c>
      <c r="H25" s="397" t="n">
        <f aca="false">$D25*H$14*(1+$E25)^H$6</f>
        <v>0</v>
      </c>
      <c r="I25" s="397" t="n">
        <f aca="false">$D25*I$14*(1+$E25)^I$6</f>
        <v>0</v>
      </c>
      <c r="J25" s="397" t="n">
        <f aca="false">$D25*J$14*(1+$E25)^J$6</f>
        <v>0</v>
      </c>
      <c r="K25" s="397" t="n">
        <f aca="false">$D25*K$14*(1+$E25)^K$6</f>
        <v>0</v>
      </c>
      <c r="L25" s="397" t="n">
        <f aca="false">$D25*L$14*(1+$E25)^L$6</f>
        <v>0</v>
      </c>
      <c r="M25" s="397" t="n">
        <f aca="false">$D25*M$14*(1+$E25)^M$6</f>
        <v>0</v>
      </c>
      <c r="N25" s="397" t="n">
        <f aca="false">$D25*N$14*(1+$E25)^N$6</f>
        <v>0</v>
      </c>
      <c r="O25" s="397" t="n">
        <f aca="false">$D25*O$14*(1+$E25)^O$6</f>
        <v>0</v>
      </c>
      <c r="P25" s="397" t="n">
        <f aca="false">$D25*P$14*(1+$E25)^P$6</f>
        <v>0</v>
      </c>
      <c r="Q25" s="397" t="n">
        <f aca="false">$D25*Q$14*(1+$E25)^Q$6</f>
        <v>0</v>
      </c>
      <c r="R25" s="397" t="n">
        <f aca="false">$D25*R$14*(1+$E25)^R$6</f>
        <v>0</v>
      </c>
      <c r="S25" s="397" t="n">
        <f aca="false">$D25*S$14*(1+$E25)^S$6</f>
        <v>0</v>
      </c>
      <c r="T25" s="397" t="n">
        <f aca="false">$D25*T$14*(1+$E25)^T$6</f>
        <v>0</v>
      </c>
      <c r="U25" s="397" t="n">
        <f aca="false">$D25*U$14*(1+$E25)^U$6</f>
        <v>0</v>
      </c>
      <c r="V25" s="397" t="n">
        <f aca="false">$D25*V$14*(1+$E25)^V$6</f>
        <v>0</v>
      </c>
      <c r="W25" s="397" t="n">
        <f aca="false">$D25*W$14*(1+$E25)^W$6</f>
        <v>0</v>
      </c>
      <c r="X25" s="397" t="n">
        <f aca="false">$D25*X$14*(1+$E25)^X$6</f>
        <v>0</v>
      </c>
      <c r="Y25" s="397" t="n">
        <f aca="false">$D25*Y$14*(1+$E25)^Y$6</f>
        <v>0</v>
      </c>
      <c r="Z25" s="397" t="n">
        <f aca="false">$D25*Z$14*(1+$E25)^Z$6</f>
        <v>0</v>
      </c>
      <c r="AA25" s="397" t="n">
        <f aca="false">$D25*AA$14*(1+$E25)^AA$6</f>
        <v>0</v>
      </c>
      <c r="AB25" s="397" t="n">
        <f aca="false">$D25*AB$14*(1+$E25)^AB$6</f>
        <v>0</v>
      </c>
      <c r="AC25" s="397" t="n">
        <f aca="false">$D25*AC$14*(1+$E25)^AC$6</f>
        <v>0</v>
      </c>
      <c r="AD25" s="397" t="n">
        <f aca="false">$D25*AD$14*(1+$E25)^AD$6</f>
        <v>0</v>
      </c>
      <c r="AE25" s="397" t="n">
        <f aca="false">$D25*AE$14*(1+$E25)^AE$6</f>
        <v>0</v>
      </c>
      <c r="AF25" s="397" t="n">
        <f aca="false">$D25*AF$14*(1+$E25)^AF$6</f>
        <v>0</v>
      </c>
      <c r="AG25" s="397" t="n">
        <f aca="false">$D25*AG$14*(1+$E25)^AG$6</f>
        <v>0</v>
      </c>
      <c r="AH25" s="397" t="n">
        <f aca="false">$D25*AH$14*(1+$E25)^AH$6</f>
        <v>0</v>
      </c>
      <c r="AI25" s="397" t="n">
        <f aca="false">$D25*AI$14*(1+$E25)^AI$6</f>
        <v>0</v>
      </c>
      <c r="AJ25" s="397" t="n">
        <f aca="false">$D25*AJ$14*(1+$E25)^AJ$6</f>
        <v>0</v>
      </c>
      <c r="AK25" s="397" t="n">
        <f aca="false">$D25*AK$14*(1+$E25)^AK$6</f>
        <v>0</v>
      </c>
      <c r="AL25" s="397" t="n">
        <f aca="false">$D25*AL$14*(1+$E25)^AL$6</f>
        <v>0</v>
      </c>
    </row>
    <row r="26" customFormat="false" ht="15" hidden="false" customHeight="false" outlineLevel="1" collapsed="false">
      <c r="C26" s="18" t="s">
        <v>403</v>
      </c>
      <c r="D26" s="271" t="n">
        <f aca="false">SUM('3. Assumptions'!G228:G233)</f>
        <v>175000</v>
      </c>
      <c r="E26" s="403" t="n">
        <f aca="false">IF('1. Project Summary'!$F$13="Real",0,'3. Assumptions'!$E$172)</f>
        <v>0.05</v>
      </c>
      <c r="G26" s="30" t="s">
        <v>112</v>
      </c>
      <c r="H26" s="397" t="n">
        <f aca="false">$D26*H$14*(1+$E26)^H$6</f>
        <v>0</v>
      </c>
      <c r="I26" s="397" t="n">
        <f aca="false">$D26*I$14*(1+$E26)^I$6</f>
        <v>0</v>
      </c>
      <c r="J26" s="397" t="n">
        <f aca="false">$D26*J$14*(1+$E26)^J$6</f>
        <v>0</v>
      </c>
      <c r="K26" s="397" t="n">
        <f aca="false">$D26*K$14*(1+$E26)^K$6</f>
        <v>0</v>
      </c>
      <c r="L26" s="397" t="n">
        <f aca="false">$D26*L$14*(1+$E26)^L$6</f>
        <v>0</v>
      </c>
      <c r="M26" s="397" t="n">
        <f aca="false">$D26*M$14*(1+$E26)^M$6</f>
        <v>0</v>
      </c>
      <c r="N26" s="397" t="n">
        <f aca="false">$D26*N$14*(1+$E26)^N$6</f>
        <v>0</v>
      </c>
      <c r="O26" s="397" t="n">
        <f aca="false">$D26*O$14*(1+$E26)^O$6</f>
        <v>0</v>
      </c>
      <c r="P26" s="397" t="n">
        <f aca="false">$D26*P$14*(1+$E26)^P$6</f>
        <v>0</v>
      </c>
      <c r="Q26" s="397" t="n">
        <f aca="false">$D26*Q$14*(1+$E26)^Q$6</f>
        <v>0</v>
      </c>
      <c r="R26" s="397" t="n">
        <f aca="false">$D26*R$14*(1+$E26)^R$6</f>
        <v>0</v>
      </c>
      <c r="S26" s="397" t="n">
        <f aca="false">$D26*S$14*(1+$E26)^S$6</f>
        <v>0</v>
      </c>
      <c r="T26" s="397" t="n">
        <f aca="false">$D26*T$14*(1+$E26)^T$6</f>
        <v>0</v>
      </c>
      <c r="U26" s="397" t="n">
        <f aca="false">$D26*U$14*(1+$E26)^U$6</f>
        <v>0</v>
      </c>
      <c r="V26" s="397" t="n">
        <f aca="false">$D26*V$14*(1+$E26)^V$6</f>
        <v>0</v>
      </c>
      <c r="W26" s="397" t="n">
        <f aca="false">$D26*W$14*(1+$E26)^W$6</f>
        <v>0</v>
      </c>
      <c r="X26" s="397" t="n">
        <f aca="false">$D26*X$14*(1+$E26)^X$6</f>
        <v>0</v>
      </c>
      <c r="Y26" s="397" t="n">
        <f aca="false">$D26*Y$14*(1+$E26)^Y$6</f>
        <v>0</v>
      </c>
      <c r="Z26" s="397" t="n">
        <f aca="false">$D26*Z$14*(1+$E26)^Z$6</f>
        <v>0</v>
      </c>
      <c r="AA26" s="397" t="n">
        <f aca="false">$D26*AA$14*(1+$E26)^AA$6</f>
        <v>0</v>
      </c>
      <c r="AB26" s="397" t="n">
        <f aca="false">$D26*AB$14*(1+$E26)^AB$6</f>
        <v>0</v>
      </c>
      <c r="AC26" s="397" t="n">
        <f aca="false">$D26*AC$14*(1+$E26)^AC$6</f>
        <v>0</v>
      </c>
      <c r="AD26" s="397" t="n">
        <f aca="false">$D26*AD$14*(1+$E26)^AD$6</f>
        <v>0</v>
      </c>
      <c r="AE26" s="397" t="n">
        <f aca="false">$D26*AE$14*(1+$E26)^AE$6</f>
        <v>0</v>
      </c>
      <c r="AF26" s="397" t="n">
        <f aca="false">$D26*AF$14*(1+$E26)^AF$6</f>
        <v>0</v>
      </c>
      <c r="AG26" s="397" t="n">
        <f aca="false">$D26*AG$14*(1+$E26)^AG$6</f>
        <v>0</v>
      </c>
      <c r="AH26" s="397" t="n">
        <f aca="false">$D26*AH$14*(1+$E26)^AH$6</f>
        <v>0</v>
      </c>
      <c r="AI26" s="397" t="n">
        <f aca="false">$D26*AI$14*(1+$E26)^AI$6</f>
        <v>0</v>
      </c>
      <c r="AJ26" s="397" t="n">
        <f aca="false">$D26*AJ$14*(1+$E26)^AJ$6</f>
        <v>0</v>
      </c>
      <c r="AK26" s="397" t="n">
        <f aca="false">$D26*AK$14*(1+$E26)^AK$6</f>
        <v>0</v>
      </c>
      <c r="AL26" s="397" t="n">
        <f aca="false">$D26*AL$14*(1+$E26)^AL$6</f>
        <v>0</v>
      </c>
    </row>
    <row r="27" customFormat="false" ht="15" hidden="false" customHeight="false" outlineLevel="1" collapsed="false">
      <c r="C27" s="18" t="s">
        <v>626</v>
      </c>
      <c r="D27" s="271" t="n">
        <f aca="false">SUM('3. Assumptions'!G234)</f>
        <v>187531</v>
      </c>
      <c r="E27" s="403" t="n">
        <f aca="false">IF('1. Project Summary'!$F$13="Real",0,'3. Assumptions'!$E$172)</f>
        <v>0.05</v>
      </c>
      <c r="G27" s="30" t="s">
        <v>112</v>
      </c>
      <c r="H27" s="397" t="n">
        <f aca="false">$D27*H$14*(1+$E27)^H$6</f>
        <v>0</v>
      </c>
      <c r="I27" s="397" t="n">
        <f aca="false">$D27*I$14*(1+$E27)^I$6</f>
        <v>0</v>
      </c>
      <c r="J27" s="397" t="n">
        <f aca="false">$D27*J$14*(1+$E27)^J$6</f>
        <v>0</v>
      </c>
      <c r="K27" s="397" t="n">
        <f aca="false">$D27*K$14*(1+$E27)^K$6</f>
        <v>0</v>
      </c>
      <c r="L27" s="397" t="n">
        <f aca="false">$D27*L$14*(1+$E27)^L$6</f>
        <v>0</v>
      </c>
      <c r="M27" s="397" t="n">
        <f aca="false">$D27*M$14*(1+$E27)^M$6</f>
        <v>0</v>
      </c>
      <c r="N27" s="397" t="n">
        <f aca="false">$D27*N$14*(1+$E27)^N$6</f>
        <v>0</v>
      </c>
      <c r="O27" s="397" t="n">
        <f aca="false">$D27*O$14*(1+$E27)^O$6</f>
        <v>0</v>
      </c>
      <c r="P27" s="397" t="n">
        <f aca="false">$D27*P$14*(1+$E27)^P$6</f>
        <v>0</v>
      </c>
      <c r="Q27" s="397" t="n">
        <f aca="false">$D27*Q$14*(1+$E27)^Q$6</f>
        <v>0</v>
      </c>
      <c r="R27" s="397" t="n">
        <f aca="false">$D27*R$14*(1+$E27)^R$6</f>
        <v>0</v>
      </c>
      <c r="S27" s="397" t="n">
        <f aca="false">$D27*S$14*(1+$E27)^S$6</f>
        <v>0</v>
      </c>
      <c r="T27" s="397" t="n">
        <f aca="false">$D27*T$14*(1+$E27)^T$6</f>
        <v>0</v>
      </c>
      <c r="U27" s="397" t="n">
        <f aca="false">$D27*U$14*(1+$E27)^U$6</f>
        <v>0</v>
      </c>
      <c r="V27" s="397" t="n">
        <f aca="false">$D27*V$14*(1+$E27)^V$6</f>
        <v>0</v>
      </c>
      <c r="W27" s="397" t="n">
        <f aca="false">$D27*W$14*(1+$E27)^W$6</f>
        <v>0</v>
      </c>
      <c r="X27" s="397" t="n">
        <f aca="false">$D27*X$14*(1+$E27)^X$6</f>
        <v>0</v>
      </c>
      <c r="Y27" s="397" t="n">
        <f aca="false">$D27*Y$14*(1+$E27)^Y$6</f>
        <v>0</v>
      </c>
      <c r="Z27" s="397" t="n">
        <f aca="false">$D27*Z$14*(1+$E27)^Z$6</f>
        <v>0</v>
      </c>
      <c r="AA27" s="397" t="n">
        <f aca="false">$D27*AA$14*(1+$E27)^AA$6</f>
        <v>0</v>
      </c>
      <c r="AB27" s="397" t="n">
        <f aca="false">$D27*AB$14*(1+$E27)^AB$6</f>
        <v>0</v>
      </c>
      <c r="AC27" s="397" t="n">
        <f aca="false">$D27*AC$14*(1+$E27)^AC$6</f>
        <v>0</v>
      </c>
      <c r="AD27" s="397" t="n">
        <f aca="false">$D27*AD$14*(1+$E27)^AD$6</f>
        <v>0</v>
      </c>
      <c r="AE27" s="397" t="n">
        <f aca="false">$D27*AE$14*(1+$E27)^AE$6</f>
        <v>0</v>
      </c>
      <c r="AF27" s="397" t="n">
        <f aca="false">$D27*AF$14*(1+$E27)^AF$6</f>
        <v>0</v>
      </c>
      <c r="AG27" s="397" t="n">
        <f aca="false">$D27*AG$14*(1+$E27)^AG$6</f>
        <v>0</v>
      </c>
      <c r="AH27" s="397" t="n">
        <f aca="false">$D27*AH$14*(1+$E27)^AH$6</f>
        <v>0</v>
      </c>
      <c r="AI27" s="397" t="n">
        <f aca="false">$D27*AI$14*(1+$E27)^AI$6</f>
        <v>0</v>
      </c>
      <c r="AJ27" s="397" t="n">
        <f aca="false">$D27*AJ$14*(1+$E27)^AJ$6</f>
        <v>0</v>
      </c>
      <c r="AK27" s="397" t="n">
        <f aca="false">$D27*AK$14*(1+$E27)^AK$6</f>
        <v>0</v>
      </c>
      <c r="AL27" s="397" t="n">
        <f aca="false">$D27*AL$14*(1+$E27)^AL$6</f>
        <v>0</v>
      </c>
    </row>
    <row r="28" customFormat="false" ht="15" hidden="false" customHeight="false" outlineLevel="1" collapsed="false">
      <c r="C28" s="18" t="s">
        <v>310</v>
      </c>
      <c r="D28" s="271" t="n">
        <f aca="false">'3. Assumptions'!G247</f>
        <v>45000</v>
      </c>
      <c r="E28" s="403" t="n">
        <f aca="false">IF('1. Project Summary'!$F$13="Real",0,'3. Assumptions'!$E$172)</f>
        <v>0.05</v>
      </c>
      <c r="G28" s="30" t="s">
        <v>112</v>
      </c>
      <c r="H28" s="397" t="n">
        <f aca="false">$D28*H$14*(1+$E28)^H$6</f>
        <v>0</v>
      </c>
      <c r="I28" s="397" t="n">
        <f aca="false">$D28*I$14*(1+$E28)^I$6</f>
        <v>0</v>
      </c>
      <c r="J28" s="397" t="n">
        <f aca="false">$D28*J$14*(1+$E28)^J$6</f>
        <v>0</v>
      </c>
      <c r="K28" s="397" t="n">
        <f aca="false">$D28*K$14*(1+$E28)^K$6</f>
        <v>0</v>
      </c>
      <c r="L28" s="397" t="n">
        <f aca="false">$D28*L$14*(1+$E28)^L$6</f>
        <v>0</v>
      </c>
      <c r="M28" s="397" t="n">
        <f aca="false">$D28*M$14*(1+$E28)^M$6</f>
        <v>0</v>
      </c>
      <c r="N28" s="397" t="n">
        <f aca="false">$D28*N$14*(1+$E28)^N$6</f>
        <v>0</v>
      </c>
      <c r="O28" s="397" t="n">
        <f aca="false">$D28*O$14*(1+$E28)^O$6</f>
        <v>0</v>
      </c>
      <c r="P28" s="397" t="n">
        <f aca="false">$D28*P$14*(1+$E28)^P$6</f>
        <v>0</v>
      </c>
      <c r="Q28" s="397" t="n">
        <f aca="false">$D28*Q$14*(1+$E28)^Q$6</f>
        <v>0</v>
      </c>
      <c r="R28" s="397" t="n">
        <f aca="false">$D28*R$14*(1+$E28)^R$6</f>
        <v>0</v>
      </c>
      <c r="S28" s="397" t="n">
        <f aca="false">$D28*S$14*(1+$E28)^S$6</f>
        <v>0</v>
      </c>
      <c r="T28" s="397" t="n">
        <f aca="false">$D28*T$14*(1+$E28)^T$6</f>
        <v>0</v>
      </c>
      <c r="U28" s="397" t="n">
        <f aca="false">$D28*U$14*(1+$E28)^U$6</f>
        <v>0</v>
      </c>
      <c r="V28" s="397" t="n">
        <f aca="false">$D28*V$14*(1+$E28)^V$6</f>
        <v>0</v>
      </c>
      <c r="W28" s="397" t="n">
        <f aca="false">$D28*W$14*(1+$E28)^W$6</f>
        <v>0</v>
      </c>
      <c r="X28" s="397" t="n">
        <f aca="false">$D28*X$14*(1+$E28)^X$6</f>
        <v>0</v>
      </c>
      <c r="Y28" s="397" t="n">
        <f aca="false">$D28*Y$14*(1+$E28)^Y$6</f>
        <v>0</v>
      </c>
      <c r="Z28" s="397" t="n">
        <f aca="false">$D28*Z$14*(1+$E28)^Z$6</f>
        <v>0</v>
      </c>
      <c r="AA28" s="397" t="n">
        <f aca="false">$D28*AA$14*(1+$E28)^AA$6</f>
        <v>0</v>
      </c>
      <c r="AB28" s="397" t="n">
        <f aca="false">$D28*AB$14*(1+$E28)^AB$6</f>
        <v>0</v>
      </c>
      <c r="AC28" s="397" t="n">
        <f aca="false">$D28*AC$14*(1+$E28)^AC$6</f>
        <v>0</v>
      </c>
      <c r="AD28" s="397" t="n">
        <f aca="false">$D28*AD$14*(1+$E28)^AD$6</f>
        <v>0</v>
      </c>
      <c r="AE28" s="397" t="n">
        <f aca="false">$D28*AE$14*(1+$E28)^AE$6</f>
        <v>0</v>
      </c>
      <c r="AF28" s="397" t="n">
        <f aca="false">$D28*AF$14*(1+$E28)^AF$6</f>
        <v>0</v>
      </c>
      <c r="AG28" s="397" t="n">
        <f aca="false">$D28*AG$14*(1+$E28)^AG$6</f>
        <v>0</v>
      </c>
      <c r="AH28" s="397" t="n">
        <f aca="false">$D28*AH$14*(1+$E28)^AH$6</f>
        <v>0</v>
      </c>
      <c r="AI28" s="397" t="n">
        <f aca="false">$D28*AI$14*(1+$E28)^AI$6</f>
        <v>0</v>
      </c>
      <c r="AJ28" s="397" t="n">
        <f aca="false">$D28*AJ$14*(1+$E28)^AJ$6</f>
        <v>0</v>
      </c>
      <c r="AK28" s="397" t="n">
        <f aca="false">$D28*AK$14*(1+$E28)^AK$6</f>
        <v>0</v>
      </c>
      <c r="AL28" s="397" t="n">
        <f aca="false">$D28*AL$14*(1+$E28)^AL$6</f>
        <v>0</v>
      </c>
    </row>
    <row r="29" customFormat="false" ht="15" hidden="false" customHeight="false" outlineLevel="1" collapsed="false">
      <c r="C29" s="0" t="s">
        <v>623</v>
      </c>
      <c r="D29" s="236" t="n">
        <f aca="false">SUM(D30:D33)</f>
        <v>798872</v>
      </c>
      <c r="E29" s="404"/>
      <c r="G29" s="30" t="s">
        <v>112</v>
      </c>
      <c r="H29" s="21" t="n">
        <f aca="false">SUM(H30:H33)</f>
        <v>0</v>
      </c>
      <c r="I29" s="21" t="n">
        <f aca="false">SUM(I30:I33)</f>
        <v>0</v>
      </c>
      <c r="J29" s="21" t="n">
        <f aca="false">SUM(J30:J33)</f>
        <v>0</v>
      </c>
      <c r="K29" s="21" t="n">
        <f aca="false">SUM(K30:K33)</f>
        <v>0</v>
      </c>
      <c r="L29" s="21" t="n">
        <f aca="false">SUM(L30:L33)</f>
        <v>0</v>
      </c>
      <c r="M29" s="21" t="n">
        <f aca="false">SUM(M30:M33)</f>
        <v>0</v>
      </c>
      <c r="N29" s="21" t="n">
        <f aca="false">SUM(N30:N33)</f>
        <v>0</v>
      </c>
      <c r="O29" s="21" t="n">
        <f aca="false">SUM(O30:O33)</f>
        <v>0</v>
      </c>
      <c r="P29" s="21" t="n">
        <f aca="false">SUM(P30:P33)</f>
        <v>0</v>
      </c>
      <c r="Q29" s="21" t="n">
        <f aca="false">SUM(Q30:Q33)</f>
        <v>0</v>
      </c>
      <c r="R29" s="21" t="n">
        <f aca="false">SUM(R30:R33)</f>
        <v>0</v>
      </c>
      <c r="S29" s="21" t="n">
        <f aca="false">SUM(S30:S33)</f>
        <v>0</v>
      </c>
      <c r="T29" s="21" t="n">
        <f aca="false">SUM(T30:T33)</f>
        <v>0</v>
      </c>
      <c r="U29" s="21" t="n">
        <f aca="false">SUM(U30:U33)</f>
        <v>0</v>
      </c>
      <c r="V29" s="21" t="n">
        <f aca="false">SUM(V30:V33)</f>
        <v>0</v>
      </c>
      <c r="W29" s="21" t="n">
        <f aca="false">SUM(W30:W33)</f>
        <v>0</v>
      </c>
      <c r="X29" s="21" t="n">
        <f aca="false">SUM(X30:X33)</f>
        <v>0</v>
      </c>
      <c r="Y29" s="21" t="n">
        <f aca="false">SUM(Y30:Y33)</f>
        <v>0</v>
      </c>
      <c r="Z29" s="21" t="n">
        <f aca="false">SUM(Z30:Z33)</f>
        <v>0</v>
      </c>
      <c r="AA29" s="21" t="n">
        <f aca="false">SUM(AA30:AA33)</f>
        <v>0</v>
      </c>
      <c r="AB29" s="21" t="n">
        <f aca="false">SUM(AB30:AB33)</f>
        <v>0</v>
      </c>
      <c r="AC29" s="21" t="n">
        <f aca="false">SUM(AC30:AC33)</f>
        <v>0</v>
      </c>
      <c r="AD29" s="21" t="n">
        <f aca="false">SUM(AD30:AD33)</f>
        <v>0</v>
      </c>
      <c r="AE29" s="21" t="n">
        <f aca="false">SUM(AE30:AE33)</f>
        <v>0</v>
      </c>
      <c r="AF29" s="21" t="n">
        <f aca="false">SUM(AF30:AF33)</f>
        <v>0</v>
      </c>
      <c r="AG29" s="21" t="n">
        <f aca="false">SUM(AG30:AG33)</f>
        <v>0</v>
      </c>
      <c r="AH29" s="21" t="n">
        <f aca="false">SUM(AH30:AH33)</f>
        <v>0</v>
      </c>
      <c r="AI29" s="21" t="n">
        <f aca="false">SUM(AI30:AI33)</f>
        <v>0</v>
      </c>
      <c r="AJ29" s="21" t="n">
        <f aca="false">SUM(AJ30:AJ33)</f>
        <v>0</v>
      </c>
      <c r="AK29" s="21" t="n">
        <f aca="false">SUM(AK30:AK33)</f>
        <v>0</v>
      </c>
      <c r="AL29" s="21" t="n">
        <f aca="false">SUM(AL30:AL33)</f>
        <v>0</v>
      </c>
    </row>
    <row r="30" customFormat="false" ht="15" hidden="false" customHeight="false" outlineLevel="1" collapsed="false">
      <c r="C30" s="18" t="s">
        <v>292</v>
      </c>
      <c r="D30" s="271" t="n">
        <f aca="false">'3. Assumptions'!G275</f>
        <v>20000</v>
      </c>
      <c r="E30" s="403" t="n">
        <f aca="false">IF('1. Project Summary'!$F$13="Real",0,'3. Assumptions'!$E$172)</f>
        <v>0.05</v>
      </c>
      <c r="G30" s="30" t="s">
        <v>112</v>
      </c>
      <c r="H30" s="397" t="n">
        <f aca="false">$D30*H$15*(1+$E30)^H$6</f>
        <v>0</v>
      </c>
      <c r="I30" s="397" t="n">
        <f aca="false">$D30*I$15*(1+$E30)^I$6</f>
        <v>0</v>
      </c>
      <c r="J30" s="397" t="n">
        <f aca="false">$D30*J$15*(1+$E30)^J$6</f>
        <v>0</v>
      </c>
      <c r="K30" s="397" t="n">
        <f aca="false">$D30*K$15*(1+$E30)^K$6</f>
        <v>0</v>
      </c>
      <c r="L30" s="397" t="n">
        <f aca="false">$D30*L$15*(1+$E30)^L$6</f>
        <v>0</v>
      </c>
      <c r="M30" s="397" t="n">
        <f aca="false">$D30*M$15*(1+$E30)^M$6</f>
        <v>0</v>
      </c>
      <c r="N30" s="397" t="n">
        <f aca="false">$D30*N$15*(1+$E30)^N$6</f>
        <v>0</v>
      </c>
      <c r="O30" s="397" t="n">
        <f aca="false">$D30*O$15*(1+$E30)^O$6</f>
        <v>0</v>
      </c>
      <c r="P30" s="397" t="n">
        <f aca="false">$D30*P$15*(1+$E30)^P$6</f>
        <v>0</v>
      </c>
      <c r="Q30" s="397" t="n">
        <f aca="false">$D30*Q$15*(1+$E30)^Q$6</f>
        <v>0</v>
      </c>
      <c r="R30" s="397" t="n">
        <f aca="false">$D30*R$15*(1+$E30)^R$6</f>
        <v>0</v>
      </c>
      <c r="S30" s="397" t="n">
        <f aca="false">$D30*S$15*(1+$E30)^S$6</f>
        <v>0</v>
      </c>
      <c r="T30" s="397" t="n">
        <f aca="false">$D30*T$15*(1+$E30)^T$6</f>
        <v>0</v>
      </c>
      <c r="U30" s="397" t="n">
        <f aca="false">$D30*U$15*(1+$E30)^U$6</f>
        <v>0</v>
      </c>
      <c r="V30" s="397" t="n">
        <f aca="false">$D30*V$15*(1+$E30)^V$6</f>
        <v>0</v>
      </c>
      <c r="W30" s="397" t="n">
        <f aca="false">$D30*W$15*(1+$E30)^W$6</f>
        <v>0</v>
      </c>
      <c r="X30" s="397" t="n">
        <f aca="false">$D30*X$15*(1+$E30)^X$6</f>
        <v>0</v>
      </c>
      <c r="Y30" s="397" t="n">
        <f aca="false">$D30*Y$15*(1+$E30)^Y$6</f>
        <v>0</v>
      </c>
      <c r="Z30" s="397" t="n">
        <f aca="false">$D30*Z$15*(1+$E30)^Z$6</f>
        <v>0</v>
      </c>
      <c r="AA30" s="397" t="n">
        <f aca="false">$D30*AA$15*(1+$E30)^AA$6</f>
        <v>0</v>
      </c>
      <c r="AB30" s="397" t="n">
        <f aca="false">$D30*AB$15*(1+$E30)^AB$6</f>
        <v>0</v>
      </c>
      <c r="AC30" s="397" t="n">
        <f aca="false">$D30*AC$15*(1+$E30)^AC$6</f>
        <v>0</v>
      </c>
      <c r="AD30" s="397" t="n">
        <f aca="false">$D30*AD$15*(1+$E30)^AD$6</f>
        <v>0</v>
      </c>
      <c r="AE30" s="397" t="n">
        <f aca="false">$D30*AE$15*(1+$E30)^AE$6</f>
        <v>0</v>
      </c>
      <c r="AF30" s="397" t="n">
        <f aca="false">$D30*AF$15*(1+$E30)^AF$6</f>
        <v>0</v>
      </c>
      <c r="AG30" s="397" t="n">
        <f aca="false">$D30*AG$15*(1+$E30)^AG$6</f>
        <v>0</v>
      </c>
      <c r="AH30" s="397" t="n">
        <f aca="false">$D30*AH$15*(1+$E30)^AH$6</f>
        <v>0</v>
      </c>
      <c r="AI30" s="397" t="n">
        <f aca="false">$D30*AI$15*(1+$E30)^AI$6</f>
        <v>0</v>
      </c>
      <c r="AJ30" s="397" t="n">
        <f aca="false">$D30*AJ$15*(1+$E30)^AJ$6</f>
        <v>0</v>
      </c>
      <c r="AK30" s="397" t="n">
        <f aca="false">$D30*AK$15*(1+$E30)^AK$6</f>
        <v>0</v>
      </c>
      <c r="AL30" s="397" t="n">
        <f aca="false">$D30*AL$15*(1+$E30)^AL$6</f>
        <v>0</v>
      </c>
    </row>
    <row r="31" customFormat="false" ht="15" hidden="false" customHeight="false" outlineLevel="1" collapsed="false">
      <c r="C31" s="18" t="s">
        <v>403</v>
      </c>
      <c r="D31" s="271" t="n">
        <f aca="false">SUM('3. Assumptions'!G276:G281)</f>
        <v>390000</v>
      </c>
      <c r="E31" s="403" t="n">
        <f aca="false">IF('1. Project Summary'!$F$13="Real",0,'3. Assumptions'!$E$172)</f>
        <v>0.05</v>
      </c>
      <c r="G31" s="30" t="s">
        <v>112</v>
      </c>
      <c r="H31" s="397" t="n">
        <f aca="false">$D31*H$15*(1+$E31)^H$6</f>
        <v>0</v>
      </c>
      <c r="I31" s="397" t="n">
        <f aca="false">$D31*I$15*(1+$E31)^I$6</f>
        <v>0</v>
      </c>
      <c r="J31" s="397" t="n">
        <f aca="false">$D31*J$15*(1+$E31)^J$6</f>
        <v>0</v>
      </c>
      <c r="K31" s="397" t="n">
        <f aca="false">$D31*K$15*(1+$E31)^K$6</f>
        <v>0</v>
      </c>
      <c r="L31" s="397" t="n">
        <f aca="false">$D31*L$15*(1+$E31)^L$6</f>
        <v>0</v>
      </c>
      <c r="M31" s="397" t="n">
        <f aca="false">$D31*M$15*(1+$E31)^M$6</f>
        <v>0</v>
      </c>
      <c r="N31" s="397" t="n">
        <f aca="false">$D31*N$15*(1+$E31)^N$6</f>
        <v>0</v>
      </c>
      <c r="O31" s="397" t="n">
        <f aca="false">$D31*O$15*(1+$E31)^O$6</f>
        <v>0</v>
      </c>
      <c r="P31" s="397" t="n">
        <f aca="false">$D31*P$15*(1+$E31)^P$6</f>
        <v>0</v>
      </c>
      <c r="Q31" s="397" t="n">
        <f aca="false">$D31*Q$15*(1+$E31)^Q$6</f>
        <v>0</v>
      </c>
      <c r="R31" s="397" t="n">
        <f aca="false">$D31*R$15*(1+$E31)^R$6</f>
        <v>0</v>
      </c>
      <c r="S31" s="397" t="n">
        <f aca="false">$D31*S$15*(1+$E31)^S$6</f>
        <v>0</v>
      </c>
      <c r="T31" s="397" t="n">
        <f aca="false">$D31*T$15*(1+$E31)^T$6</f>
        <v>0</v>
      </c>
      <c r="U31" s="397" t="n">
        <f aca="false">$D31*U$15*(1+$E31)^U$6</f>
        <v>0</v>
      </c>
      <c r="V31" s="397" t="n">
        <f aca="false">$D31*V$15*(1+$E31)^V$6</f>
        <v>0</v>
      </c>
      <c r="W31" s="397" t="n">
        <f aca="false">$D31*W$15*(1+$E31)^W$6</f>
        <v>0</v>
      </c>
      <c r="X31" s="397" t="n">
        <f aca="false">$D31*X$15*(1+$E31)^X$6</f>
        <v>0</v>
      </c>
      <c r="Y31" s="397" t="n">
        <f aca="false">$D31*Y$15*(1+$E31)^Y$6</f>
        <v>0</v>
      </c>
      <c r="Z31" s="397" t="n">
        <f aca="false">$D31*Z$15*(1+$E31)^Z$6</f>
        <v>0</v>
      </c>
      <c r="AA31" s="397" t="n">
        <f aca="false">$D31*AA$15*(1+$E31)^AA$6</f>
        <v>0</v>
      </c>
      <c r="AB31" s="397" t="n">
        <f aca="false">$D31*AB$15*(1+$E31)^AB$6</f>
        <v>0</v>
      </c>
      <c r="AC31" s="397" t="n">
        <f aca="false">$D31*AC$15*(1+$E31)^AC$6</f>
        <v>0</v>
      </c>
      <c r="AD31" s="397" t="n">
        <f aca="false">$D31*AD$15*(1+$E31)^AD$6</f>
        <v>0</v>
      </c>
      <c r="AE31" s="397" t="n">
        <f aca="false">$D31*AE$15*(1+$E31)^AE$6</f>
        <v>0</v>
      </c>
      <c r="AF31" s="397" t="n">
        <f aca="false">$D31*AF$15*(1+$E31)^AF$6</f>
        <v>0</v>
      </c>
      <c r="AG31" s="397" t="n">
        <f aca="false">$D31*AG$15*(1+$E31)^AG$6</f>
        <v>0</v>
      </c>
      <c r="AH31" s="397" t="n">
        <f aca="false">$D31*AH$15*(1+$E31)^AH$6</f>
        <v>0</v>
      </c>
      <c r="AI31" s="397" t="n">
        <f aca="false">$D31*AI$15*(1+$E31)^AI$6</f>
        <v>0</v>
      </c>
      <c r="AJ31" s="397" t="n">
        <f aca="false">$D31*AJ$15*(1+$E31)^AJ$6</f>
        <v>0</v>
      </c>
      <c r="AK31" s="397" t="n">
        <f aca="false">$D31*AK$15*(1+$E31)^AK$6</f>
        <v>0</v>
      </c>
      <c r="AL31" s="397" t="n">
        <f aca="false">$D31*AL$15*(1+$E31)^AL$6</f>
        <v>0</v>
      </c>
    </row>
    <row r="32" customFormat="false" ht="15" hidden="false" customHeight="false" outlineLevel="1" collapsed="false">
      <c r="C32" s="18" t="s">
        <v>626</v>
      </c>
      <c r="D32" s="271" t="n">
        <f aca="false">'3. Assumptions'!G282</f>
        <v>318872</v>
      </c>
      <c r="E32" s="403" t="n">
        <f aca="false">IF('1. Project Summary'!$F$13="Real",0,'3. Assumptions'!$E$172)</f>
        <v>0.05</v>
      </c>
      <c r="G32" s="30" t="s">
        <v>112</v>
      </c>
      <c r="H32" s="397" t="n">
        <f aca="false">$D32*H$15*(1+$E32)^H$6</f>
        <v>0</v>
      </c>
      <c r="I32" s="397" t="n">
        <f aca="false">$D32*I$15*(1+$E32)^I$6</f>
        <v>0</v>
      </c>
      <c r="J32" s="397" t="n">
        <f aca="false">$D32*J$15*(1+$E32)^J$6</f>
        <v>0</v>
      </c>
      <c r="K32" s="397" t="n">
        <f aca="false">$D32*K$15*(1+$E32)^K$6</f>
        <v>0</v>
      </c>
      <c r="L32" s="397" t="n">
        <f aca="false">$D32*L$15*(1+$E32)^L$6</f>
        <v>0</v>
      </c>
      <c r="M32" s="397" t="n">
        <f aca="false">$D32*M$15*(1+$E32)^M$6</f>
        <v>0</v>
      </c>
      <c r="N32" s="397" t="n">
        <f aca="false">$D32*N$15*(1+$E32)^N$6</f>
        <v>0</v>
      </c>
      <c r="O32" s="397" t="n">
        <f aca="false">$D32*O$15*(1+$E32)^O$6</f>
        <v>0</v>
      </c>
      <c r="P32" s="397" t="n">
        <f aca="false">$D32*P$15*(1+$E32)^P$6</f>
        <v>0</v>
      </c>
      <c r="Q32" s="397" t="n">
        <f aca="false">$D32*Q$15*(1+$E32)^Q$6</f>
        <v>0</v>
      </c>
      <c r="R32" s="397" t="n">
        <f aca="false">$D32*R$15*(1+$E32)^R$6</f>
        <v>0</v>
      </c>
      <c r="S32" s="397" t="n">
        <f aca="false">$D32*S$15*(1+$E32)^S$6</f>
        <v>0</v>
      </c>
      <c r="T32" s="397" t="n">
        <f aca="false">$D32*T$15*(1+$E32)^T$6</f>
        <v>0</v>
      </c>
      <c r="U32" s="397" t="n">
        <f aca="false">$D32*U$15*(1+$E32)^U$6</f>
        <v>0</v>
      </c>
      <c r="V32" s="397" t="n">
        <f aca="false">$D32*V$15*(1+$E32)^V$6</f>
        <v>0</v>
      </c>
      <c r="W32" s="397" t="n">
        <f aca="false">$D32*W$15*(1+$E32)^W$6</f>
        <v>0</v>
      </c>
      <c r="X32" s="397" t="n">
        <f aca="false">$D32*X$15*(1+$E32)^X$6</f>
        <v>0</v>
      </c>
      <c r="Y32" s="397" t="n">
        <f aca="false">$D32*Y$15*(1+$E32)^Y$6</f>
        <v>0</v>
      </c>
      <c r="Z32" s="397" t="n">
        <f aca="false">$D32*Z$15*(1+$E32)^Z$6</f>
        <v>0</v>
      </c>
      <c r="AA32" s="397" t="n">
        <f aca="false">$D32*AA$15*(1+$E32)^AA$6</f>
        <v>0</v>
      </c>
      <c r="AB32" s="397" t="n">
        <f aca="false">$D32*AB$15*(1+$E32)^AB$6</f>
        <v>0</v>
      </c>
      <c r="AC32" s="397" t="n">
        <f aca="false">$D32*AC$15*(1+$E32)^AC$6</f>
        <v>0</v>
      </c>
      <c r="AD32" s="397" t="n">
        <f aca="false">$D32*AD$15*(1+$E32)^AD$6</f>
        <v>0</v>
      </c>
      <c r="AE32" s="397" t="n">
        <f aca="false">$D32*AE$15*(1+$E32)^AE$6</f>
        <v>0</v>
      </c>
      <c r="AF32" s="397" t="n">
        <f aca="false">$D32*AF$15*(1+$E32)^AF$6</f>
        <v>0</v>
      </c>
      <c r="AG32" s="397" t="n">
        <f aca="false">$D32*AG$15*(1+$E32)^AG$6</f>
        <v>0</v>
      </c>
      <c r="AH32" s="397" t="n">
        <f aca="false">$D32*AH$15*(1+$E32)^AH$6</f>
        <v>0</v>
      </c>
      <c r="AI32" s="397" t="n">
        <f aca="false">$D32*AI$15*(1+$E32)^AI$6</f>
        <v>0</v>
      </c>
      <c r="AJ32" s="397" t="n">
        <f aca="false">$D32*AJ$15*(1+$E32)^AJ$6</f>
        <v>0</v>
      </c>
      <c r="AK32" s="397" t="n">
        <f aca="false">$D32*AK$15*(1+$E32)^AK$6</f>
        <v>0</v>
      </c>
      <c r="AL32" s="397" t="n">
        <f aca="false">$D32*AL$15*(1+$E32)^AL$6</f>
        <v>0</v>
      </c>
    </row>
    <row r="33" customFormat="false" ht="15" hidden="false" customHeight="false" outlineLevel="1" collapsed="false">
      <c r="B33" s="56"/>
      <c r="C33" s="405" t="s">
        <v>310</v>
      </c>
      <c r="D33" s="271" t="n">
        <f aca="false">'3. Assumptions'!G296</f>
        <v>70000</v>
      </c>
      <c r="E33" s="403" t="n">
        <f aca="false">IF('1. Project Summary'!$F$13="Real",0,'3. Assumptions'!$E$172)</f>
        <v>0.05</v>
      </c>
      <c r="F33" s="56"/>
      <c r="G33" s="208" t="s">
        <v>112</v>
      </c>
      <c r="H33" s="406" t="n">
        <f aca="false">$D33*H$15*(1+$E33)^H$6</f>
        <v>0</v>
      </c>
      <c r="I33" s="406" t="n">
        <f aca="false">$D33*I$15*(1+$E33)^I$6</f>
        <v>0</v>
      </c>
      <c r="J33" s="406" t="n">
        <f aca="false">$D33*J$15*(1+$E33)^J$6</f>
        <v>0</v>
      </c>
      <c r="K33" s="406" t="n">
        <f aca="false">$D33*K$15*(1+$E33)^K$6</f>
        <v>0</v>
      </c>
      <c r="L33" s="406" t="n">
        <f aca="false">$D33*L$15*(1+$E33)^L$6</f>
        <v>0</v>
      </c>
      <c r="M33" s="406" t="n">
        <f aca="false">$D33*M$15*(1+$E33)^M$6</f>
        <v>0</v>
      </c>
      <c r="N33" s="406" t="n">
        <f aca="false">$D33*N$15*(1+$E33)^N$6</f>
        <v>0</v>
      </c>
      <c r="O33" s="406" t="n">
        <f aca="false">$D33*O$15*(1+$E33)^O$6</f>
        <v>0</v>
      </c>
      <c r="P33" s="406" t="n">
        <f aca="false">$D33*P$15*(1+$E33)^P$6</f>
        <v>0</v>
      </c>
      <c r="Q33" s="406" t="n">
        <f aca="false">$D33*Q$15*(1+$E33)^Q$6</f>
        <v>0</v>
      </c>
      <c r="R33" s="406" t="n">
        <f aca="false">$D33*R$15*(1+$E33)^R$6</f>
        <v>0</v>
      </c>
      <c r="S33" s="406" t="n">
        <f aca="false">$D33*S$15*(1+$E33)^S$6</f>
        <v>0</v>
      </c>
      <c r="T33" s="406" t="n">
        <f aca="false">$D33*T$15*(1+$E33)^T$6</f>
        <v>0</v>
      </c>
      <c r="U33" s="406" t="n">
        <f aca="false">$D33*U$15*(1+$E33)^U$6</f>
        <v>0</v>
      </c>
      <c r="V33" s="406" t="n">
        <f aca="false">$D33*V$15*(1+$E33)^V$6</f>
        <v>0</v>
      </c>
      <c r="W33" s="406" t="n">
        <f aca="false">$D33*W$15*(1+$E33)^W$6</f>
        <v>0</v>
      </c>
      <c r="X33" s="406" t="n">
        <f aca="false">$D33*X$15*(1+$E33)^X$6</f>
        <v>0</v>
      </c>
      <c r="Y33" s="406" t="n">
        <f aca="false">$D33*Y$15*(1+$E33)^Y$6</f>
        <v>0</v>
      </c>
      <c r="Z33" s="406" t="n">
        <f aca="false">$D33*Z$15*(1+$E33)^Z$6</f>
        <v>0</v>
      </c>
      <c r="AA33" s="406" t="n">
        <f aca="false">$D33*AA$15*(1+$E33)^AA$6</f>
        <v>0</v>
      </c>
      <c r="AB33" s="406" t="n">
        <f aca="false">$D33*AB$15*(1+$E33)^AB$6</f>
        <v>0</v>
      </c>
      <c r="AC33" s="406" t="n">
        <f aca="false">$D33*AC$15*(1+$E33)^AC$6</f>
        <v>0</v>
      </c>
      <c r="AD33" s="406" t="n">
        <f aca="false">$D33*AD$15*(1+$E33)^AD$6</f>
        <v>0</v>
      </c>
      <c r="AE33" s="406" t="n">
        <f aca="false">$D33*AE$15*(1+$E33)^AE$6</f>
        <v>0</v>
      </c>
      <c r="AF33" s="406" t="n">
        <f aca="false">$D33*AF$15*(1+$E33)^AF$6</f>
        <v>0</v>
      </c>
      <c r="AG33" s="406" t="n">
        <f aca="false">$D33*AG$15*(1+$E33)^AG$6</f>
        <v>0</v>
      </c>
      <c r="AH33" s="406" t="n">
        <f aca="false">$D33*AH$15*(1+$E33)^AH$6</f>
        <v>0</v>
      </c>
      <c r="AI33" s="406" t="n">
        <f aca="false">$D33*AI$15*(1+$E33)^AI$6</f>
        <v>0</v>
      </c>
      <c r="AJ33" s="406" t="n">
        <f aca="false">$D33*AJ$15*(1+$E33)^AJ$6</f>
        <v>0</v>
      </c>
      <c r="AK33" s="406" t="n">
        <f aca="false">$D33*AK$15*(1+$E33)^AK$6</f>
        <v>0</v>
      </c>
      <c r="AL33" s="406" t="n">
        <f aca="false">$D33*AL$15*(1+$E33)^AL$6</f>
        <v>0</v>
      </c>
    </row>
    <row r="34" customFormat="false" ht="15" hidden="false" customHeight="false" outlineLevel="1" collapsed="false">
      <c r="B34" s="13" t="str">
        <f aca="false">"Total "&amp;B18</f>
        <v>Total Processing Center - CAPEX</v>
      </c>
      <c r="G34" s="367" t="s">
        <v>112</v>
      </c>
      <c r="H34" s="60" t="n">
        <f aca="false">H29+H24+H19</f>
        <v>0</v>
      </c>
      <c r="I34" s="60" t="n">
        <f aca="false">I29+I24+I19</f>
        <v>735993.72</v>
      </c>
      <c r="J34" s="60" t="n">
        <f aca="false">J29+J24+J19</f>
        <v>772793.406</v>
      </c>
      <c r="K34" s="60" t="n">
        <f aca="false">K29+K24+K19</f>
        <v>811433.0763</v>
      </c>
      <c r="L34" s="60" t="n">
        <f aca="false">L29+L24+L19</f>
        <v>852004.730115</v>
      </c>
      <c r="M34" s="60" t="n">
        <f aca="false">M29+M24+M19</f>
        <v>894604.96662075</v>
      </c>
      <c r="N34" s="60" t="n">
        <f aca="false">N29+N24+N19</f>
        <v>939335.214951788</v>
      </c>
      <c r="O34" s="60" t="n">
        <f aca="false">O29+O24+O19</f>
        <v>986301.975699377</v>
      </c>
      <c r="P34" s="60" t="n">
        <f aca="false">P29+P24+P19</f>
        <v>1035617.07448435</v>
      </c>
      <c r="Q34" s="60" t="n">
        <f aca="false">Q29+Q24+Q19</f>
        <v>1087397.92820856</v>
      </c>
      <c r="R34" s="60" t="n">
        <f aca="false">R29+R24+R19</f>
        <v>0</v>
      </c>
      <c r="S34" s="60" t="n">
        <f aca="false">S29+S24+S19</f>
        <v>0</v>
      </c>
      <c r="T34" s="60" t="n">
        <f aca="false">T29+T24+T19</f>
        <v>0</v>
      </c>
      <c r="U34" s="60" t="n">
        <f aca="false">U29+U24+U19</f>
        <v>0</v>
      </c>
      <c r="V34" s="60" t="n">
        <f aca="false">V29+V24+V19</f>
        <v>0</v>
      </c>
      <c r="W34" s="60" t="n">
        <f aca="false">W29+W24+W19</f>
        <v>0</v>
      </c>
      <c r="X34" s="60" t="n">
        <f aca="false">X29+X24+X19</f>
        <v>0</v>
      </c>
      <c r="Y34" s="60" t="n">
        <f aca="false">Y29+Y24+Y19</f>
        <v>0</v>
      </c>
      <c r="Z34" s="60" t="n">
        <f aca="false">Z29+Z24+Z19</f>
        <v>0</v>
      </c>
      <c r="AA34" s="60" t="n">
        <f aca="false">AA29+AA24+AA19</f>
        <v>0</v>
      </c>
      <c r="AB34" s="60" t="n">
        <f aca="false">AB29+AB24+AB19</f>
        <v>0</v>
      </c>
      <c r="AC34" s="60" t="n">
        <f aca="false">AC29+AC24+AC19</f>
        <v>0</v>
      </c>
      <c r="AD34" s="60" t="n">
        <f aca="false">AD29+AD24+AD19</f>
        <v>0</v>
      </c>
      <c r="AE34" s="60" t="n">
        <f aca="false">AE29+AE24+AE19</f>
        <v>0</v>
      </c>
      <c r="AF34" s="60" t="n">
        <f aca="false">AF29+AF24+AF19</f>
        <v>0</v>
      </c>
      <c r="AG34" s="60" t="n">
        <f aca="false">AG29+AG24+AG19</f>
        <v>0</v>
      </c>
      <c r="AH34" s="60" t="n">
        <f aca="false">AH29+AH24+AH19</f>
        <v>0</v>
      </c>
      <c r="AI34" s="60" t="n">
        <f aca="false">AI29+AI24+AI19</f>
        <v>0</v>
      </c>
      <c r="AJ34" s="60" t="n">
        <f aca="false">AJ29+AJ24+AJ19</f>
        <v>0</v>
      </c>
      <c r="AK34" s="60" t="n">
        <f aca="false">AK29+AK24+AK19</f>
        <v>0</v>
      </c>
      <c r="AL34" s="60" t="n">
        <f aca="false">AL29+AL24+AL19</f>
        <v>0</v>
      </c>
    </row>
    <row r="35" customFormat="false" ht="15" hidden="false" customHeight="false" outlineLevel="1" collapsed="false"/>
    <row r="36" customFormat="false" ht="15" hidden="false" customHeight="false" outlineLevel="0" collapsed="false">
      <c r="B36" s="401" t="s">
        <v>627</v>
      </c>
      <c r="C36" s="363"/>
      <c r="D36" s="364"/>
      <c r="E36" s="363"/>
      <c r="F36" s="363"/>
      <c r="G36" s="365"/>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row>
    <row r="37" customFormat="false" ht="15" hidden="false" customHeight="false" outlineLevel="1" collapsed="false"/>
    <row r="38" customFormat="false" ht="15" hidden="false" customHeight="false" outlineLevel="1" collapsed="false">
      <c r="B38" s="13" t="s">
        <v>620</v>
      </c>
    </row>
    <row r="39" customFormat="false" ht="15" hidden="false" customHeight="false" outlineLevel="1" collapsed="false">
      <c r="C39" s="0" t="s">
        <v>621</v>
      </c>
      <c r="G39" s="151" t="s">
        <v>628</v>
      </c>
      <c r="H39" s="55" t="n">
        <f aca="false">SUM($H13:H13)</f>
        <v>0</v>
      </c>
      <c r="I39" s="55" t="n">
        <f aca="false">SUM($H13:I13)</f>
        <v>2</v>
      </c>
      <c r="J39" s="55" t="n">
        <f aca="false">SUM($H13:J13)</f>
        <v>4</v>
      </c>
      <c r="K39" s="55" t="n">
        <f aca="false">SUM($H13:K13)</f>
        <v>6</v>
      </c>
      <c r="L39" s="55" t="n">
        <f aca="false">SUM($H13:L13)</f>
        <v>8</v>
      </c>
      <c r="M39" s="55" t="n">
        <f aca="false">SUM($H13:M13)</f>
        <v>10</v>
      </c>
      <c r="N39" s="55" t="n">
        <f aca="false">SUM($H13:N13)</f>
        <v>12</v>
      </c>
      <c r="O39" s="55" t="n">
        <f aca="false">SUM($H13:O13)</f>
        <v>14</v>
      </c>
      <c r="P39" s="55" t="n">
        <f aca="false">SUM($H13:P13)</f>
        <v>16</v>
      </c>
      <c r="Q39" s="55" t="n">
        <f aca="false">SUM($H13:Q13)</f>
        <v>18</v>
      </c>
      <c r="R39" s="55" t="n">
        <f aca="false">SUM($H13:R13)</f>
        <v>18</v>
      </c>
      <c r="S39" s="55" t="n">
        <f aca="false">SUM($H13:S13)</f>
        <v>18</v>
      </c>
      <c r="T39" s="55" t="n">
        <f aca="false">SUM($H13:T13)</f>
        <v>18</v>
      </c>
      <c r="U39" s="55" t="n">
        <f aca="false">SUM($H13:U13)</f>
        <v>18</v>
      </c>
      <c r="V39" s="55" t="n">
        <f aca="false">SUM($H13:V13)</f>
        <v>18</v>
      </c>
      <c r="W39" s="55" t="n">
        <f aca="false">SUM($H13:W13)</f>
        <v>18</v>
      </c>
      <c r="X39" s="55" t="n">
        <f aca="false">SUM($H13:X13)</f>
        <v>18</v>
      </c>
      <c r="Y39" s="55" t="n">
        <f aca="false">SUM($H13:Y13)</f>
        <v>18</v>
      </c>
      <c r="Z39" s="55" t="n">
        <f aca="false">SUM($H13:Z13)</f>
        <v>18</v>
      </c>
      <c r="AA39" s="55" t="n">
        <f aca="false">SUM($H13:AA13)</f>
        <v>18</v>
      </c>
      <c r="AB39" s="55" t="n">
        <f aca="false">SUM($H13:AB13)</f>
        <v>18</v>
      </c>
      <c r="AC39" s="55" t="n">
        <f aca="false">SUM($H13:AC13)</f>
        <v>18</v>
      </c>
      <c r="AD39" s="55" t="n">
        <f aca="false">SUM($H13:AD13)</f>
        <v>18</v>
      </c>
      <c r="AE39" s="55" t="n">
        <f aca="false">SUM($H13:AE13)</f>
        <v>18</v>
      </c>
      <c r="AF39" s="55" t="n">
        <f aca="false">SUM($H13:AF13)</f>
        <v>18</v>
      </c>
      <c r="AG39" s="55" t="n">
        <f aca="false">SUM($H13:AG13)</f>
        <v>18</v>
      </c>
      <c r="AH39" s="55" t="n">
        <f aca="false">SUM($H13:AH13)</f>
        <v>18</v>
      </c>
      <c r="AI39" s="55" t="n">
        <f aca="false">SUM($H13:AI13)</f>
        <v>18</v>
      </c>
      <c r="AJ39" s="55" t="n">
        <f aca="false">SUM($H13:AJ13)</f>
        <v>18</v>
      </c>
      <c r="AK39" s="55" t="n">
        <f aca="false">SUM($H13:AK13)</f>
        <v>18</v>
      </c>
      <c r="AL39" s="55" t="n">
        <f aca="false">SUM($H13:AL13)</f>
        <v>18</v>
      </c>
    </row>
    <row r="40" customFormat="false" ht="15" hidden="false" customHeight="false" outlineLevel="1" collapsed="false">
      <c r="C40" s="0" t="s">
        <v>622</v>
      </c>
      <c r="G40" s="151" t="s">
        <v>628</v>
      </c>
      <c r="H40" s="55" t="n">
        <f aca="false">SUM($H14:H14)</f>
        <v>0</v>
      </c>
      <c r="I40" s="55" t="n">
        <f aca="false">SUM($H14:I14)</f>
        <v>0</v>
      </c>
      <c r="J40" s="55" t="n">
        <f aca="false">SUM($H14:J14)</f>
        <v>0</v>
      </c>
      <c r="K40" s="55" t="n">
        <f aca="false">SUM($H14:K14)</f>
        <v>0</v>
      </c>
      <c r="L40" s="55" t="n">
        <f aca="false">SUM($H14:L14)</f>
        <v>0</v>
      </c>
      <c r="M40" s="55" t="n">
        <f aca="false">SUM($H14:M14)</f>
        <v>0</v>
      </c>
      <c r="N40" s="55" t="n">
        <f aca="false">SUM($H14:N14)</f>
        <v>0</v>
      </c>
      <c r="O40" s="55" t="n">
        <f aca="false">SUM($H14:O14)</f>
        <v>0</v>
      </c>
      <c r="P40" s="55" t="n">
        <f aca="false">SUM($H14:P14)</f>
        <v>0</v>
      </c>
      <c r="Q40" s="55" t="n">
        <f aca="false">SUM($H14:Q14)</f>
        <v>0</v>
      </c>
      <c r="R40" s="55" t="n">
        <f aca="false">SUM($H14:R14)</f>
        <v>0</v>
      </c>
      <c r="S40" s="55" t="n">
        <f aca="false">SUM($H14:S14)</f>
        <v>0</v>
      </c>
      <c r="T40" s="55" t="n">
        <f aca="false">SUM($H14:T14)</f>
        <v>0</v>
      </c>
      <c r="U40" s="55" t="n">
        <f aca="false">SUM($H14:U14)</f>
        <v>0</v>
      </c>
      <c r="V40" s="55" t="n">
        <f aca="false">SUM($H14:V14)</f>
        <v>0</v>
      </c>
      <c r="W40" s="55" t="n">
        <f aca="false">SUM($H14:W14)</f>
        <v>0</v>
      </c>
      <c r="X40" s="55" t="n">
        <f aca="false">SUM($H14:X14)</f>
        <v>0</v>
      </c>
      <c r="Y40" s="55" t="n">
        <f aca="false">SUM($H14:Y14)</f>
        <v>0</v>
      </c>
      <c r="Z40" s="55" t="n">
        <f aca="false">SUM($H14:Z14)</f>
        <v>0</v>
      </c>
      <c r="AA40" s="55" t="n">
        <f aca="false">SUM($H14:AA14)</f>
        <v>0</v>
      </c>
      <c r="AB40" s="55" t="n">
        <f aca="false">SUM($H14:AB14)</f>
        <v>0</v>
      </c>
      <c r="AC40" s="55" t="n">
        <f aca="false">SUM($H14:AC14)</f>
        <v>0</v>
      </c>
      <c r="AD40" s="55" t="n">
        <f aca="false">SUM($H14:AD14)</f>
        <v>0</v>
      </c>
      <c r="AE40" s="55" t="n">
        <f aca="false">SUM($H14:AE14)</f>
        <v>0</v>
      </c>
      <c r="AF40" s="55" t="n">
        <f aca="false">SUM($H14:AF14)</f>
        <v>0</v>
      </c>
      <c r="AG40" s="55" t="n">
        <f aca="false">SUM($H14:AG14)</f>
        <v>0</v>
      </c>
      <c r="AH40" s="55" t="n">
        <f aca="false">SUM($H14:AH14)</f>
        <v>0</v>
      </c>
      <c r="AI40" s="55" t="n">
        <f aca="false">SUM($H14:AI14)</f>
        <v>0</v>
      </c>
      <c r="AJ40" s="55" t="n">
        <f aca="false">SUM($H14:AJ14)</f>
        <v>0</v>
      </c>
      <c r="AK40" s="55" t="n">
        <f aca="false">SUM($H14:AK14)</f>
        <v>0</v>
      </c>
      <c r="AL40" s="55" t="n">
        <f aca="false">SUM($H14:AL14)</f>
        <v>0</v>
      </c>
    </row>
    <row r="41" customFormat="false" ht="15" hidden="false" customHeight="false" outlineLevel="1" collapsed="false">
      <c r="B41" s="56"/>
      <c r="C41" s="56" t="s">
        <v>623</v>
      </c>
      <c r="D41" s="56"/>
      <c r="E41" s="56"/>
      <c r="F41" s="56"/>
      <c r="G41" s="393" t="s">
        <v>628</v>
      </c>
      <c r="H41" s="59" t="n">
        <f aca="false">SUM($H15:H15)</f>
        <v>0</v>
      </c>
      <c r="I41" s="59" t="n">
        <f aca="false">SUM($H15:I15)</f>
        <v>0</v>
      </c>
      <c r="J41" s="59" t="n">
        <f aca="false">SUM($H15:J15)</f>
        <v>0</v>
      </c>
      <c r="K41" s="59" t="n">
        <f aca="false">SUM($H15:K15)</f>
        <v>0</v>
      </c>
      <c r="L41" s="59" t="n">
        <f aca="false">SUM($H15:L15)</f>
        <v>0</v>
      </c>
      <c r="M41" s="59" t="n">
        <f aca="false">SUM($H15:M15)</f>
        <v>0</v>
      </c>
      <c r="N41" s="59" t="n">
        <f aca="false">SUM($H15:N15)</f>
        <v>0</v>
      </c>
      <c r="O41" s="59" t="n">
        <f aca="false">SUM($H15:O15)</f>
        <v>0</v>
      </c>
      <c r="P41" s="59" t="n">
        <f aca="false">SUM($H15:P15)</f>
        <v>0</v>
      </c>
      <c r="Q41" s="59" t="n">
        <f aca="false">SUM($H15:Q15)</f>
        <v>0</v>
      </c>
      <c r="R41" s="59" t="n">
        <f aca="false">SUM($H15:R15)</f>
        <v>0</v>
      </c>
      <c r="S41" s="59" t="n">
        <f aca="false">SUM($H15:S15)</f>
        <v>0</v>
      </c>
      <c r="T41" s="59" t="n">
        <f aca="false">SUM($H15:T15)</f>
        <v>0</v>
      </c>
      <c r="U41" s="59" t="n">
        <f aca="false">SUM($H15:U15)</f>
        <v>0</v>
      </c>
      <c r="V41" s="59" t="n">
        <f aca="false">SUM($H15:V15)</f>
        <v>0</v>
      </c>
      <c r="W41" s="59" t="n">
        <f aca="false">SUM($H15:W15)</f>
        <v>0</v>
      </c>
      <c r="X41" s="59" t="n">
        <f aca="false">SUM($H15:X15)</f>
        <v>0</v>
      </c>
      <c r="Y41" s="59" t="n">
        <f aca="false">SUM($H15:Y15)</f>
        <v>0</v>
      </c>
      <c r="Z41" s="59" t="n">
        <f aca="false">SUM($H15:Z15)</f>
        <v>0</v>
      </c>
      <c r="AA41" s="59" t="n">
        <f aca="false">SUM($H15:AA15)</f>
        <v>0</v>
      </c>
      <c r="AB41" s="59" t="n">
        <f aca="false">SUM($H15:AB15)</f>
        <v>0</v>
      </c>
      <c r="AC41" s="59" t="n">
        <f aca="false">SUM($H15:AC15)</f>
        <v>0</v>
      </c>
      <c r="AD41" s="59" t="n">
        <f aca="false">SUM($H15:AD15)</f>
        <v>0</v>
      </c>
      <c r="AE41" s="59" t="n">
        <f aca="false">SUM($H15:AE15)</f>
        <v>0</v>
      </c>
      <c r="AF41" s="59" t="n">
        <f aca="false">SUM($H15:AF15)</f>
        <v>0</v>
      </c>
      <c r="AG41" s="59" t="n">
        <f aca="false">SUM($H15:AG15)</f>
        <v>0</v>
      </c>
      <c r="AH41" s="59" t="n">
        <f aca="false">SUM($H15:AH15)</f>
        <v>0</v>
      </c>
      <c r="AI41" s="59" t="n">
        <f aca="false">SUM($H15:AI15)</f>
        <v>0</v>
      </c>
      <c r="AJ41" s="59" t="n">
        <f aca="false">SUM($H15:AJ15)</f>
        <v>0</v>
      </c>
      <c r="AK41" s="59" t="n">
        <f aca="false">SUM($H15:AK15)</f>
        <v>0</v>
      </c>
      <c r="AL41" s="59" t="n">
        <f aca="false">SUM($H15:AL15)</f>
        <v>0</v>
      </c>
    </row>
    <row r="42" customFormat="false" ht="15" hidden="false" customHeight="false" outlineLevel="1" collapsed="false">
      <c r="B42" s="13" t="str">
        <f aca="false">"Total "&amp;B38</f>
        <v>Total # of Processing Centers to be Built</v>
      </c>
      <c r="G42" s="151" t="s">
        <v>628</v>
      </c>
      <c r="H42" s="61" t="n">
        <f aca="false">SUM(H39:H41)</f>
        <v>0</v>
      </c>
      <c r="I42" s="61" t="n">
        <f aca="false">SUM(I39:I41)</f>
        <v>2</v>
      </c>
      <c r="J42" s="61" t="n">
        <f aca="false">SUM(J39:J41)</f>
        <v>4</v>
      </c>
      <c r="K42" s="61" t="n">
        <f aca="false">SUM(K39:K41)</f>
        <v>6</v>
      </c>
      <c r="L42" s="61" t="n">
        <f aca="false">SUM(L39:L41)</f>
        <v>8</v>
      </c>
      <c r="M42" s="61" t="n">
        <f aca="false">SUM(M39:M41)</f>
        <v>10</v>
      </c>
      <c r="N42" s="61" t="n">
        <f aca="false">SUM(N39:N41)</f>
        <v>12</v>
      </c>
      <c r="O42" s="61" t="n">
        <f aca="false">SUM(O39:O41)</f>
        <v>14</v>
      </c>
      <c r="P42" s="61" t="n">
        <f aca="false">SUM(P39:P41)</f>
        <v>16</v>
      </c>
      <c r="Q42" s="61" t="n">
        <f aca="false">SUM(Q39:Q41)</f>
        <v>18</v>
      </c>
      <c r="R42" s="61" t="n">
        <f aca="false">SUM(R39:R41)</f>
        <v>18</v>
      </c>
      <c r="S42" s="61" t="n">
        <f aca="false">SUM(S39:S41)</f>
        <v>18</v>
      </c>
      <c r="T42" s="61" t="n">
        <f aca="false">SUM(T39:T41)</f>
        <v>18</v>
      </c>
      <c r="U42" s="61" t="n">
        <f aca="false">SUM(U39:U41)</f>
        <v>18</v>
      </c>
      <c r="V42" s="61" t="n">
        <f aca="false">SUM(V39:V41)</f>
        <v>18</v>
      </c>
      <c r="W42" s="61" t="n">
        <f aca="false">SUM(W39:W41)</f>
        <v>18</v>
      </c>
      <c r="X42" s="61" t="n">
        <f aca="false">SUM(X39:X41)</f>
        <v>18</v>
      </c>
      <c r="Y42" s="61" t="n">
        <f aca="false">SUM(Y39:Y41)</f>
        <v>18</v>
      </c>
      <c r="Z42" s="61" t="n">
        <f aca="false">SUM(Z39:Z41)</f>
        <v>18</v>
      </c>
      <c r="AA42" s="61" t="n">
        <f aca="false">SUM(AA39:AA41)</f>
        <v>18</v>
      </c>
      <c r="AB42" s="61" t="n">
        <f aca="false">SUM(AB39:AB41)</f>
        <v>18</v>
      </c>
      <c r="AC42" s="61" t="n">
        <f aca="false">SUM(AC39:AC41)</f>
        <v>18</v>
      </c>
      <c r="AD42" s="61" t="n">
        <f aca="false">SUM(AD39:AD41)</f>
        <v>18</v>
      </c>
      <c r="AE42" s="61" t="n">
        <f aca="false">SUM(AE39:AE41)</f>
        <v>18</v>
      </c>
      <c r="AF42" s="61" t="n">
        <f aca="false">SUM(AF39:AF41)</f>
        <v>18</v>
      </c>
      <c r="AG42" s="61" t="n">
        <f aca="false">SUM(AG39:AG41)</f>
        <v>18</v>
      </c>
      <c r="AH42" s="61" t="n">
        <f aca="false">SUM(AH39:AH41)</f>
        <v>18</v>
      </c>
      <c r="AI42" s="61" t="n">
        <f aca="false">SUM(AI39:AI41)</f>
        <v>18</v>
      </c>
      <c r="AJ42" s="61" t="n">
        <f aca="false">SUM(AJ39:AJ41)</f>
        <v>18</v>
      </c>
      <c r="AK42" s="61" t="n">
        <f aca="false">SUM(AK39:AK41)</f>
        <v>18</v>
      </c>
      <c r="AL42" s="61" t="n">
        <f aca="false">SUM(AL39:AL41)</f>
        <v>18</v>
      </c>
    </row>
    <row r="43" customFormat="false" ht="15" hidden="false" customHeight="false" outlineLevel="1" collapsed="false">
      <c r="B43" s="13"/>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row>
    <row r="44" customFormat="false" ht="15" hidden="false" customHeight="false" outlineLevel="1" collapsed="false">
      <c r="B44" s="13" t="s">
        <v>439</v>
      </c>
      <c r="E44" s="185" t="s">
        <v>601</v>
      </c>
    </row>
    <row r="45" customFormat="false" ht="15" hidden="false" customHeight="false" outlineLevel="1" collapsed="false">
      <c r="C45" s="0" t="s">
        <v>621</v>
      </c>
      <c r="D45" s="271" t="n">
        <f aca="false">'3. Assumptions'!G210</f>
        <v>12551</v>
      </c>
      <c r="E45" s="403" t="n">
        <f aca="false">IF('1. Project Summary'!$F$13="Real",0,'3. Assumptions'!$E$172)</f>
        <v>0.05</v>
      </c>
      <c r="G45" s="151" t="s">
        <v>112</v>
      </c>
      <c r="H45" s="21" t="n">
        <f aca="false">$D45*H39*(1+$E45)^H$6</f>
        <v>0</v>
      </c>
      <c r="I45" s="21" t="n">
        <f aca="false">$D45*I39*(1+$E45)^I$6</f>
        <v>27674.955</v>
      </c>
      <c r="J45" s="21" t="n">
        <f aca="false">$D45*J39*(1+$E45)^J$6</f>
        <v>58117.4055</v>
      </c>
      <c r="K45" s="21" t="n">
        <f aca="false">$D45*K39*(1+$E45)^K$6</f>
        <v>91534.9136625</v>
      </c>
      <c r="L45" s="21" t="n">
        <f aca="false">$D45*L39*(1+$E45)^L$6</f>
        <v>128148.8791275</v>
      </c>
      <c r="M45" s="21" t="n">
        <f aca="false">$D45*M39*(1+$E45)^M$6</f>
        <v>168195.403854844</v>
      </c>
      <c r="N45" s="21" t="n">
        <f aca="false">$D45*N39*(1+$E45)^N$6</f>
        <v>211926.208857103</v>
      </c>
      <c r="O45" s="21" t="n">
        <f aca="false">$D45*O39*(1+$E45)^O$6</f>
        <v>259609.605849951</v>
      </c>
      <c r="P45" s="21" t="n">
        <f aca="false">$D45*P39*(1+$E45)^P$6</f>
        <v>311531.527019942</v>
      </c>
      <c r="Q45" s="21" t="n">
        <f aca="false">$D45*Q39*(1+$E45)^Q$6</f>
        <v>367996.616292306</v>
      </c>
      <c r="R45" s="21" t="n">
        <f aca="false">$D45*R39*(1+$E45)^R$6</f>
        <v>386396.447106921</v>
      </c>
      <c r="S45" s="21" t="n">
        <f aca="false">$D45*S39*(1+$E45)^S$6</f>
        <v>405716.269462268</v>
      </c>
      <c r="T45" s="21" t="n">
        <f aca="false">$D45*T39*(1+$E45)^T$6</f>
        <v>426002.082935381</v>
      </c>
      <c r="U45" s="21" t="n">
        <f aca="false">$D45*U39*(1+$E45)^U$6</f>
        <v>447302.18708215</v>
      </c>
      <c r="V45" s="21" t="n">
        <f aca="false">$D45*V39*(1+$E45)^V$6</f>
        <v>469667.296436258</v>
      </c>
      <c r="W45" s="21" t="n">
        <f aca="false">$D45*W39*(1+$E45)^W$6</f>
        <v>493150.66125807</v>
      </c>
      <c r="X45" s="21" t="n">
        <f aca="false">$D45*X39*(1+$E45)^X$6</f>
        <v>517808.194320974</v>
      </c>
      <c r="Y45" s="21" t="n">
        <f aca="false">$D45*Y39*(1+$E45)^Y$6</f>
        <v>543698.604037023</v>
      </c>
      <c r="Z45" s="21" t="n">
        <f aca="false">$D45*Z39*(1+$E45)^Z$6</f>
        <v>570883.534238874</v>
      </c>
      <c r="AA45" s="21" t="n">
        <f aca="false">$D45*AA39*(1+$E45)^AA$6</f>
        <v>599427.710950818</v>
      </c>
      <c r="AB45" s="21" t="n">
        <f aca="false">$D45*AB39*(1+$E45)^AB$6</f>
        <v>629399.096498359</v>
      </c>
      <c r="AC45" s="21" t="n">
        <f aca="false">$D45*AC39*(1+$E45)^AC$6</f>
        <v>660869.051323277</v>
      </c>
      <c r="AD45" s="21" t="n">
        <f aca="false">$D45*AD39*(1+$E45)^AD$6</f>
        <v>693912.50388944</v>
      </c>
      <c r="AE45" s="21" t="n">
        <f aca="false">$D45*AE39*(1+$E45)^AE$6</f>
        <v>728608.129083912</v>
      </c>
      <c r="AF45" s="21" t="n">
        <f aca="false">$D45*AF39*(1+$E45)^AF$6</f>
        <v>765038.535538108</v>
      </c>
      <c r="AG45" s="21" t="n">
        <f aca="false">$D45*AG39*(1+$E45)^AG$6</f>
        <v>803290.462315013</v>
      </c>
      <c r="AH45" s="21" t="n">
        <f aca="false">$D45*AH39*(1+$E45)^AH$6</f>
        <v>843454.985430764</v>
      </c>
      <c r="AI45" s="21" t="n">
        <f aca="false">$D45*AI39*(1+$E45)^AI$6</f>
        <v>885627.734702302</v>
      </c>
      <c r="AJ45" s="21" t="n">
        <f aca="false">$D45*AJ39*(1+$E45)^AJ$6</f>
        <v>929909.121437418</v>
      </c>
      <c r="AK45" s="21" t="n">
        <f aca="false">$D45*AK39*(1+$E45)^AK$6</f>
        <v>976404.577509289</v>
      </c>
      <c r="AL45" s="21" t="n">
        <f aca="false">$D45*AL39*(1+$E45)^AL$6</f>
        <v>1025224.80638475</v>
      </c>
    </row>
    <row r="46" customFormat="false" ht="15" hidden="false" customHeight="false" outlineLevel="1" collapsed="false">
      <c r="C46" s="0" t="s">
        <v>622</v>
      </c>
      <c r="D46" s="271" t="n">
        <f aca="false">'3. Assumptions'!G260</f>
        <v>20436</v>
      </c>
      <c r="E46" s="403" t="n">
        <f aca="false">IF('1. Project Summary'!$F$13="Real",0,'3. Assumptions'!$E$172)</f>
        <v>0.05</v>
      </c>
      <c r="G46" s="151" t="s">
        <v>112</v>
      </c>
      <c r="H46" s="21" t="n">
        <f aca="false">$D46*H40*(1+$E46)^H$6</f>
        <v>0</v>
      </c>
      <c r="I46" s="21" t="n">
        <f aca="false">$D46*I40*(1+$E46)^I$6</f>
        <v>0</v>
      </c>
      <c r="J46" s="21" t="n">
        <f aca="false">$D46*J40*(1+$E46)^J$6</f>
        <v>0</v>
      </c>
      <c r="K46" s="21" t="n">
        <f aca="false">$D46*K40*(1+$E46)^K$6</f>
        <v>0</v>
      </c>
      <c r="L46" s="21" t="n">
        <f aca="false">$D46*L40*(1+$E46)^L$6</f>
        <v>0</v>
      </c>
      <c r="M46" s="21" t="n">
        <f aca="false">$D46*M40*(1+$E46)^M$6</f>
        <v>0</v>
      </c>
      <c r="N46" s="21" t="n">
        <f aca="false">$D46*N40*(1+$E46)^N$6</f>
        <v>0</v>
      </c>
      <c r="O46" s="21" t="n">
        <f aca="false">$D46*O40*(1+$E46)^O$6</f>
        <v>0</v>
      </c>
      <c r="P46" s="21" t="n">
        <f aca="false">$D46*P40*(1+$E46)^P$6</f>
        <v>0</v>
      </c>
      <c r="Q46" s="21" t="n">
        <f aca="false">$D46*Q40*(1+$E46)^Q$6</f>
        <v>0</v>
      </c>
      <c r="R46" s="21" t="n">
        <f aca="false">$D46*R40*(1+$E46)^R$6</f>
        <v>0</v>
      </c>
      <c r="S46" s="21" t="n">
        <f aca="false">$D46*S40*(1+$E46)^S$6</f>
        <v>0</v>
      </c>
      <c r="T46" s="21" t="n">
        <f aca="false">$D46*T40*(1+$E46)^T$6</f>
        <v>0</v>
      </c>
      <c r="U46" s="21" t="n">
        <f aca="false">$D46*U40*(1+$E46)^U$6</f>
        <v>0</v>
      </c>
      <c r="V46" s="21" t="n">
        <f aca="false">$D46*V40*(1+$E46)^V$6</f>
        <v>0</v>
      </c>
      <c r="W46" s="21" t="n">
        <f aca="false">$D46*W40*(1+$E46)^W$6</f>
        <v>0</v>
      </c>
      <c r="X46" s="21" t="n">
        <f aca="false">$D46*X40*(1+$E46)^X$6</f>
        <v>0</v>
      </c>
      <c r="Y46" s="21" t="n">
        <f aca="false">$D46*Y40*(1+$E46)^Y$6</f>
        <v>0</v>
      </c>
      <c r="Z46" s="21" t="n">
        <f aca="false">$D46*Z40*(1+$E46)^Z$6</f>
        <v>0</v>
      </c>
      <c r="AA46" s="21" t="n">
        <f aca="false">$D46*AA40*(1+$E46)^AA$6</f>
        <v>0</v>
      </c>
      <c r="AB46" s="21" t="n">
        <f aca="false">$D46*AB40*(1+$E46)^AB$6</f>
        <v>0</v>
      </c>
      <c r="AC46" s="21" t="n">
        <f aca="false">$D46*AC40*(1+$E46)^AC$6</f>
        <v>0</v>
      </c>
      <c r="AD46" s="21" t="n">
        <f aca="false">$D46*AD40*(1+$E46)^AD$6</f>
        <v>0</v>
      </c>
      <c r="AE46" s="21" t="n">
        <f aca="false">$D46*AE40*(1+$E46)^AE$6</f>
        <v>0</v>
      </c>
      <c r="AF46" s="21" t="n">
        <f aca="false">$D46*AF40*(1+$E46)^AF$6</f>
        <v>0</v>
      </c>
      <c r="AG46" s="21" t="n">
        <f aca="false">$D46*AG40*(1+$E46)^AG$6</f>
        <v>0</v>
      </c>
      <c r="AH46" s="21" t="n">
        <f aca="false">$D46*AH40*(1+$E46)^AH$6</f>
        <v>0</v>
      </c>
      <c r="AI46" s="21" t="n">
        <f aca="false">$D46*AI40*(1+$E46)^AI$6</f>
        <v>0</v>
      </c>
      <c r="AJ46" s="21" t="n">
        <f aca="false">$D46*AJ40*(1+$E46)^AJ$6</f>
        <v>0</v>
      </c>
      <c r="AK46" s="21" t="n">
        <f aca="false">$D46*AK40*(1+$E46)^AK$6</f>
        <v>0</v>
      </c>
      <c r="AL46" s="21" t="n">
        <f aca="false">$D46*AL40*(1+$E46)^AL$6</f>
        <v>0</v>
      </c>
    </row>
    <row r="47" customFormat="false" ht="15" hidden="false" customHeight="false" outlineLevel="1" collapsed="false">
      <c r="B47" s="56"/>
      <c r="C47" s="56" t="s">
        <v>623</v>
      </c>
      <c r="D47" s="271" t="n">
        <f aca="false">'3. Assumptions'!G311</f>
        <v>24661</v>
      </c>
      <c r="E47" s="403" t="n">
        <f aca="false">IF('1. Project Summary'!$F$13="Real",0,'3. Assumptions'!$E$172)</f>
        <v>0.05</v>
      </c>
      <c r="F47" s="407"/>
      <c r="G47" s="393" t="s">
        <v>112</v>
      </c>
      <c r="H47" s="58" t="n">
        <f aca="false">$D47*H41*(1+$E47)^H$6</f>
        <v>0</v>
      </c>
      <c r="I47" s="58" t="n">
        <f aca="false">$D47*I41*(1+$E47)^I$6</f>
        <v>0</v>
      </c>
      <c r="J47" s="58" t="n">
        <f aca="false">$D47*J41*(1+$E47)^J$6</f>
        <v>0</v>
      </c>
      <c r="K47" s="58" t="n">
        <f aca="false">$D47*K41*(1+$E47)^K$6</f>
        <v>0</v>
      </c>
      <c r="L47" s="58" t="n">
        <f aca="false">$D47*L41*(1+$E47)^L$6</f>
        <v>0</v>
      </c>
      <c r="M47" s="58" t="n">
        <f aca="false">$D47*M41*(1+$E47)^M$6</f>
        <v>0</v>
      </c>
      <c r="N47" s="58" t="n">
        <f aca="false">$D47*N41*(1+$E47)^N$6</f>
        <v>0</v>
      </c>
      <c r="O47" s="58" t="n">
        <f aca="false">$D47*O41*(1+$E47)^O$6</f>
        <v>0</v>
      </c>
      <c r="P47" s="58" t="n">
        <f aca="false">$D47*P41*(1+$E47)^P$6</f>
        <v>0</v>
      </c>
      <c r="Q47" s="58" t="n">
        <f aca="false">$D47*Q41*(1+$E47)^Q$6</f>
        <v>0</v>
      </c>
      <c r="R47" s="58" t="n">
        <f aca="false">$D47*R41*(1+$E47)^R$6</f>
        <v>0</v>
      </c>
      <c r="S47" s="58" t="n">
        <f aca="false">$D47*S41*(1+$E47)^S$6</f>
        <v>0</v>
      </c>
      <c r="T47" s="58" t="n">
        <f aca="false">$D47*T41*(1+$E47)^T$6</f>
        <v>0</v>
      </c>
      <c r="U47" s="58" t="n">
        <f aca="false">$D47*U41*(1+$E47)^U$6</f>
        <v>0</v>
      </c>
      <c r="V47" s="58" t="n">
        <f aca="false">$D47*V41*(1+$E47)^V$6</f>
        <v>0</v>
      </c>
      <c r="W47" s="58" t="n">
        <f aca="false">$D47*W41*(1+$E47)^W$6</f>
        <v>0</v>
      </c>
      <c r="X47" s="58" t="n">
        <f aca="false">$D47*X41*(1+$E47)^X$6</f>
        <v>0</v>
      </c>
      <c r="Y47" s="58" t="n">
        <f aca="false">$D47*Y41*(1+$E47)^Y$6</f>
        <v>0</v>
      </c>
      <c r="Z47" s="58" t="n">
        <f aca="false">$D47*Z41*(1+$E47)^Z$6</f>
        <v>0</v>
      </c>
      <c r="AA47" s="58" t="n">
        <f aca="false">$D47*AA41*(1+$E47)^AA$6</f>
        <v>0</v>
      </c>
      <c r="AB47" s="58" t="n">
        <f aca="false">$D47*AB41*(1+$E47)^AB$6</f>
        <v>0</v>
      </c>
      <c r="AC47" s="58" t="n">
        <f aca="false">$D47*AC41*(1+$E47)^AC$6</f>
        <v>0</v>
      </c>
      <c r="AD47" s="58" t="n">
        <f aca="false">$D47*AD41*(1+$E47)^AD$6</f>
        <v>0</v>
      </c>
      <c r="AE47" s="58" t="n">
        <f aca="false">$D47*AE41*(1+$E47)^AE$6</f>
        <v>0</v>
      </c>
      <c r="AF47" s="58" t="n">
        <f aca="false">$D47*AF41*(1+$E47)^AF$6</f>
        <v>0</v>
      </c>
      <c r="AG47" s="58" t="n">
        <f aca="false">$D47*AG41*(1+$E47)^AG$6</f>
        <v>0</v>
      </c>
      <c r="AH47" s="58" t="n">
        <f aca="false">$D47*AH41*(1+$E47)^AH$6</f>
        <v>0</v>
      </c>
      <c r="AI47" s="58" t="n">
        <f aca="false">$D47*AI41*(1+$E47)^AI$6</f>
        <v>0</v>
      </c>
      <c r="AJ47" s="58" t="n">
        <f aca="false">$D47*AJ41*(1+$E47)^AJ$6</f>
        <v>0</v>
      </c>
      <c r="AK47" s="58" t="n">
        <f aca="false">$D47*AK41*(1+$E47)^AK$6</f>
        <v>0</v>
      </c>
      <c r="AL47" s="58" t="n">
        <f aca="false">$D47*AL41*(1+$E47)^AL$6</f>
        <v>0</v>
      </c>
    </row>
    <row r="48" customFormat="false" ht="15" hidden="false" customHeight="false" outlineLevel="1" collapsed="false">
      <c r="B48" s="13" t="str">
        <f aca="false">"Total "&amp;B44</f>
        <v>Total Spare Parts</v>
      </c>
      <c r="G48" s="367" t="s">
        <v>112</v>
      </c>
      <c r="H48" s="60" t="n">
        <f aca="false">SUM(H45:H47)</f>
        <v>0</v>
      </c>
      <c r="I48" s="60" t="n">
        <f aca="false">SUM(I45:I47)</f>
        <v>27674.955</v>
      </c>
      <c r="J48" s="60" t="n">
        <f aca="false">SUM(J45:J47)</f>
        <v>58117.4055</v>
      </c>
      <c r="K48" s="60" t="n">
        <f aca="false">SUM(K45:K47)</f>
        <v>91534.9136625</v>
      </c>
      <c r="L48" s="60" t="n">
        <f aca="false">SUM(L45:L47)</f>
        <v>128148.8791275</v>
      </c>
      <c r="M48" s="60" t="n">
        <f aca="false">SUM(M45:M47)</f>
        <v>168195.403854844</v>
      </c>
      <c r="N48" s="60" t="n">
        <f aca="false">SUM(N45:N47)</f>
        <v>211926.208857103</v>
      </c>
      <c r="O48" s="60" t="n">
        <f aca="false">SUM(O45:O47)</f>
        <v>259609.605849951</v>
      </c>
      <c r="P48" s="60" t="n">
        <f aca="false">SUM(P45:P47)</f>
        <v>311531.527019942</v>
      </c>
      <c r="Q48" s="60" t="n">
        <f aca="false">SUM(Q45:Q47)</f>
        <v>367996.616292306</v>
      </c>
      <c r="R48" s="60" t="n">
        <f aca="false">SUM(R45:R47)</f>
        <v>386396.447106921</v>
      </c>
      <c r="S48" s="60" t="n">
        <f aca="false">SUM(S45:S47)</f>
        <v>405716.269462268</v>
      </c>
      <c r="T48" s="60" t="n">
        <f aca="false">SUM(T45:T47)</f>
        <v>426002.082935381</v>
      </c>
      <c r="U48" s="60" t="n">
        <f aca="false">SUM(U45:U47)</f>
        <v>447302.18708215</v>
      </c>
      <c r="V48" s="60" t="n">
        <f aca="false">SUM(V45:V47)</f>
        <v>469667.296436258</v>
      </c>
      <c r="W48" s="60" t="n">
        <f aca="false">SUM(W45:W47)</f>
        <v>493150.66125807</v>
      </c>
      <c r="X48" s="60" t="n">
        <f aca="false">SUM(X45:X47)</f>
        <v>517808.194320974</v>
      </c>
      <c r="Y48" s="60" t="n">
        <f aca="false">SUM(Y45:Y47)</f>
        <v>543698.604037023</v>
      </c>
      <c r="Z48" s="60" t="n">
        <f aca="false">SUM(Z45:Z47)</f>
        <v>570883.534238874</v>
      </c>
      <c r="AA48" s="60" t="n">
        <f aca="false">SUM(AA45:AA47)</f>
        <v>599427.710950818</v>
      </c>
      <c r="AB48" s="60" t="n">
        <f aca="false">SUM(AB45:AB47)</f>
        <v>629399.096498359</v>
      </c>
      <c r="AC48" s="60" t="n">
        <f aca="false">SUM(AC45:AC47)</f>
        <v>660869.051323277</v>
      </c>
      <c r="AD48" s="60" t="n">
        <f aca="false">SUM(AD45:AD47)</f>
        <v>693912.50388944</v>
      </c>
      <c r="AE48" s="60" t="n">
        <f aca="false">SUM(AE45:AE47)</f>
        <v>728608.129083912</v>
      </c>
      <c r="AF48" s="60" t="n">
        <f aca="false">SUM(AF45:AF47)</f>
        <v>765038.535538108</v>
      </c>
      <c r="AG48" s="60" t="n">
        <f aca="false">SUM(AG45:AG47)</f>
        <v>803290.462315013</v>
      </c>
      <c r="AH48" s="60" t="n">
        <f aca="false">SUM(AH45:AH47)</f>
        <v>843454.985430764</v>
      </c>
      <c r="AI48" s="60" t="n">
        <f aca="false">SUM(AI45:AI47)</f>
        <v>885627.734702302</v>
      </c>
      <c r="AJ48" s="60" t="n">
        <f aca="false">SUM(AJ45:AJ47)</f>
        <v>929909.121437418</v>
      </c>
      <c r="AK48" s="60" t="n">
        <f aca="false">SUM(AK45:AK47)</f>
        <v>976404.577509289</v>
      </c>
      <c r="AL48" s="60" t="n">
        <f aca="false">SUM(AL45:AL47)</f>
        <v>1025224.80638475</v>
      </c>
    </row>
    <row r="49" customFormat="false" ht="15" hidden="false" customHeight="false" outlineLevel="1" collapsed="false"/>
    <row r="50" customFormat="false" ht="15" hidden="false" customHeight="false" outlineLevel="1" collapsed="false">
      <c r="A50" s="13"/>
      <c r="B50" s="13" t="s">
        <v>629</v>
      </c>
    </row>
    <row r="51" customFormat="false" ht="15" hidden="false" customHeight="false" outlineLevel="1" collapsed="false">
      <c r="C51" s="0" t="s">
        <v>490</v>
      </c>
      <c r="D51" s="403" t="n">
        <f aca="false">'3. Assumptions'!D325</f>
        <v>0.25</v>
      </c>
      <c r="G51" s="151" t="s">
        <v>112</v>
      </c>
      <c r="H51" s="21" t="n">
        <f aca="false">H48*$D$51</f>
        <v>0</v>
      </c>
      <c r="I51" s="21" t="n">
        <f aca="false">I48*$D$51</f>
        <v>6918.73875</v>
      </c>
      <c r="J51" s="21" t="n">
        <f aca="false">J48*$D$51</f>
        <v>14529.351375</v>
      </c>
      <c r="K51" s="21" t="n">
        <f aca="false">K48*$D$51</f>
        <v>22883.728415625</v>
      </c>
      <c r="L51" s="21" t="n">
        <f aca="false">L48*$D$51</f>
        <v>32037.219781875</v>
      </c>
      <c r="M51" s="21" t="n">
        <f aca="false">M48*$D$51</f>
        <v>42048.850963711</v>
      </c>
      <c r="N51" s="21" t="n">
        <f aca="false">N48*$D$51</f>
        <v>52981.5522142758</v>
      </c>
      <c r="O51" s="21" t="n">
        <f aca="false">O48*$D$51</f>
        <v>64902.4014624879</v>
      </c>
      <c r="P51" s="21" t="n">
        <f aca="false">P48*$D$51</f>
        <v>77882.8817549854</v>
      </c>
      <c r="Q51" s="21" t="n">
        <f aca="false">Q48*$D$51</f>
        <v>91999.1540730765</v>
      </c>
      <c r="R51" s="21" t="n">
        <f aca="false">R48*$D$51</f>
        <v>96599.1117767304</v>
      </c>
      <c r="S51" s="21" t="n">
        <f aca="false">S48*$D$51</f>
        <v>101429.067365567</v>
      </c>
      <c r="T51" s="21" t="n">
        <f aca="false">T48*$D$51</f>
        <v>106500.520733845</v>
      </c>
      <c r="U51" s="21" t="n">
        <f aca="false">U48*$D$51</f>
        <v>111825.546770538</v>
      </c>
      <c r="V51" s="21" t="n">
        <f aca="false">V48*$D$51</f>
        <v>117416.824109064</v>
      </c>
      <c r="W51" s="21" t="n">
        <f aca="false">W48*$D$51</f>
        <v>123287.665314518</v>
      </c>
      <c r="X51" s="21" t="n">
        <f aca="false">X48*$D$51</f>
        <v>129452.048580244</v>
      </c>
      <c r="Y51" s="21" t="n">
        <f aca="false">Y48*$D$51</f>
        <v>135924.651009256</v>
      </c>
      <c r="Z51" s="21" t="n">
        <f aca="false">Z48*$D$51</f>
        <v>142720.883559718</v>
      </c>
      <c r="AA51" s="21" t="n">
        <f aca="false">AA48*$D$51</f>
        <v>149856.927737704</v>
      </c>
      <c r="AB51" s="21" t="n">
        <f aca="false">AB48*$D$51</f>
        <v>157349.77412459</v>
      </c>
      <c r="AC51" s="21" t="n">
        <f aca="false">AC48*$D$51</f>
        <v>165217.262830819</v>
      </c>
      <c r="AD51" s="21" t="n">
        <f aca="false">AD48*$D$51</f>
        <v>173478.12597236</v>
      </c>
      <c r="AE51" s="21" t="n">
        <f aca="false">AE48*$D$51</f>
        <v>182152.032270978</v>
      </c>
      <c r="AF51" s="21" t="n">
        <f aca="false">AF48*$D$51</f>
        <v>191259.633884527</v>
      </c>
      <c r="AG51" s="21" t="n">
        <f aca="false">AG48*$D$51</f>
        <v>200822.615578753</v>
      </c>
      <c r="AH51" s="21" t="n">
        <f aca="false">AH48*$D$51</f>
        <v>210863.746357691</v>
      </c>
      <c r="AI51" s="21" t="n">
        <f aca="false">AI48*$D$51</f>
        <v>221406.933675576</v>
      </c>
      <c r="AJ51" s="21" t="n">
        <f aca="false">AJ48*$D$51</f>
        <v>232477.280359354</v>
      </c>
      <c r="AK51" s="21" t="n">
        <f aca="false">AK48*$D$51</f>
        <v>244101.144377322</v>
      </c>
      <c r="AL51" s="21" t="n">
        <f aca="false">AL48*$D$51</f>
        <v>256306.201596188</v>
      </c>
    </row>
    <row r="52" customFormat="false" ht="15" hidden="false" customHeight="false" outlineLevel="1" collapsed="false">
      <c r="C52" s="0" t="s">
        <v>630</v>
      </c>
      <c r="D52" s="403" t="n">
        <f aca="false">'3. Assumptions'!D326</f>
        <v>0.05</v>
      </c>
      <c r="G52" s="151" t="s">
        <v>112</v>
      </c>
      <c r="H52" s="21" t="n">
        <f aca="false">$D52*H34</f>
        <v>0</v>
      </c>
      <c r="I52" s="21" t="n">
        <f aca="false">$D52*I34</f>
        <v>36799.686</v>
      </c>
      <c r="J52" s="21" t="n">
        <f aca="false">$D52*J34</f>
        <v>38639.6703</v>
      </c>
      <c r="K52" s="21" t="n">
        <f aca="false">$D52*K34</f>
        <v>40571.653815</v>
      </c>
      <c r="L52" s="21" t="n">
        <f aca="false">$D52*L34</f>
        <v>42600.23650575</v>
      </c>
      <c r="M52" s="21" t="n">
        <f aca="false">$D52*M34</f>
        <v>44730.2483310375</v>
      </c>
      <c r="N52" s="21" t="n">
        <f aca="false">$D52*N34</f>
        <v>46966.7607475894</v>
      </c>
      <c r="O52" s="21" t="n">
        <f aca="false">$D52*O34</f>
        <v>49315.0987849689</v>
      </c>
      <c r="P52" s="21" t="n">
        <f aca="false">$D52*P34</f>
        <v>51780.8537242173</v>
      </c>
      <c r="Q52" s="21" t="n">
        <f aca="false">$D52*Q34</f>
        <v>54369.8964104282</v>
      </c>
      <c r="R52" s="21" t="n">
        <f aca="false">$D52*R34</f>
        <v>0</v>
      </c>
      <c r="S52" s="21" t="n">
        <f aca="false">$D52*S34</f>
        <v>0</v>
      </c>
      <c r="T52" s="21" t="n">
        <f aca="false">$D52*T34</f>
        <v>0</v>
      </c>
      <c r="U52" s="21" t="n">
        <f aca="false">$D52*U34</f>
        <v>0</v>
      </c>
      <c r="V52" s="21" t="n">
        <f aca="false">$D52*V34</f>
        <v>0</v>
      </c>
      <c r="W52" s="21" t="n">
        <f aca="false">$D52*W34</f>
        <v>0</v>
      </c>
      <c r="X52" s="21" t="n">
        <f aca="false">$D52*X34</f>
        <v>0</v>
      </c>
      <c r="Y52" s="21" t="n">
        <f aca="false">$D52*Y34</f>
        <v>0</v>
      </c>
      <c r="Z52" s="21" t="n">
        <f aca="false">$D52*Z34</f>
        <v>0</v>
      </c>
      <c r="AA52" s="21" t="n">
        <f aca="false">$D52*AA34</f>
        <v>0</v>
      </c>
      <c r="AB52" s="21" t="n">
        <f aca="false">$D52*AB34</f>
        <v>0</v>
      </c>
      <c r="AC52" s="21" t="n">
        <f aca="false">$D52*AC34</f>
        <v>0</v>
      </c>
      <c r="AD52" s="21" t="n">
        <f aca="false">$D52*AD34</f>
        <v>0</v>
      </c>
      <c r="AE52" s="21" t="n">
        <f aca="false">$D52*AE34</f>
        <v>0</v>
      </c>
      <c r="AF52" s="21" t="n">
        <f aca="false">$D52*AF34</f>
        <v>0</v>
      </c>
      <c r="AG52" s="21" t="n">
        <f aca="false">$D52*AG34</f>
        <v>0</v>
      </c>
      <c r="AH52" s="21" t="n">
        <f aca="false">$D52*AH34</f>
        <v>0</v>
      </c>
      <c r="AI52" s="21" t="n">
        <f aca="false">$D52*AI34</f>
        <v>0</v>
      </c>
      <c r="AJ52" s="21" t="n">
        <f aca="false">$D52*AJ34</f>
        <v>0</v>
      </c>
      <c r="AK52" s="21" t="n">
        <f aca="false">$D52*AK34</f>
        <v>0</v>
      </c>
      <c r="AL52" s="21" t="n">
        <f aca="false">$D52*AL34</f>
        <v>0</v>
      </c>
    </row>
    <row r="53" customFormat="false" ht="15" hidden="false" customHeight="false" outlineLevel="1" collapsed="false">
      <c r="B53" s="56"/>
      <c r="C53" s="56" t="s">
        <v>494</v>
      </c>
      <c r="D53" s="403" t="n">
        <f aca="false">'3. Assumptions'!D327</f>
        <v>0.05</v>
      </c>
      <c r="E53" s="407"/>
      <c r="F53" s="56"/>
      <c r="G53" s="393" t="s">
        <v>112</v>
      </c>
      <c r="H53" s="59" t="n">
        <f aca="false">$D$53*'4.2 Revenue Build - Other'!H50</f>
        <v>0</v>
      </c>
      <c r="I53" s="59" t="n">
        <f aca="false">$D$53*'4.2 Revenue Build - Other'!I50</f>
        <v>53382.25625</v>
      </c>
      <c r="J53" s="59" t="n">
        <f aca="false">$D$53*'4.2 Revenue Build - Other'!J50</f>
        <v>354657.773984375</v>
      </c>
      <c r="K53" s="59" t="n">
        <f aca="false">$D$53*'4.2 Revenue Build - Other'!K50</f>
        <v>628179.916054687</v>
      </c>
      <c r="L53" s="59" t="n">
        <f aca="false">$D$53*'4.2 Revenue Build - Other'!L50</f>
        <v>739742.974793213</v>
      </c>
      <c r="M53" s="59" t="n">
        <f aca="false">$D$53*'4.2 Revenue Build - Other'!M50</f>
        <v>1081240.15847079</v>
      </c>
      <c r="N53" s="59" t="n">
        <f aca="false">$D$53*'4.2 Revenue Build - Other'!N50</f>
        <v>1151390.73814687</v>
      </c>
      <c r="O53" s="59" t="n">
        <f aca="false">$D$53*'4.2 Revenue Build - Other'!O50</f>
        <v>1224373.07170772</v>
      </c>
      <c r="P53" s="59" t="n">
        <f aca="false">$D$53*'4.2 Revenue Build - Other'!P50</f>
        <v>1300284.90273526</v>
      </c>
      <c r="Q53" s="59" t="n">
        <f aca="false">$D$53*'4.2 Revenue Build - Other'!Q50</f>
        <v>1379227.09214436</v>
      </c>
      <c r="R53" s="59" t="n">
        <f aca="false">$D$53*'4.2 Revenue Build - Other'!R50</f>
        <v>1413707.76944797</v>
      </c>
      <c r="S53" s="59" t="n">
        <f aca="false">$D$53*'4.2 Revenue Build - Other'!S50</f>
        <v>1449050.46368417</v>
      </c>
      <c r="T53" s="59" t="n">
        <f aca="false">$D$53*'4.2 Revenue Build - Other'!T50</f>
        <v>1485276.72527628</v>
      </c>
      <c r="U53" s="59" t="n">
        <f aca="false">$D$53*'4.2 Revenue Build - Other'!U50</f>
        <v>1522408.64340818</v>
      </c>
      <c r="V53" s="59" t="n">
        <f aca="false">$D$53*'4.2 Revenue Build - Other'!V50</f>
        <v>1560468.85949339</v>
      </c>
      <c r="W53" s="59" t="n">
        <f aca="false">$D$53*'4.2 Revenue Build - Other'!W50</f>
        <v>1599480.58098072</v>
      </c>
      <c r="X53" s="59" t="n">
        <f aca="false">$D$53*'4.2 Revenue Build - Other'!X50</f>
        <v>1639467.59550524</v>
      </c>
      <c r="Y53" s="59" t="n">
        <f aca="false">$D$53*'4.2 Revenue Build - Other'!Y50</f>
        <v>1680454.28539287</v>
      </c>
      <c r="Z53" s="59" t="n">
        <f aca="false">$D$53*'4.2 Revenue Build - Other'!Z50</f>
        <v>1722465.64252769</v>
      </c>
      <c r="AA53" s="59" t="n">
        <f aca="false">$D$53*'4.2 Revenue Build - Other'!AA50</f>
        <v>1765527.28359089</v>
      </c>
      <c r="AB53" s="59" t="n">
        <f aca="false">$D$53*'4.2 Revenue Build - Other'!AB50</f>
        <v>1809665.46568066</v>
      </c>
      <c r="AC53" s="59" t="n">
        <f aca="false">$D$53*'4.2 Revenue Build - Other'!AC50</f>
        <v>1854907.10232267</v>
      </c>
      <c r="AD53" s="59" t="n">
        <f aca="false">$D$53*'4.2 Revenue Build - Other'!AD50</f>
        <v>1901279.77988074</v>
      </c>
      <c r="AE53" s="59" t="n">
        <f aca="false">$D$53*'4.2 Revenue Build - Other'!AE50</f>
        <v>1948811.77437776</v>
      </c>
      <c r="AF53" s="59" t="n">
        <f aca="false">$D$53*'4.2 Revenue Build - Other'!AF50</f>
        <v>1997532.0687372</v>
      </c>
      <c r="AG53" s="59" t="n">
        <f aca="false">$D$53*'4.2 Revenue Build - Other'!AG50</f>
        <v>2047470.37045563</v>
      </c>
      <c r="AH53" s="59" t="n">
        <f aca="false">$D$53*'4.2 Revenue Build - Other'!AH50</f>
        <v>2098657.12971702</v>
      </c>
      <c r="AI53" s="59" t="n">
        <f aca="false">$D$53*'4.2 Revenue Build - Other'!AI50</f>
        <v>2151123.55795995</v>
      </c>
      <c r="AJ53" s="59" t="n">
        <f aca="false">$D$53*'4.2 Revenue Build - Other'!AJ50</f>
        <v>2204901.64690895</v>
      </c>
      <c r="AK53" s="59" t="n">
        <f aca="false">$D$53*'4.2 Revenue Build - Other'!AK50</f>
        <v>2260024.18808167</v>
      </c>
      <c r="AL53" s="59" t="n">
        <f aca="false">$D$53*'4.2 Revenue Build - Other'!AL50</f>
        <v>2316524.79278371</v>
      </c>
    </row>
    <row r="54" customFormat="false" ht="15" hidden="false" customHeight="false" outlineLevel="1" collapsed="false">
      <c r="B54" s="13" t="str">
        <f aca="false">"Total "&amp;B50</f>
        <v>Total OPEX</v>
      </c>
      <c r="G54" s="367" t="s">
        <v>112</v>
      </c>
      <c r="H54" s="60" t="n">
        <f aca="false">SUM(H51:H53)</f>
        <v>0</v>
      </c>
      <c r="I54" s="60" t="n">
        <f aca="false">SUM(I51:I53)</f>
        <v>97100.681</v>
      </c>
      <c r="J54" s="60" t="n">
        <f aca="false">SUM(J51:J53)</f>
        <v>407826.795659375</v>
      </c>
      <c r="K54" s="60" t="n">
        <f aca="false">SUM(K51:K53)</f>
        <v>691635.298285312</v>
      </c>
      <c r="L54" s="60" t="n">
        <f aca="false">SUM(L51:L53)</f>
        <v>814380.431080838</v>
      </c>
      <c r="M54" s="60" t="n">
        <f aca="false">SUM(M51:M53)</f>
        <v>1168019.25776554</v>
      </c>
      <c r="N54" s="60" t="n">
        <f aca="false">SUM(N51:N53)</f>
        <v>1251339.05110874</v>
      </c>
      <c r="O54" s="60" t="n">
        <f aca="false">SUM(O51:O53)</f>
        <v>1338590.57195517</v>
      </c>
      <c r="P54" s="60" t="n">
        <f aca="false">SUM(P51:P53)</f>
        <v>1429948.63821446</v>
      </c>
      <c r="Q54" s="60" t="n">
        <f aca="false">SUM(Q51:Q53)</f>
        <v>1525596.14262787</v>
      </c>
      <c r="R54" s="60" t="n">
        <f aca="false">SUM(R51:R53)</f>
        <v>1510306.8812247</v>
      </c>
      <c r="S54" s="60" t="n">
        <f aca="false">SUM(S51:S53)</f>
        <v>1550479.53104974</v>
      </c>
      <c r="T54" s="60" t="n">
        <f aca="false">SUM(T51:T53)</f>
        <v>1591777.24601012</v>
      </c>
      <c r="U54" s="60" t="n">
        <f aca="false">SUM(U51:U53)</f>
        <v>1634234.19017872</v>
      </c>
      <c r="V54" s="60" t="n">
        <f aca="false">SUM(V51:V53)</f>
        <v>1677885.68360245</v>
      </c>
      <c r="W54" s="60" t="n">
        <f aca="false">SUM(W51:W53)</f>
        <v>1722768.24629524</v>
      </c>
      <c r="X54" s="60" t="n">
        <f aca="false">SUM(X51:X53)</f>
        <v>1768919.64408548</v>
      </c>
      <c r="Y54" s="60" t="n">
        <f aca="false">SUM(Y51:Y53)</f>
        <v>1816378.93640213</v>
      </c>
      <c r="Z54" s="60" t="n">
        <f aca="false">SUM(Z51:Z53)</f>
        <v>1865186.52608741</v>
      </c>
      <c r="AA54" s="60" t="n">
        <f aca="false">SUM(AA51:AA53)</f>
        <v>1915384.21132859</v>
      </c>
      <c r="AB54" s="60" t="n">
        <f aca="false">SUM(AB51:AB53)</f>
        <v>1967015.23980525</v>
      </c>
      <c r="AC54" s="60" t="n">
        <f aca="false">SUM(AC51:AC53)</f>
        <v>2020124.36515349</v>
      </c>
      <c r="AD54" s="60" t="n">
        <f aca="false">SUM(AD51:AD53)</f>
        <v>2074757.9058531</v>
      </c>
      <c r="AE54" s="60" t="n">
        <f aca="false">SUM(AE51:AE53)</f>
        <v>2130963.80664874</v>
      </c>
      <c r="AF54" s="60" t="n">
        <f aca="false">SUM(AF51:AF53)</f>
        <v>2188791.70262173</v>
      </c>
      <c r="AG54" s="60" t="n">
        <f aca="false">SUM(AG51:AG53)</f>
        <v>2248292.98603439</v>
      </c>
      <c r="AH54" s="60" t="n">
        <f aca="false">SUM(AH51:AH53)</f>
        <v>2309520.87607471</v>
      </c>
      <c r="AI54" s="60" t="n">
        <f aca="false">SUM(AI51:AI53)</f>
        <v>2372530.49163552</v>
      </c>
      <c r="AJ54" s="60" t="n">
        <f aca="false">SUM(AJ51:AJ53)</f>
        <v>2437378.9272683</v>
      </c>
      <c r="AK54" s="60" t="n">
        <f aca="false">SUM(AK51:AK53)</f>
        <v>2504125.33245899</v>
      </c>
      <c r="AL54" s="60" t="n">
        <f aca="false">SUM(AL51:AL53)</f>
        <v>2572830.9943799</v>
      </c>
    </row>
    <row r="55" customFormat="false" ht="15" hidden="false" customHeight="false" outlineLevel="1" collapsed="false"/>
    <row r="56" customFormat="false" ht="15" hidden="false" customHeight="false" outlineLevel="0" collapsed="false">
      <c r="A56" s="0" t="n">
        <v>5000000</v>
      </c>
      <c r="B56" s="401" t="s">
        <v>631</v>
      </c>
      <c r="C56" s="363"/>
      <c r="D56" s="364"/>
      <c r="E56" s="363"/>
      <c r="F56" s="363"/>
      <c r="G56" s="365"/>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row>
    <row r="57" customFormat="false" ht="15" hidden="false" customHeight="false" outlineLevel="1" collapsed="false">
      <c r="B57" s="13"/>
      <c r="C57" s="13"/>
      <c r="D57" s="366"/>
      <c r="E57" s="13"/>
      <c r="F57" s="13"/>
      <c r="G57" s="367"/>
      <c r="H57" s="193"/>
      <c r="I57" s="193"/>
      <c r="J57" s="193"/>
      <c r="K57" s="193"/>
      <c r="L57" s="193"/>
      <c r="M57" s="193"/>
      <c r="N57" s="193"/>
      <c r="O57" s="193"/>
      <c r="P57" s="193"/>
      <c r="Q57" s="193"/>
      <c r="R57" s="193"/>
      <c r="S57" s="193"/>
      <c r="T57" s="193"/>
      <c r="U57" s="193"/>
      <c r="V57" s="193"/>
      <c r="W57" s="193"/>
      <c r="X57" s="193"/>
      <c r="Y57" s="193"/>
      <c r="Z57" s="193"/>
      <c r="AA57" s="193"/>
      <c r="AB57" s="193"/>
      <c r="AC57" s="193"/>
      <c r="AD57" s="193"/>
      <c r="AE57" s="193"/>
      <c r="AF57" s="193"/>
      <c r="AG57" s="193"/>
      <c r="AH57" s="193"/>
      <c r="AI57" s="193"/>
      <c r="AJ57" s="193"/>
      <c r="AK57" s="193"/>
      <c r="AL57" s="193"/>
    </row>
    <row r="58" customFormat="false" ht="15" hidden="false" customHeight="false" outlineLevel="1" collapsed="false">
      <c r="B58" s="381" t="s">
        <v>326</v>
      </c>
      <c r="C58" s="382"/>
      <c r="D58" s="374"/>
      <c r="G58" s="30"/>
      <c r="H58" s="202"/>
      <c r="I58" s="202"/>
    </row>
    <row r="59" customFormat="false" ht="15" hidden="false" customHeight="false" outlineLevel="1" collapsed="false">
      <c r="C59" s="13" t="s">
        <v>331</v>
      </c>
      <c r="D59" s="374"/>
      <c r="G59" s="30"/>
      <c r="H59" s="202"/>
      <c r="I59" s="202"/>
    </row>
    <row r="60" customFormat="false" ht="15" hidden="false" customHeight="false" outlineLevel="1" collapsed="false">
      <c r="C60" s="383" t="str">
        <f aca="false">'3. Assumptions'!C332</f>
        <v>Director of Industrial Ops</v>
      </c>
      <c r="G60" s="30" t="s">
        <v>602</v>
      </c>
      <c r="H60" s="236" t="n">
        <f aca="false">'3. Assumptions'!G332</f>
        <v>0</v>
      </c>
      <c r="I60" s="236" t="n">
        <f aca="false">'3. Assumptions'!H332</f>
        <v>0</v>
      </c>
      <c r="J60" s="236" t="n">
        <f aca="false">'3. Assumptions'!I332</f>
        <v>1</v>
      </c>
      <c r="K60" s="236" t="n">
        <f aca="false">'3. Assumptions'!J332</f>
        <v>1</v>
      </c>
      <c r="L60" s="236" t="n">
        <f aca="false">'3. Assumptions'!K332</f>
        <v>1</v>
      </c>
      <c r="M60" s="236" t="n">
        <f aca="false">'3. Assumptions'!L332</f>
        <v>1</v>
      </c>
      <c r="N60" s="236" t="n">
        <f aca="false">'3. Assumptions'!M332</f>
        <v>1</v>
      </c>
      <c r="O60" s="236" t="n">
        <f aca="false">'3. Assumptions'!N332</f>
        <v>1</v>
      </c>
      <c r="P60" s="236" t="n">
        <f aca="false">'3. Assumptions'!O332</f>
        <v>1</v>
      </c>
      <c r="Q60" s="236" t="n">
        <f aca="false">'3. Assumptions'!P332</f>
        <v>1</v>
      </c>
      <c r="R60" s="236" t="n">
        <f aca="false">Q60</f>
        <v>1</v>
      </c>
      <c r="S60" s="236" t="n">
        <f aca="false">R60</f>
        <v>1</v>
      </c>
      <c r="T60" s="236" t="n">
        <f aca="false">S60</f>
        <v>1</v>
      </c>
      <c r="U60" s="236" t="n">
        <f aca="false">T60</f>
        <v>1</v>
      </c>
      <c r="V60" s="236" t="n">
        <f aca="false">U60</f>
        <v>1</v>
      </c>
      <c r="W60" s="236" t="n">
        <f aca="false">V60</f>
        <v>1</v>
      </c>
      <c r="X60" s="236" t="n">
        <f aca="false">W60</f>
        <v>1</v>
      </c>
      <c r="Y60" s="236" t="n">
        <f aca="false">X60</f>
        <v>1</v>
      </c>
      <c r="Z60" s="236" t="n">
        <f aca="false">Y60</f>
        <v>1</v>
      </c>
      <c r="AA60" s="236" t="n">
        <f aca="false">Z60</f>
        <v>1</v>
      </c>
      <c r="AB60" s="236" t="n">
        <f aca="false">AA60</f>
        <v>1</v>
      </c>
      <c r="AC60" s="236" t="n">
        <f aca="false">AB60</f>
        <v>1</v>
      </c>
      <c r="AD60" s="236" t="n">
        <f aca="false">AC60</f>
        <v>1</v>
      </c>
      <c r="AE60" s="236" t="n">
        <f aca="false">AD60</f>
        <v>1</v>
      </c>
      <c r="AF60" s="236" t="n">
        <f aca="false">AE60</f>
        <v>1</v>
      </c>
      <c r="AG60" s="236" t="n">
        <f aca="false">AF60</f>
        <v>1</v>
      </c>
      <c r="AH60" s="236" t="n">
        <f aca="false">AG60</f>
        <v>1</v>
      </c>
      <c r="AI60" s="236" t="n">
        <f aca="false">AH60</f>
        <v>1</v>
      </c>
      <c r="AJ60" s="236" t="n">
        <f aca="false">AI60</f>
        <v>1</v>
      </c>
      <c r="AK60" s="236" t="n">
        <f aca="false">AJ60</f>
        <v>1</v>
      </c>
      <c r="AL60" s="236" t="n">
        <f aca="false">AK60</f>
        <v>1</v>
      </c>
    </row>
    <row r="61" customFormat="false" ht="15" hidden="false" customHeight="false" outlineLevel="1" collapsed="false">
      <c r="C61" s="383" t="str">
        <f aca="false">'3. Assumptions'!C333</f>
        <v>Factory Managers - Shea Processing</v>
      </c>
      <c r="G61" s="30" t="s">
        <v>602</v>
      </c>
      <c r="H61" s="236" t="n">
        <f aca="false">'3. Assumptions'!G333</f>
        <v>0</v>
      </c>
      <c r="I61" s="236" t="n">
        <f aca="false">'3. Assumptions'!H333</f>
        <v>0</v>
      </c>
      <c r="J61" s="236" t="n">
        <f aca="false">'3. Assumptions'!I333</f>
        <v>0</v>
      </c>
      <c r="K61" s="236" t="n">
        <f aca="false">'3. Assumptions'!J333</f>
        <v>0</v>
      </c>
      <c r="L61" s="236" t="n">
        <f aca="false">'3. Assumptions'!K333</f>
        <v>0</v>
      </c>
      <c r="M61" s="236" t="n">
        <f aca="false">'3. Assumptions'!L333</f>
        <v>0</v>
      </c>
      <c r="N61" s="236" t="n">
        <f aca="false">'3. Assumptions'!M333</f>
        <v>0</v>
      </c>
      <c r="O61" s="236" t="n">
        <f aca="false">'3. Assumptions'!N333</f>
        <v>0</v>
      </c>
      <c r="P61" s="236" t="n">
        <f aca="false">'3. Assumptions'!O333</f>
        <v>0</v>
      </c>
      <c r="Q61" s="236" t="n">
        <f aca="false">'3. Assumptions'!P333</f>
        <v>0</v>
      </c>
      <c r="R61" s="236" t="n">
        <f aca="false">Q61</f>
        <v>0</v>
      </c>
      <c r="S61" s="236" t="n">
        <f aca="false">R61</f>
        <v>0</v>
      </c>
      <c r="T61" s="236" t="n">
        <f aca="false">S61</f>
        <v>0</v>
      </c>
      <c r="U61" s="236" t="n">
        <f aca="false">T61</f>
        <v>0</v>
      </c>
      <c r="V61" s="236" t="n">
        <f aca="false">U61</f>
        <v>0</v>
      </c>
      <c r="W61" s="236" t="n">
        <f aca="false">V61</f>
        <v>0</v>
      </c>
      <c r="X61" s="236" t="n">
        <f aca="false">W61</f>
        <v>0</v>
      </c>
      <c r="Y61" s="236" t="n">
        <f aca="false">X61</f>
        <v>0</v>
      </c>
      <c r="Z61" s="236" t="n">
        <f aca="false">Y61</f>
        <v>0</v>
      </c>
      <c r="AA61" s="236" t="n">
        <f aca="false">Z61</f>
        <v>0</v>
      </c>
      <c r="AB61" s="236" t="n">
        <f aca="false">AA61</f>
        <v>0</v>
      </c>
      <c r="AC61" s="236" t="n">
        <f aca="false">AB61</f>
        <v>0</v>
      </c>
      <c r="AD61" s="236" t="n">
        <f aca="false">AC61</f>
        <v>0</v>
      </c>
      <c r="AE61" s="236" t="n">
        <f aca="false">AD61</f>
        <v>0</v>
      </c>
      <c r="AF61" s="236" t="n">
        <f aca="false">AE61</f>
        <v>0</v>
      </c>
      <c r="AG61" s="236" t="n">
        <f aca="false">AF61</f>
        <v>0</v>
      </c>
      <c r="AH61" s="236" t="n">
        <f aca="false">AG61</f>
        <v>0</v>
      </c>
      <c r="AI61" s="236" t="n">
        <f aca="false">AH61</f>
        <v>0</v>
      </c>
      <c r="AJ61" s="236" t="n">
        <f aca="false">AI61</f>
        <v>0</v>
      </c>
      <c r="AK61" s="236" t="n">
        <f aca="false">AJ61</f>
        <v>0</v>
      </c>
      <c r="AL61" s="236" t="n">
        <f aca="false">AK61</f>
        <v>0</v>
      </c>
    </row>
    <row r="62" customFormat="false" ht="15" hidden="false" customHeight="false" outlineLevel="1" collapsed="false">
      <c r="C62" s="383" t="str">
        <f aca="false">'3. Assumptions'!C334</f>
        <v>Factory Managers - Shea Collection</v>
      </c>
      <c r="G62" s="30" t="s">
        <v>602</v>
      </c>
      <c r="H62" s="236" t="n">
        <f aca="false">'3. Assumptions'!G334</f>
        <v>0</v>
      </c>
      <c r="I62" s="236" t="n">
        <f aca="false">'3. Assumptions'!H334</f>
        <v>0</v>
      </c>
      <c r="J62" s="236" t="n">
        <f aca="false">'3. Assumptions'!I334</f>
        <v>0</v>
      </c>
      <c r="K62" s="236" t="n">
        <f aca="false">'3. Assumptions'!J334</f>
        <v>0</v>
      </c>
      <c r="L62" s="236" t="n">
        <f aca="false">'3. Assumptions'!K334</f>
        <v>0</v>
      </c>
      <c r="M62" s="236" t="n">
        <f aca="false">'3. Assumptions'!L334</f>
        <v>0</v>
      </c>
      <c r="N62" s="236" t="n">
        <f aca="false">'3. Assumptions'!M334</f>
        <v>0</v>
      </c>
      <c r="O62" s="236" t="n">
        <f aca="false">'3. Assumptions'!N334</f>
        <v>0</v>
      </c>
      <c r="P62" s="236" t="n">
        <f aca="false">'3. Assumptions'!O334</f>
        <v>0</v>
      </c>
      <c r="Q62" s="236" t="n">
        <f aca="false">'3. Assumptions'!P334</f>
        <v>0</v>
      </c>
      <c r="R62" s="236" t="n">
        <f aca="false">Q62</f>
        <v>0</v>
      </c>
      <c r="S62" s="236" t="n">
        <f aca="false">R62</f>
        <v>0</v>
      </c>
      <c r="T62" s="236" t="n">
        <f aca="false">S62</f>
        <v>0</v>
      </c>
      <c r="U62" s="236" t="n">
        <f aca="false">T62</f>
        <v>0</v>
      </c>
      <c r="V62" s="236" t="n">
        <f aca="false">U62</f>
        <v>0</v>
      </c>
      <c r="W62" s="236" t="n">
        <f aca="false">V62</f>
        <v>0</v>
      </c>
      <c r="X62" s="236" t="n">
        <f aca="false">W62</f>
        <v>0</v>
      </c>
      <c r="Y62" s="236" t="n">
        <f aca="false">X62</f>
        <v>0</v>
      </c>
      <c r="Z62" s="236" t="n">
        <f aca="false">Y62</f>
        <v>0</v>
      </c>
      <c r="AA62" s="236" t="n">
        <f aca="false">Z62</f>
        <v>0</v>
      </c>
      <c r="AB62" s="236" t="n">
        <f aca="false">AA62</f>
        <v>0</v>
      </c>
      <c r="AC62" s="236" t="n">
        <f aca="false">AB62</f>
        <v>0</v>
      </c>
      <c r="AD62" s="236" t="n">
        <f aca="false">AC62</f>
        <v>0</v>
      </c>
      <c r="AE62" s="236" t="n">
        <f aca="false">AD62</f>
        <v>0</v>
      </c>
      <c r="AF62" s="236" t="n">
        <f aca="false">AE62</f>
        <v>0</v>
      </c>
      <c r="AG62" s="236" t="n">
        <f aca="false">AF62</f>
        <v>0</v>
      </c>
      <c r="AH62" s="236" t="n">
        <f aca="false">AG62</f>
        <v>0</v>
      </c>
      <c r="AI62" s="236" t="n">
        <f aca="false">AH62</f>
        <v>0</v>
      </c>
      <c r="AJ62" s="236" t="n">
        <f aca="false">AI62</f>
        <v>0</v>
      </c>
      <c r="AK62" s="236" t="n">
        <f aca="false">AJ62</f>
        <v>0</v>
      </c>
      <c r="AL62" s="236" t="n">
        <f aca="false">AK62</f>
        <v>0</v>
      </c>
    </row>
    <row r="63" customFormat="false" ht="15" hidden="false" customHeight="false" outlineLevel="1" collapsed="false">
      <c r="C63" s="383" t="str">
        <f aca="false">'3. Assumptions'!C335</f>
        <v>Factory Managers - Multi Center</v>
      </c>
      <c r="G63" s="30" t="s">
        <v>602</v>
      </c>
      <c r="H63" s="236" t="n">
        <f aca="false">'3. Assumptions'!G335</f>
        <v>0</v>
      </c>
      <c r="I63" s="236" t="n">
        <f aca="false">'3. Assumptions'!H335</f>
        <v>2</v>
      </c>
      <c r="J63" s="236" t="n">
        <f aca="false">'3. Assumptions'!I335</f>
        <v>4</v>
      </c>
      <c r="K63" s="236" t="n">
        <f aca="false">'3. Assumptions'!J335</f>
        <v>6</v>
      </c>
      <c r="L63" s="236" t="n">
        <f aca="false">'3. Assumptions'!K335</f>
        <v>8</v>
      </c>
      <c r="M63" s="236" t="n">
        <f aca="false">'3. Assumptions'!L335</f>
        <v>10</v>
      </c>
      <c r="N63" s="236" t="n">
        <f aca="false">'3. Assumptions'!M335</f>
        <v>12</v>
      </c>
      <c r="O63" s="236" t="n">
        <f aca="false">'3. Assumptions'!N335</f>
        <v>14</v>
      </c>
      <c r="P63" s="236" t="n">
        <f aca="false">'3. Assumptions'!O335</f>
        <v>16</v>
      </c>
      <c r="Q63" s="236" t="n">
        <f aca="false">'3. Assumptions'!P335</f>
        <v>18</v>
      </c>
      <c r="R63" s="236" t="n">
        <f aca="false">Q63</f>
        <v>18</v>
      </c>
      <c r="S63" s="236" t="n">
        <f aca="false">R63</f>
        <v>18</v>
      </c>
      <c r="T63" s="236" t="n">
        <f aca="false">S63</f>
        <v>18</v>
      </c>
      <c r="U63" s="236" t="n">
        <f aca="false">T63</f>
        <v>18</v>
      </c>
      <c r="V63" s="236" t="n">
        <f aca="false">U63</f>
        <v>18</v>
      </c>
      <c r="W63" s="236" t="n">
        <f aca="false">V63</f>
        <v>18</v>
      </c>
      <c r="X63" s="236" t="n">
        <f aca="false">W63</f>
        <v>18</v>
      </c>
      <c r="Y63" s="236" t="n">
        <f aca="false">X63</f>
        <v>18</v>
      </c>
      <c r="Z63" s="236" t="n">
        <f aca="false">Y63</f>
        <v>18</v>
      </c>
      <c r="AA63" s="236" t="n">
        <f aca="false">Z63</f>
        <v>18</v>
      </c>
      <c r="AB63" s="236" t="n">
        <f aca="false">AA63</f>
        <v>18</v>
      </c>
      <c r="AC63" s="236" t="n">
        <f aca="false">AB63</f>
        <v>18</v>
      </c>
      <c r="AD63" s="236" t="n">
        <f aca="false">AC63</f>
        <v>18</v>
      </c>
      <c r="AE63" s="236" t="n">
        <f aca="false">AD63</f>
        <v>18</v>
      </c>
      <c r="AF63" s="236" t="n">
        <f aca="false">AE63</f>
        <v>18</v>
      </c>
      <c r="AG63" s="236" t="n">
        <f aca="false">AF63</f>
        <v>18</v>
      </c>
      <c r="AH63" s="236" t="n">
        <f aca="false">AG63</f>
        <v>18</v>
      </c>
      <c r="AI63" s="236" t="n">
        <f aca="false">AH63</f>
        <v>18</v>
      </c>
      <c r="AJ63" s="236" t="n">
        <f aca="false">AI63</f>
        <v>18</v>
      </c>
      <c r="AK63" s="236" t="n">
        <f aca="false">AJ63</f>
        <v>18</v>
      </c>
      <c r="AL63" s="236" t="n">
        <f aca="false">AK63</f>
        <v>18</v>
      </c>
    </row>
    <row r="64" customFormat="false" ht="15" hidden="false" customHeight="false" outlineLevel="1" collapsed="false">
      <c r="C64" s="383" t="str">
        <f aca="false">'3. Assumptions'!C336</f>
        <v>Assistant Manager</v>
      </c>
      <c r="G64" s="30" t="s">
        <v>602</v>
      </c>
      <c r="H64" s="236" t="n">
        <f aca="false">'3. Assumptions'!G336</f>
        <v>0</v>
      </c>
      <c r="I64" s="236" t="n">
        <f aca="false">'3. Assumptions'!H336</f>
        <v>2</v>
      </c>
      <c r="J64" s="236" t="n">
        <f aca="false">'3. Assumptions'!I336</f>
        <v>4</v>
      </c>
      <c r="K64" s="236" t="n">
        <f aca="false">'3. Assumptions'!J336</f>
        <v>6</v>
      </c>
      <c r="L64" s="236" t="n">
        <f aca="false">'3. Assumptions'!K336</f>
        <v>8</v>
      </c>
      <c r="M64" s="236" t="n">
        <f aca="false">'3. Assumptions'!L336</f>
        <v>10</v>
      </c>
      <c r="N64" s="236" t="n">
        <f aca="false">'3. Assumptions'!M336</f>
        <v>12</v>
      </c>
      <c r="O64" s="236" t="n">
        <f aca="false">'3. Assumptions'!N336</f>
        <v>14</v>
      </c>
      <c r="P64" s="236" t="n">
        <f aca="false">'3. Assumptions'!O336</f>
        <v>16</v>
      </c>
      <c r="Q64" s="236" t="n">
        <f aca="false">'3. Assumptions'!P336</f>
        <v>18</v>
      </c>
      <c r="R64" s="236" t="n">
        <f aca="false">Q64</f>
        <v>18</v>
      </c>
      <c r="S64" s="236" t="n">
        <f aca="false">R64</f>
        <v>18</v>
      </c>
      <c r="T64" s="236" t="n">
        <f aca="false">S64</f>
        <v>18</v>
      </c>
      <c r="U64" s="236" t="n">
        <f aca="false">T64</f>
        <v>18</v>
      </c>
      <c r="V64" s="236" t="n">
        <f aca="false">U64</f>
        <v>18</v>
      </c>
      <c r="W64" s="236" t="n">
        <f aca="false">V64</f>
        <v>18</v>
      </c>
      <c r="X64" s="236" t="n">
        <f aca="false">W64</f>
        <v>18</v>
      </c>
      <c r="Y64" s="236" t="n">
        <f aca="false">X64</f>
        <v>18</v>
      </c>
      <c r="Z64" s="236" t="n">
        <f aca="false">Y64</f>
        <v>18</v>
      </c>
      <c r="AA64" s="236" t="n">
        <f aca="false">Z64</f>
        <v>18</v>
      </c>
      <c r="AB64" s="236" t="n">
        <f aca="false">AA64</f>
        <v>18</v>
      </c>
      <c r="AC64" s="236" t="n">
        <f aca="false">AB64</f>
        <v>18</v>
      </c>
      <c r="AD64" s="236" t="n">
        <f aca="false">AC64</f>
        <v>18</v>
      </c>
      <c r="AE64" s="236" t="n">
        <f aca="false">AD64</f>
        <v>18</v>
      </c>
      <c r="AF64" s="236" t="n">
        <f aca="false">AE64</f>
        <v>18</v>
      </c>
      <c r="AG64" s="236" t="n">
        <f aca="false">AF64</f>
        <v>18</v>
      </c>
      <c r="AH64" s="236" t="n">
        <f aca="false">AG64</f>
        <v>18</v>
      </c>
      <c r="AI64" s="236" t="n">
        <f aca="false">AH64</f>
        <v>18</v>
      </c>
      <c r="AJ64" s="236" t="n">
        <f aca="false">AI64</f>
        <v>18</v>
      </c>
      <c r="AK64" s="236" t="n">
        <f aca="false">AJ64</f>
        <v>18</v>
      </c>
      <c r="AL64" s="236" t="n">
        <f aca="false">AK64</f>
        <v>18</v>
      </c>
    </row>
    <row r="65" customFormat="false" ht="15" hidden="false" customHeight="false" outlineLevel="1" collapsed="false">
      <c r="C65" s="383" t="str">
        <f aca="false">'3. Assumptions'!C337</f>
        <v>Technical Staff</v>
      </c>
      <c r="G65" s="30" t="s">
        <v>602</v>
      </c>
      <c r="H65" s="236" t="n">
        <f aca="false">'3. Assumptions'!G337</f>
        <v>0</v>
      </c>
      <c r="I65" s="236" t="n">
        <f aca="false">'3. Assumptions'!H337</f>
        <v>4</v>
      </c>
      <c r="J65" s="236" t="n">
        <f aca="false">'3. Assumptions'!I337</f>
        <v>8</v>
      </c>
      <c r="K65" s="236" t="n">
        <f aca="false">'3. Assumptions'!J337</f>
        <v>12</v>
      </c>
      <c r="L65" s="236" t="n">
        <f aca="false">'3. Assumptions'!K337</f>
        <v>16</v>
      </c>
      <c r="M65" s="236" t="n">
        <f aca="false">'3. Assumptions'!L337</f>
        <v>20</v>
      </c>
      <c r="N65" s="236" t="n">
        <f aca="false">'3. Assumptions'!M337</f>
        <v>24</v>
      </c>
      <c r="O65" s="236" t="n">
        <f aca="false">'3. Assumptions'!N337</f>
        <v>28</v>
      </c>
      <c r="P65" s="236" t="n">
        <f aca="false">'3. Assumptions'!O337</f>
        <v>32</v>
      </c>
      <c r="Q65" s="236" t="n">
        <f aca="false">'3. Assumptions'!P337</f>
        <v>36</v>
      </c>
      <c r="R65" s="236" t="n">
        <f aca="false">Q65</f>
        <v>36</v>
      </c>
      <c r="S65" s="236" t="n">
        <f aca="false">R65</f>
        <v>36</v>
      </c>
      <c r="T65" s="236" t="n">
        <f aca="false">S65</f>
        <v>36</v>
      </c>
      <c r="U65" s="236" t="n">
        <f aca="false">T65</f>
        <v>36</v>
      </c>
      <c r="V65" s="236" t="n">
        <f aca="false">U65</f>
        <v>36</v>
      </c>
      <c r="W65" s="236" t="n">
        <f aca="false">V65</f>
        <v>36</v>
      </c>
      <c r="X65" s="236" t="n">
        <f aca="false">W65</f>
        <v>36</v>
      </c>
      <c r="Y65" s="236" t="n">
        <f aca="false">X65</f>
        <v>36</v>
      </c>
      <c r="Z65" s="236" t="n">
        <f aca="false">Y65</f>
        <v>36</v>
      </c>
      <c r="AA65" s="236" t="n">
        <f aca="false">Z65</f>
        <v>36</v>
      </c>
      <c r="AB65" s="236" t="n">
        <f aca="false">AA65</f>
        <v>36</v>
      </c>
      <c r="AC65" s="236" t="n">
        <f aca="false">AB65</f>
        <v>36</v>
      </c>
      <c r="AD65" s="236" t="n">
        <f aca="false">AC65</f>
        <v>36</v>
      </c>
      <c r="AE65" s="236" t="n">
        <f aca="false">AD65</f>
        <v>36</v>
      </c>
      <c r="AF65" s="236" t="n">
        <f aca="false">AE65</f>
        <v>36</v>
      </c>
      <c r="AG65" s="236" t="n">
        <f aca="false">AF65</f>
        <v>36</v>
      </c>
      <c r="AH65" s="236" t="n">
        <f aca="false">AG65</f>
        <v>36</v>
      </c>
      <c r="AI65" s="236" t="n">
        <f aca="false">AH65</f>
        <v>36</v>
      </c>
      <c r="AJ65" s="236" t="n">
        <f aca="false">AI65</f>
        <v>36</v>
      </c>
      <c r="AK65" s="236" t="n">
        <f aca="false">AJ65</f>
        <v>36</v>
      </c>
      <c r="AL65" s="236" t="n">
        <f aca="false">AK65</f>
        <v>36</v>
      </c>
    </row>
    <row r="66" customFormat="false" ht="15" hidden="false" customHeight="false" outlineLevel="1" collapsed="false">
      <c r="C66" s="383" t="str">
        <f aca="false">'3. Assumptions'!C338</f>
        <v>Food Engineer</v>
      </c>
      <c r="G66" s="30" t="s">
        <v>602</v>
      </c>
      <c r="H66" s="236" t="n">
        <f aca="false">'3. Assumptions'!G338</f>
        <v>0</v>
      </c>
      <c r="I66" s="236" t="n">
        <f aca="false">'3. Assumptions'!H338</f>
        <v>2</v>
      </c>
      <c r="J66" s="236" t="n">
        <f aca="false">'3. Assumptions'!I338</f>
        <v>4</v>
      </c>
      <c r="K66" s="236" t="n">
        <f aca="false">'3. Assumptions'!J338</f>
        <v>6</v>
      </c>
      <c r="L66" s="236" t="n">
        <f aca="false">'3. Assumptions'!K338</f>
        <v>8</v>
      </c>
      <c r="M66" s="236" t="n">
        <f aca="false">'3. Assumptions'!L338</f>
        <v>10</v>
      </c>
      <c r="N66" s="236" t="n">
        <f aca="false">'3. Assumptions'!M338</f>
        <v>12</v>
      </c>
      <c r="O66" s="236" t="n">
        <f aca="false">'3. Assumptions'!N338</f>
        <v>14</v>
      </c>
      <c r="P66" s="236" t="n">
        <f aca="false">'3. Assumptions'!O338</f>
        <v>16</v>
      </c>
      <c r="Q66" s="236" t="n">
        <f aca="false">'3. Assumptions'!P338</f>
        <v>18</v>
      </c>
      <c r="R66" s="236" t="n">
        <f aca="false">Q66</f>
        <v>18</v>
      </c>
      <c r="S66" s="236" t="n">
        <f aca="false">R66</f>
        <v>18</v>
      </c>
      <c r="T66" s="236" t="n">
        <f aca="false">S66</f>
        <v>18</v>
      </c>
      <c r="U66" s="236" t="n">
        <f aca="false">T66</f>
        <v>18</v>
      </c>
      <c r="V66" s="236" t="n">
        <f aca="false">U66</f>
        <v>18</v>
      </c>
      <c r="W66" s="236" t="n">
        <f aca="false">V66</f>
        <v>18</v>
      </c>
      <c r="X66" s="236" t="n">
        <f aca="false">W66</f>
        <v>18</v>
      </c>
      <c r="Y66" s="236" t="n">
        <f aca="false">X66</f>
        <v>18</v>
      </c>
      <c r="Z66" s="236" t="n">
        <f aca="false">Y66</f>
        <v>18</v>
      </c>
      <c r="AA66" s="236" t="n">
        <f aca="false">Z66</f>
        <v>18</v>
      </c>
      <c r="AB66" s="236" t="n">
        <f aca="false">AA66</f>
        <v>18</v>
      </c>
      <c r="AC66" s="236" t="n">
        <f aca="false">AB66</f>
        <v>18</v>
      </c>
      <c r="AD66" s="236" t="n">
        <f aca="false">AC66</f>
        <v>18</v>
      </c>
      <c r="AE66" s="236" t="n">
        <f aca="false">AD66</f>
        <v>18</v>
      </c>
      <c r="AF66" s="236" t="n">
        <f aca="false">AE66</f>
        <v>18</v>
      </c>
      <c r="AG66" s="236" t="n">
        <f aca="false">AF66</f>
        <v>18</v>
      </c>
      <c r="AH66" s="236" t="n">
        <f aca="false">AG66</f>
        <v>18</v>
      </c>
      <c r="AI66" s="236" t="n">
        <f aca="false">AH66</f>
        <v>18</v>
      </c>
      <c r="AJ66" s="236" t="n">
        <f aca="false">AI66</f>
        <v>18</v>
      </c>
      <c r="AK66" s="236" t="n">
        <f aca="false">AJ66</f>
        <v>18</v>
      </c>
      <c r="AL66" s="236" t="n">
        <f aca="false">AK66</f>
        <v>18</v>
      </c>
    </row>
    <row r="67" customFormat="false" ht="15" hidden="false" customHeight="false" outlineLevel="1" collapsed="false">
      <c r="C67" s="383" t="str">
        <f aca="false">'3. Assumptions'!C339</f>
        <v>Logistics specialist</v>
      </c>
      <c r="G67" s="30" t="s">
        <v>602</v>
      </c>
      <c r="H67" s="236" t="n">
        <f aca="false">'3. Assumptions'!G339</f>
        <v>0</v>
      </c>
      <c r="I67" s="236" t="n">
        <f aca="false">'3. Assumptions'!H339</f>
        <v>0</v>
      </c>
      <c r="J67" s="236" t="n">
        <f aca="false">'3. Assumptions'!I339</f>
        <v>2</v>
      </c>
      <c r="K67" s="236" t="n">
        <f aca="false">'3. Assumptions'!J339</f>
        <v>2</v>
      </c>
      <c r="L67" s="236" t="n">
        <f aca="false">'3. Assumptions'!K339</f>
        <v>4</v>
      </c>
      <c r="M67" s="236" t="n">
        <f aca="false">'3. Assumptions'!L339</f>
        <v>4</v>
      </c>
      <c r="N67" s="236" t="n">
        <f aca="false">'3. Assumptions'!M339</f>
        <v>5</v>
      </c>
      <c r="O67" s="236" t="n">
        <f aca="false">'3. Assumptions'!N339</f>
        <v>5.8</v>
      </c>
      <c r="P67" s="236" t="n">
        <f aca="false">'3. Assumptions'!O339</f>
        <v>6.6</v>
      </c>
      <c r="Q67" s="236" t="n">
        <f aca="false">'3. Assumptions'!P339</f>
        <v>7.4</v>
      </c>
      <c r="R67" s="236" t="n">
        <f aca="false">Q67</f>
        <v>7.4</v>
      </c>
      <c r="S67" s="236" t="n">
        <f aca="false">R67</f>
        <v>7.4</v>
      </c>
      <c r="T67" s="236" t="n">
        <f aca="false">S67</f>
        <v>7.4</v>
      </c>
      <c r="U67" s="236" t="n">
        <f aca="false">T67</f>
        <v>7.4</v>
      </c>
      <c r="V67" s="236" t="n">
        <f aca="false">U67</f>
        <v>7.4</v>
      </c>
      <c r="W67" s="236" t="n">
        <f aca="false">V67</f>
        <v>7.4</v>
      </c>
      <c r="X67" s="236" t="n">
        <f aca="false">W67</f>
        <v>7.4</v>
      </c>
      <c r="Y67" s="236" t="n">
        <f aca="false">X67</f>
        <v>7.4</v>
      </c>
      <c r="Z67" s="236" t="n">
        <f aca="false">Y67</f>
        <v>7.4</v>
      </c>
      <c r="AA67" s="236" t="n">
        <f aca="false">Z67</f>
        <v>7.4</v>
      </c>
      <c r="AB67" s="236" t="n">
        <f aca="false">AA67</f>
        <v>7.4</v>
      </c>
      <c r="AC67" s="236" t="n">
        <f aca="false">AB67</f>
        <v>7.4</v>
      </c>
      <c r="AD67" s="236" t="n">
        <f aca="false">AC67</f>
        <v>7.4</v>
      </c>
      <c r="AE67" s="236" t="n">
        <f aca="false">AD67</f>
        <v>7.4</v>
      </c>
      <c r="AF67" s="236" t="n">
        <f aca="false">AE67</f>
        <v>7.4</v>
      </c>
      <c r="AG67" s="236" t="n">
        <f aca="false">AF67</f>
        <v>7.4</v>
      </c>
      <c r="AH67" s="236" t="n">
        <f aca="false">AG67</f>
        <v>7.4</v>
      </c>
      <c r="AI67" s="236" t="n">
        <f aca="false">AH67</f>
        <v>7.4</v>
      </c>
      <c r="AJ67" s="236" t="n">
        <f aca="false">AI67</f>
        <v>7.4</v>
      </c>
      <c r="AK67" s="236" t="n">
        <f aca="false">AJ67</f>
        <v>7.4</v>
      </c>
      <c r="AL67" s="236" t="n">
        <f aca="false">AK67</f>
        <v>7.4</v>
      </c>
    </row>
    <row r="68" customFormat="false" ht="15" hidden="false" customHeight="false" outlineLevel="1" collapsed="false">
      <c r="C68" s="383" t="str">
        <f aca="false">'3. Assumptions'!C340</f>
        <v>Employees</v>
      </c>
      <c r="G68" s="30" t="s">
        <v>602</v>
      </c>
      <c r="H68" s="236" t="n">
        <f aca="false">'3. Assumptions'!G340</f>
        <v>0</v>
      </c>
      <c r="I68" s="236" t="n">
        <f aca="false">'3. Assumptions'!H340</f>
        <v>8</v>
      </c>
      <c r="J68" s="236" t="n">
        <f aca="false">'3. Assumptions'!I340</f>
        <v>16</v>
      </c>
      <c r="K68" s="236" t="n">
        <f aca="false">'3. Assumptions'!J340</f>
        <v>24</v>
      </c>
      <c r="L68" s="236" t="n">
        <f aca="false">'3. Assumptions'!K340</f>
        <v>32</v>
      </c>
      <c r="M68" s="236" t="n">
        <f aca="false">'3. Assumptions'!L340</f>
        <v>40</v>
      </c>
      <c r="N68" s="236" t="n">
        <f aca="false">'3. Assumptions'!M340</f>
        <v>48</v>
      </c>
      <c r="O68" s="236" t="n">
        <f aca="false">'3. Assumptions'!N340</f>
        <v>56</v>
      </c>
      <c r="P68" s="236" t="n">
        <f aca="false">'3. Assumptions'!O340</f>
        <v>64</v>
      </c>
      <c r="Q68" s="236" t="n">
        <f aca="false">'3. Assumptions'!P340</f>
        <v>72</v>
      </c>
      <c r="R68" s="236" t="n">
        <f aca="false">Q68</f>
        <v>72</v>
      </c>
      <c r="S68" s="236" t="n">
        <f aca="false">R68</f>
        <v>72</v>
      </c>
      <c r="T68" s="236" t="n">
        <f aca="false">S68</f>
        <v>72</v>
      </c>
      <c r="U68" s="236" t="n">
        <f aca="false">T68</f>
        <v>72</v>
      </c>
      <c r="V68" s="236" t="n">
        <f aca="false">U68</f>
        <v>72</v>
      </c>
      <c r="W68" s="236" t="n">
        <f aca="false">V68</f>
        <v>72</v>
      </c>
      <c r="X68" s="236" t="n">
        <f aca="false">W68</f>
        <v>72</v>
      </c>
      <c r="Y68" s="236" t="n">
        <f aca="false">X68</f>
        <v>72</v>
      </c>
      <c r="Z68" s="236" t="n">
        <f aca="false">Y68</f>
        <v>72</v>
      </c>
      <c r="AA68" s="236" t="n">
        <f aca="false">Z68</f>
        <v>72</v>
      </c>
      <c r="AB68" s="236" t="n">
        <f aca="false">AA68</f>
        <v>72</v>
      </c>
      <c r="AC68" s="236" t="n">
        <f aca="false">AB68</f>
        <v>72</v>
      </c>
      <c r="AD68" s="236" t="n">
        <f aca="false">AC68</f>
        <v>72</v>
      </c>
      <c r="AE68" s="236" t="n">
        <f aca="false">AD68</f>
        <v>72</v>
      </c>
      <c r="AF68" s="236" t="n">
        <f aca="false">AE68</f>
        <v>72</v>
      </c>
      <c r="AG68" s="236" t="n">
        <f aca="false">AF68</f>
        <v>72</v>
      </c>
      <c r="AH68" s="236" t="n">
        <f aca="false">AG68</f>
        <v>72</v>
      </c>
      <c r="AI68" s="236" t="n">
        <f aca="false">AH68</f>
        <v>72</v>
      </c>
      <c r="AJ68" s="236" t="n">
        <f aca="false">AI68</f>
        <v>72</v>
      </c>
      <c r="AK68" s="236" t="n">
        <f aca="false">AJ68</f>
        <v>72</v>
      </c>
      <c r="AL68" s="236" t="n">
        <f aca="false">AK68</f>
        <v>72</v>
      </c>
    </row>
    <row r="69" customFormat="false" ht="15" hidden="false" customHeight="false" outlineLevel="1" collapsed="false">
      <c r="C69" s="383" t="str">
        <f aca="false">'3. Assumptions'!C341</f>
        <v>Executive Secretary</v>
      </c>
      <c r="G69" s="30" t="s">
        <v>602</v>
      </c>
      <c r="H69" s="236" t="n">
        <f aca="false">'3. Assumptions'!G341</f>
        <v>1</v>
      </c>
      <c r="I69" s="236" t="n">
        <f aca="false">'3. Assumptions'!H341</f>
        <v>1</v>
      </c>
      <c r="J69" s="236" t="n">
        <f aca="false">'3. Assumptions'!I341</f>
        <v>1</v>
      </c>
      <c r="K69" s="236" t="n">
        <f aca="false">'3. Assumptions'!J341</f>
        <v>1</v>
      </c>
      <c r="L69" s="236" t="n">
        <f aca="false">'3. Assumptions'!K341</f>
        <v>1</v>
      </c>
      <c r="M69" s="236" t="n">
        <f aca="false">'3. Assumptions'!L341</f>
        <v>1</v>
      </c>
      <c r="N69" s="236" t="n">
        <f aca="false">'3. Assumptions'!M341</f>
        <v>1</v>
      </c>
      <c r="O69" s="236" t="n">
        <f aca="false">'3. Assumptions'!N341</f>
        <v>1</v>
      </c>
      <c r="P69" s="236" t="n">
        <f aca="false">'3. Assumptions'!O341</f>
        <v>1</v>
      </c>
      <c r="Q69" s="236" t="n">
        <f aca="false">'3. Assumptions'!P341</f>
        <v>1</v>
      </c>
      <c r="R69" s="236" t="n">
        <f aca="false">Q69</f>
        <v>1</v>
      </c>
      <c r="S69" s="236" t="n">
        <f aca="false">R69</f>
        <v>1</v>
      </c>
      <c r="T69" s="236" t="n">
        <f aca="false">S69</f>
        <v>1</v>
      </c>
      <c r="U69" s="236" t="n">
        <f aca="false">T69</f>
        <v>1</v>
      </c>
      <c r="V69" s="236" t="n">
        <f aca="false">U69</f>
        <v>1</v>
      </c>
      <c r="W69" s="236" t="n">
        <f aca="false">V69</f>
        <v>1</v>
      </c>
      <c r="X69" s="236" t="n">
        <f aca="false">W69</f>
        <v>1</v>
      </c>
      <c r="Y69" s="236" t="n">
        <f aca="false">X69</f>
        <v>1</v>
      </c>
      <c r="Z69" s="236" t="n">
        <f aca="false">Y69</f>
        <v>1</v>
      </c>
      <c r="AA69" s="236" t="n">
        <f aca="false">Z69</f>
        <v>1</v>
      </c>
      <c r="AB69" s="236" t="n">
        <f aca="false">AA69</f>
        <v>1</v>
      </c>
      <c r="AC69" s="236" t="n">
        <f aca="false">AB69</f>
        <v>1</v>
      </c>
      <c r="AD69" s="236" t="n">
        <f aca="false">AC69</f>
        <v>1</v>
      </c>
      <c r="AE69" s="236" t="n">
        <f aca="false">AD69</f>
        <v>1</v>
      </c>
      <c r="AF69" s="236" t="n">
        <f aca="false">AE69</f>
        <v>1</v>
      </c>
      <c r="AG69" s="236" t="n">
        <f aca="false">AF69</f>
        <v>1</v>
      </c>
      <c r="AH69" s="236" t="n">
        <f aca="false">AG69</f>
        <v>1</v>
      </c>
      <c r="AI69" s="236" t="n">
        <f aca="false">AH69</f>
        <v>1</v>
      </c>
      <c r="AJ69" s="236" t="n">
        <f aca="false">AI69</f>
        <v>1</v>
      </c>
      <c r="AK69" s="236" t="n">
        <f aca="false">AJ69</f>
        <v>1</v>
      </c>
      <c r="AL69" s="236" t="n">
        <f aca="false">AK69</f>
        <v>1</v>
      </c>
    </row>
    <row r="70" customFormat="false" ht="15" hidden="false" customHeight="false" outlineLevel="1" collapsed="false">
      <c r="C70" s="383" t="str">
        <f aca="false">'3. Assumptions'!C342</f>
        <v>Accountant</v>
      </c>
      <c r="G70" s="30" t="s">
        <v>602</v>
      </c>
      <c r="H70" s="236" t="n">
        <f aca="false">'3. Assumptions'!G342</f>
        <v>0</v>
      </c>
      <c r="I70" s="236" t="n">
        <f aca="false">'3. Assumptions'!H342</f>
        <v>2</v>
      </c>
      <c r="J70" s="236" t="n">
        <f aca="false">'3. Assumptions'!I342</f>
        <v>4</v>
      </c>
      <c r="K70" s="236" t="n">
        <f aca="false">'3. Assumptions'!J342</f>
        <v>6</v>
      </c>
      <c r="L70" s="236" t="n">
        <f aca="false">'3. Assumptions'!K342</f>
        <v>8</v>
      </c>
      <c r="M70" s="236" t="n">
        <f aca="false">'3. Assumptions'!L342</f>
        <v>10</v>
      </c>
      <c r="N70" s="236" t="n">
        <f aca="false">'3. Assumptions'!M342</f>
        <v>12</v>
      </c>
      <c r="O70" s="236" t="n">
        <f aca="false">'3. Assumptions'!N342</f>
        <v>14</v>
      </c>
      <c r="P70" s="236" t="n">
        <f aca="false">'3. Assumptions'!O342</f>
        <v>16</v>
      </c>
      <c r="Q70" s="236" t="n">
        <f aca="false">'3. Assumptions'!P342</f>
        <v>18</v>
      </c>
      <c r="R70" s="236" t="n">
        <f aca="false">Q70</f>
        <v>18</v>
      </c>
      <c r="S70" s="236" t="n">
        <f aca="false">R70</f>
        <v>18</v>
      </c>
      <c r="T70" s="236" t="n">
        <f aca="false">S70</f>
        <v>18</v>
      </c>
      <c r="U70" s="236" t="n">
        <f aca="false">T70</f>
        <v>18</v>
      </c>
      <c r="V70" s="236" t="n">
        <f aca="false">U70</f>
        <v>18</v>
      </c>
      <c r="W70" s="236" t="n">
        <f aca="false">V70</f>
        <v>18</v>
      </c>
      <c r="X70" s="236" t="n">
        <f aca="false">W70</f>
        <v>18</v>
      </c>
      <c r="Y70" s="236" t="n">
        <f aca="false">X70</f>
        <v>18</v>
      </c>
      <c r="Z70" s="236" t="n">
        <f aca="false">Y70</f>
        <v>18</v>
      </c>
      <c r="AA70" s="236" t="n">
        <f aca="false">Z70</f>
        <v>18</v>
      </c>
      <c r="AB70" s="236" t="n">
        <f aca="false">AA70</f>
        <v>18</v>
      </c>
      <c r="AC70" s="236" t="n">
        <f aca="false">AB70</f>
        <v>18</v>
      </c>
      <c r="AD70" s="236" t="n">
        <f aca="false">AC70</f>
        <v>18</v>
      </c>
      <c r="AE70" s="236" t="n">
        <f aca="false">AD70</f>
        <v>18</v>
      </c>
      <c r="AF70" s="236" t="n">
        <f aca="false">AE70</f>
        <v>18</v>
      </c>
      <c r="AG70" s="236" t="n">
        <f aca="false">AF70</f>
        <v>18</v>
      </c>
      <c r="AH70" s="236" t="n">
        <f aca="false">AG70</f>
        <v>18</v>
      </c>
      <c r="AI70" s="236" t="n">
        <f aca="false">AH70</f>
        <v>18</v>
      </c>
      <c r="AJ70" s="236" t="n">
        <f aca="false">AI70</f>
        <v>18</v>
      </c>
      <c r="AK70" s="236" t="n">
        <f aca="false">AJ70</f>
        <v>18</v>
      </c>
      <c r="AL70" s="236" t="n">
        <f aca="false">AK70</f>
        <v>18</v>
      </c>
    </row>
    <row r="71" customFormat="false" ht="15" hidden="false" customHeight="false" outlineLevel="1" collapsed="false">
      <c r="C71" s="383" t="str">
        <f aca="false">'3. Assumptions'!C343</f>
        <v>Secretaries</v>
      </c>
      <c r="G71" s="30" t="s">
        <v>602</v>
      </c>
      <c r="H71" s="236" t="n">
        <f aca="false">'3. Assumptions'!G343</f>
        <v>0</v>
      </c>
      <c r="I71" s="236" t="n">
        <f aca="false">'3. Assumptions'!H343</f>
        <v>2</v>
      </c>
      <c r="J71" s="236" t="n">
        <f aca="false">'3. Assumptions'!I343</f>
        <v>4</v>
      </c>
      <c r="K71" s="236" t="n">
        <f aca="false">'3. Assumptions'!J343</f>
        <v>6</v>
      </c>
      <c r="L71" s="236" t="n">
        <f aca="false">'3. Assumptions'!K343</f>
        <v>8</v>
      </c>
      <c r="M71" s="236" t="n">
        <f aca="false">'3. Assumptions'!L343</f>
        <v>10</v>
      </c>
      <c r="N71" s="236" t="n">
        <f aca="false">'3. Assumptions'!M343</f>
        <v>12</v>
      </c>
      <c r="O71" s="236" t="n">
        <f aca="false">'3. Assumptions'!N343</f>
        <v>14</v>
      </c>
      <c r="P71" s="236" t="n">
        <f aca="false">'3. Assumptions'!O343</f>
        <v>16</v>
      </c>
      <c r="Q71" s="236" t="n">
        <f aca="false">'3. Assumptions'!P343</f>
        <v>18</v>
      </c>
      <c r="R71" s="236" t="n">
        <f aca="false">Q71</f>
        <v>18</v>
      </c>
      <c r="S71" s="236" t="n">
        <f aca="false">R71</f>
        <v>18</v>
      </c>
      <c r="T71" s="236" t="n">
        <f aca="false">S71</f>
        <v>18</v>
      </c>
      <c r="U71" s="236" t="n">
        <f aca="false">T71</f>
        <v>18</v>
      </c>
      <c r="V71" s="236" t="n">
        <f aca="false">U71</f>
        <v>18</v>
      </c>
      <c r="W71" s="236" t="n">
        <f aca="false">V71</f>
        <v>18</v>
      </c>
      <c r="X71" s="236" t="n">
        <f aca="false">W71</f>
        <v>18</v>
      </c>
      <c r="Y71" s="236" t="n">
        <f aca="false">X71</f>
        <v>18</v>
      </c>
      <c r="Z71" s="236" t="n">
        <f aca="false">Y71</f>
        <v>18</v>
      </c>
      <c r="AA71" s="236" t="n">
        <f aca="false">Z71</f>
        <v>18</v>
      </c>
      <c r="AB71" s="236" t="n">
        <f aca="false">AA71</f>
        <v>18</v>
      </c>
      <c r="AC71" s="236" t="n">
        <f aca="false">AB71</f>
        <v>18</v>
      </c>
      <c r="AD71" s="236" t="n">
        <f aca="false">AC71</f>
        <v>18</v>
      </c>
      <c r="AE71" s="236" t="n">
        <f aca="false">AD71</f>
        <v>18</v>
      </c>
      <c r="AF71" s="236" t="n">
        <f aca="false">AE71</f>
        <v>18</v>
      </c>
      <c r="AG71" s="236" t="n">
        <f aca="false">AF71</f>
        <v>18</v>
      </c>
      <c r="AH71" s="236" t="n">
        <f aca="false">AG71</f>
        <v>18</v>
      </c>
      <c r="AI71" s="236" t="n">
        <f aca="false">AH71</f>
        <v>18</v>
      </c>
      <c r="AJ71" s="236" t="n">
        <f aca="false">AI71</f>
        <v>18</v>
      </c>
      <c r="AK71" s="236" t="n">
        <f aca="false">AJ71</f>
        <v>18</v>
      </c>
      <c r="AL71" s="236" t="n">
        <f aca="false">AK71</f>
        <v>18</v>
      </c>
    </row>
    <row r="72" customFormat="false" ht="15" hidden="false" customHeight="false" outlineLevel="1" collapsed="false">
      <c r="C72" s="383" t="str">
        <f aca="false">'3. Assumptions'!C344</f>
        <v>Trainees/Students</v>
      </c>
      <c r="G72" s="30" t="s">
        <v>602</v>
      </c>
      <c r="H72" s="236" t="n">
        <f aca="false">'3. Assumptions'!G344</f>
        <v>0</v>
      </c>
      <c r="I72" s="236" t="n">
        <f aca="false">'3. Assumptions'!H344</f>
        <v>10</v>
      </c>
      <c r="J72" s="236" t="n">
        <f aca="false">'3. Assumptions'!I344</f>
        <v>20</v>
      </c>
      <c r="K72" s="236" t="n">
        <f aca="false">'3. Assumptions'!J344</f>
        <v>30</v>
      </c>
      <c r="L72" s="236" t="n">
        <f aca="false">'3. Assumptions'!K344</f>
        <v>40</v>
      </c>
      <c r="M72" s="236" t="n">
        <f aca="false">'3. Assumptions'!L344</f>
        <v>50</v>
      </c>
      <c r="N72" s="236" t="n">
        <f aca="false">'3. Assumptions'!M344</f>
        <v>60</v>
      </c>
      <c r="O72" s="236" t="n">
        <f aca="false">'3. Assumptions'!N344</f>
        <v>70</v>
      </c>
      <c r="P72" s="236" t="n">
        <f aca="false">'3. Assumptions'!O344</f>
        <v>80</v>
      </c>
      <c r="Q72" s="236" t="n">
        <f aca="false">'3. Assumptions'!P344</f>
        <v>90</v>
      </c>
      <c r="R72" s="236" t="n">
        <f aca="false">Q72</f>
        <v>90</v>
      </c>
      <c r="S72" s="236" t="n">
        <f aca="false">R72</f>
        <v>90</v>
      </c>
      <c r="T72" s="236" t="n">
        <f aca="false">S72</f>
        <v>90</v>
      </c>
      <c r="U72" s="236" t="n">
        <f aca="false">T72</f>
        <v>90</v>
      </c>
      <c r="V72" s="236" t="n">
        <f aca="false">U72</f>
        <v>90</v>
      </c>
      <c r="W72" s="236" t="n">
        <f aca="false">V72</f>
        <v>90</v>
      </c>
      <c r="X72" s="236" t="n">
        <f aca="false">W72</f>
        <v>90</v>
      </c>
      <c r="Y72" s="236" t="n">
        <f aca="false">X72</f>
        <v>90</v>
      </c>
      <c r="Z72" s="236" t="n">
        <f aca="false">Y72</f>
        <v>90</v>
      </c>
      <c r="AA72" s="236" t="n">
        <f aca="false">Z72</f>
        <v>90</v>
      </c>
      <c r="AB72" s="236" t="n">
        <f aca="false">AA72</f>
        <v>90</v>
      </c>
      <c r="AC72" s="236" t="n">
        <f aca="false">AB72</f>
        <v>90</v>
      </c>
      <c r="AD72" s="236" t="n">
        <f aca="false">AC72</f>
        <v>90</v>
      </c>
      <c r="AE72" s="236" t="n">
        <f aca="false">AD72</f>
        <v>90</v>
      </c>
      <c r="AF72" s="236" t="n">
        <f aca="false">AE72</f>
        <v>90</v>
      </c>
      <c r="AG72" s="236" t="n">
        <f aca="false">AF72</f>
        <v>90</v>
      </c>
      <c r="AH72" s="236" t="n">
        <f aca="false">AG72</f>
        <v>90</v>
      </c>
      <c r="AI72" s="236" t="n">
        <f aca="false">AH72</f>
        <v>90</v>
      </c>
      <c r="AJ72" s="236" t="n">
        <f aca="false">AI72</f>
        <v>90</v>
      </c>
      <c r="AK72" s="236" t="n">
        <f aca="false">AJ72</f>
        <v>90</v>
      </c>
      <c r="AL72" s="236" t="n">
        <f aca="false">AK72</f>
        <v>90</v>
      </c>
    </row>
    <row r="73" customFormat="false" ht="15" hidden="false" customHeight="false" outlineLevel="1" collapsed="false">
      <c r="C73" s="383" t="str">
        <f aca="false">'3. Assumptions'!C345</f>
        <v>Field Agent</v>
      </c>
      <c r="G73" s="30" t="s">
        <v>602</v>
      </c>
      <c r="H73" s="236" t="n">
        <f aca="false">'3. Assumptions'!G345</f>
        <v>0</v>
      </c>
      <c r="I73" s="236" t="n">
        <f aca="false">'3. Assumptions'!H345</f>
        <v>2</v>
      </c>
      <c r="J73" s="236" t="n">
        <f aca="false">'3. Assumptions'!I345</f>
        <v>4</v>
      </c>
      <c r="K73" s="236" t="n">
        <f aca="false">'3. Assumptions'!J345</f>
        <v>6</v>
      </c>
      <c r="L73" s="236" t="n">
        <f aca="false">'3. Assumptions'!K345</f>
        <v>8</v>
      </c>
      <c r="M73" s="236" t="n">
        <f aca="false">'3. Assumptions'!L345</f>
        <v>10</v>
      </c>
      <c r="N73" s="236" t="n">
        <f aca="false">'3. Assumptions'!M345</f>
        <v>12</v>
      </c>
      <c r="O73" s="236" t="n">
        <f aca="false">'3. Assumptions'!N345</f>
        <v>14</v>
      </c>
      <c r="P73" s="236" t="n">
        <f aca="false">'3. Assumptions'!O345</f>
        <v>16</v>
      </c>
      <c r="Q73" s="236" t="n">
        <f aca="false">'3. Assumptions'!P345</f>
        <v>18</v>
      </c>
      <c r="R73" s="236" t="n">
        <f aca="false">Q73</f>
        <v>18</v>
      </c>
      <c r="S73" s="236" t="n">
        <f aca="false">R73</f>
        <v>18</v>
      </c>
      <c r="T73" s="236" t="n">
        <f aca="false">S73</f>
        <v>18</v>
      </c>
      <c r="U73" s="236" t="n">
        <f aca="false">T73</f>
        <v>18</v>
      </c>
      <c r="V73" s="236" t="n">
        <f aca="false">U73</f>
        <v>18</v>
      </c>
      <c r="W73" s="236" t="n">
        <f aca="false">V73</f>
        <v>18</v>
      </c>
      <c r="X73" s="236" t="n">
        <f aca="false">W73</f>
        <v>18</v>
      </c>
      <c r="Y73" s="236" t="n">
        <f aca="false">X73</f>
        <v>18</v>
      </c>
      <c r="Z73" s="236" t="n">
        <f aca="false">Y73</f>
        <v>18</v>
      </c>
      <c r="AA73" s="236" t="n">
        <f aca="false">Z73</f>
        <v>18</v>
      </c>
      <c r="AB73" s="236" t="n">
        <f aca="false">AA73</f>
        <v>18</v>
      </c>
      <c r="AC73" s="236" t="n">
        <f aca="false">AB73</f>
        <v>18</v>
      </c>
      <c r="AD73" s="236" t="n">
        <f aca="false">AC73</f>
        <v>18</v>
      </c>
      <c r="AE73" s="236" t="n">
        <f aca="false">AD73</f>
        <v>18</v>
      </c>
      <c r="AF73" s="236" t="n">
        <f aca="false">AE73</f>
        <v>18</v>
      </c>
      <c r="AG73" s="236" t="n">
        <f aca="false">AF73</f>
        <v>18</v>
      </c>
      <c r="AH73" s="236" t="n">
        <f aca="false">AG73</f>
        <v>18</v>
      </c>
      <c r="AI73" s="236" t="n">
        <f aca="false">AH73</f>
        <v>18</v>
      </c>
      <c r="AJ73" s="236" t="n">
        <f aca="false">AI73</f>
        <v>18</v>
      </c>
      <c r="AK73" s="236" t="n">
        <f aca="false">AJ73</f>
        <v>18</v>
      </c>
      <c r="AL73" s="236" t="n">
        <f aca="false">AK73</f>
        <v>18</v>
      </c>
    </row>
    <row r="74" customFormat="false" ht="15" hidden="false" customHeight="false" outlineLevel="1" collapsed="false">
      <c r="C74" s="383" t="str">
        <f aca="false">'3. Assumptions'!C346</f>
        <v>Drivers</v>
      </c>
      <c r="G74" s="30" t="s">
        <v>602</v>
      </c>
      <c r="H74" s="236" t="n">
        <f aca="false">'3. Assumptions'!G346</f>
        <v>0</v>
      </c>
      <c r="I74" s="236" t="n">
        <f aca="false">'3. Assumptions'!H346</f>
        <v>4</v>
      </c>
      <c r="J74" s="236" t="n">
        <f aca="false">'3. Assumptions'!I346</f>
        <v>8</v>
      </c>
      <c r="K74" s="236" t="n">
        <f aca="false">'3. Assumptions'!J346</f>
        <v>12</v>
      </c>
      <c r="L74" s="236" t="n">
        <f aca="false">'3. Assumptions'!K346</f>
        <v>16</v>
      </c>
      <c r="M74" s="236" t="n">
        <f aca="false">'3. Assumptions'!L346</f>
        <v>20</v>
      </c>
      <c r="N74" s="236" t="n">
        <f aca="false">'3. Assumptions'!M346</f>
        <v>24</v>
      </c>
      <c r="O74" s="236" t="n">
        <f aca="false">'3. Assumptions'!N346</f>
        <v>28</v>
      </c>
      <c r="P74" s="236" t="n">
        <f aca="false">'3. Assumptions'!O346</f>
        <v>32</v>
      </c>
      <c r="Q74" s="236" t="n">
        <f aca="false">'3. Assumptions'!P346</f>
        <v>36</v>
      </c>
      <c r="R74" s="236" t="n">
        <f aca="false">Q74</f>
        <v>36</v>
      </c>
      <c r="S74" s="236" t="n">
        <f aca="false">R74</f>
        <v>36</v>
      </c>
      <c r="T74" s="236" t="n">
        <f aca="false">S74</f>
        <v>36</v>
      </c>
      <c r="U74" s="236" t="n">
        <f aca="false">T74</f>
        <v>36</v>
      </c>
      <c r="V74" s="236" t="n">
        <f aca="false">U74</f>
        <v>36</v>
      </c>
      <c r="W74" s="236" t="n">
        <f aca="false">V74</f>
        <v>36</v>
      </c>
      <c r="X74" s="236" t="n">
        <f aca="false">W74</f>
        <v>36</v>
      </c>
      <c r="Y74" s="236" t="n">
        <f aca="false">X74</f>
        <v>36</v>
      </c>
      <c r="Z74" s="236" t="n">
        <f aca="false">Y74</f>
        <v>36</v>
      </c>
      <c r="AA74" s="236" t="n">
        <f aca="false">Z74</f>
        <v>36</v>
      </c>
      <c r="AB74" s="236" t="n">
        <f aca="false">AA74</f>
        <v>36</v>
      </c>
      <c r="AC74" s="236" t="n">
        <f aca="false">AB74</f>
        <v>36</v>
      </c>
      <c r="AD74" s="236" t="n">
        <f aca="false">AC74</f>
        <v>36</v>
      </c>
      <c r="AE74" s="236" t="n">
        <f aca="false">AD74</f>
        <v>36</v>
      </c>
      <c r="AF74" s="236" t="n">
        <f aca="false">AE74</f>
        <v>36</v>
      </c>
      <c r="AG74" s="236" t="n">
        <f aca="false">AF74</f>
        <v>36</v>
      </c>
      <c r="AH74" s="236" t="n">
        <f aca="false">AG74</f>
        <v>36</v>
      </c>
      <c r="AI74" s="236" t="n">
        <f aca="false">AH74</f>
        <v>36</v>
      </c>
      <c r="AJ74" s="236" t="n">
        <f aca="false">AI74</f>
        <v>36</v>
      </c>
      <c r="AK74" s="236" t="n">
        <f aca="false">AJ74</f>
        <v>36</v>
      </c>
      <c r="AL74" s="236" t="n">
        <f aca="false">AK74</f>
        <v>36</v>
      </c>
    </row>
    <row r="75" customFormat="false" ht="15" hidden="false" customHeight="false" outlineLevel="1" collapsed="false">
      <c r="C75" s="383" t="str">
        <f aca="false">'3. Assumptions'!C347</f>
        <v>Maintenance Personnel</v>
      </c>
      <c r="G75" s="30" t="s">
        <v>602</v>
      </c>
      <c r="H75" s="236" t="n">
        <f aca="false">'3. Assumptions'!G347</f>
        <v>1</v>
      </c>
      <c r="I75" s="236" t="n">
        <f aca="false">'3. Assumptions'!H347</f>
        <v>4</v>
      </c>
      <c r="J75" s="236" t="n">
        <f aca="false">'3. Assumptions'!I347</f>
        <v>8</v>
      </c>
      <c r="K75" s="236" t="n">
        <f aca="false">'3. Assumptions'!J347</f>
        <v>12</v>
      </c>
      <c r="L75" s="236" t="n">
        <f aca="false">'3. Assumptions'!K347</f>
        <v>16</v>
      </c>
      <c r="M75" s="236" t="n">
        <f aca="false">'3. Assumptions'!L347</f>
        <v>20</v>
      </c>
      <c r="N75" s="236" t="n">
        <f aca="false">'3. Assumptions'!M347</f>
        <v>24</v>
      </c>
      <c r="O75" s="236" t="n">
        <f aca="false">'3. Assumptions'!N347</f>
        <v>28</v>
      </c>
      <c r="P75" s="236" t="n">
        <f aca="false">'3. Assumptions'!O347</f>
        <v>32</v>
      </c>
      <c r="Q75" s="236" t="n">
        <f aca="false">'3. Assumptions'!P347</f>
        <v>36</v>
      </c>
      <c r="R75" s="236" t="n">
        <f aca="false">Q75</f>
        <v>36</v>
      </c>
      <c r="S75" s="236" t="n">
        <f aca="false">R75</f>
        <v>36</v>
      </c>
      <c r="T75" s="236" t="n">
        <f aca="false">S75</f>
        <v>36</v>
      </c>
      <c r="U75" s="236" t="n">
        <f aca="false">T75</f>
        <v>36</v>
      </c>
      <c r="V75" s="236" t="n">
        <f aca="false">U75</f>
        <v>36</v>
      </c>
      <c r="W75" s="236" t="n">
        <f aca="false">V75</f>
        <v>36</v>
      </c>
      <c r="X75" s="236" t="n">
        <f aca="false">W75</f>
        <v>36</v>
      </c>
      <c r="Y75" s="236" t="n">
        <f aca="false">X75</f>
        <v>36</v>
      </c>
      <c r="Z75" s="236" t="n">
        <f aca="false">Y75</f>
        <v>36</v>
      </c>
      <c r="AA75" s="236" t="n">
        <f aca="false">Z75</f>
        <v>36</v>
      </c>
      <c r="AB75" s="236" t="n">
        <f aca="false">AA75</f>
        <v>36</v>
      </c>
      <c r="AC75" s="236" t="n">
        <f aca="false">AB75</f>
        <v>36</v>
      </c>
      <c r="AD75" s="236" t="n">
        <f aca="false">AC75</f>
        <v>36</v>
      </c>
      <c r="AE75" s="236" t="n">
        <f aca="false">AD75</f>
        <v>36</v>
      </c>
      <c r="AF75" s="236" t="n">
        <f aca="false">AE75</f>
        <v>36</v>
      </c>
      <c r="AG75" s="236" t="n">
        <f aca="false">AF75</f>
        <v>36</v>
      </c>
      <c r="AH75" s="236" t="n">
        <f aca="false">AG75</f>
        <v>36</v>
      </c>
      <c r="AI75" s="236" t="n">
        <f aca="false">AH75</f>
        <v>36</v>
      </c>
      <c r="AJ75" s="236" t="n">
        <f aca="false">AI75</f>
        <v>36</v>
      </c>
      <c r="AK75" s="236" t="n">
        <f aca="false">AJ75</f>
        <v>36</v>
      </c>
      <c r="AL75" s="236" t="n">
        <f aca="false">AK75</f>
        <v>36</v>
      </c>
    </row>
    <row r="76" customFormat="false" ht="15" hidden="false" customHeight="false" outlineLevel="1" collapsed="false">
      <c r="B76" s="56"/>
      <c r="C76" s="384" t="str">
        <f aca="false">'3. Assumptions'!C348</f>
        <v>Security Personnel</v>
      </c>
      <c r="D76" s="56"/>
      <c r="E76" s="56"/>
      <c r="F76" s="56"/>
      <c r="G76" s="208" t="s">
        <v>602</v>
      </c>
      <c r="H76" s="369" t="n">
        <f aca="false">'3. Assumptions'!G348</f>
        <v>1</v>
      </c>
      <c r="I76" s="369" t="n">
        <f aca="false">'3. Assumptions'!H348</f>
        <v>4</v>
      </c>
      <c r="J76" s="369" t="n">
        <f aca="false">'3. Assumptions'!I348</f>
        <v>8</v>
      </c>
      <c r="K76" s="369" t="n">
        <f aca="false">'3. Assumptions'!J348</f>
        <v>12</v>
      </c>
      <c r="L76" s="369" t="n">
        <f aca="false">'3. Assumptions'!K348</f>
        <v>16</v>
      </c>
      <c r="M76" s="369" t="n">
        <f aca="false">'3. Assumptions'!L348</f>
        <v>20</v>
      </c>
      <c r="N76" s="369" t="n">
        <f aca="false">'3. Assumptions'!M348</f>
        <v>24</v>
      </c>
      <c r="O76" s="369" t="n">
        <f aca="false">'3. Assumptions'!N348</f>
        <v>28</v>
      </c>
      <c r="P76" s="369" t="n">
        <f aca="false">'3. Assumptions'!O348</f>
        <v>32</v>
      </c>
      <c r="Q76" s="369" t="n">
        <f aca="false">'3. Assumptions'!P348</f>
        <v>36</v>
      </c>
      <c r="R76" s="369" t="n">
        <f aca="false">Q76</f>
        <v>36</v>
      </c>
      <c r="S76" s="369" t="n">
        <f aca="false">R76</f>
        <v>36</v>
      </c>
      <c r="T76" s="369" t="n">
        <f aca="false">S76</f>
        <v>36</v>
      </c>
      <c r="U76" s="369" t="n">
        <f aca="false">T76</f>
        <v>36</v>
      </c>
      <c r="V76" s="369" t="n">
        <f aca="false">U76</f>
        <v>36</v>
      </c>
      <c r="W76" s="369" t="n">
        <f aca="false">V76</f>
        <v>36</v>
      </c>
      <c r="X76" s="369" t="n">
        <f aca="false">W76</f>
        <v>36</v>
      </c>
      <c r="Y76" s="369" t="n">
        <f aca="false">X76</f>
        <v>36</v>
      </c>
      <c r="Z76" s="369" t="n">
        <f aca="false">Y76</f>
        <v>36</v>
      </c>
      <c r="AA76" s="369" t="n">
        <f aca="false">Z76</f>
        <v>36</v>
      </c>
      <c r="AB76" s="369" t="n">
        <f aca="false">AA76</f>
        <v>36</v>
      </c>
      <c r="AC76" s="369" t="n">
        <f aca="false">AB76</f>
        <v>36</v>
      </c>
      <c r="AD76" s="369" t="n">
        <f aca="false">AC76</f>
        <v>36</v>
      </c>
      <c r="AE76" s="369" t="n">
        <f aca="false">AD76</f>
        <v>36</v>
      </c>
      <c r="AF76" s="369" t="n">
        <f aca="false">AE76</f>
        <v>36</v>
      </c>
      <c r="AG76" s="369" t="n">
        <f aca="false">AF76</f>
        <v>36</v>
      </c>
      <c r="AH76" s="369" t="n">
        <f aca="false">AG76</f>
        <v>36</v>
      </c>
      <c r="AI76" s="369" t="n">
        <f aca="false">AH76</f>
        <v>36</v>
      </c>
      <c r="AJ76" s="369" t="n">
        <f aca="false">AI76</f>
        <v>36</v>
      </c>
      <c r="AK76" s="369" t="n">
        <f aca="false">AJ76</f>
        <v>36</v>
      </c>
      <c r="AL76" s="369" t="n">
        <f aca="false">AK76</f>
        <v>36</v>
      </c>
    </row>
    <row r="77" customFormat="false" ht="15" hidden="false" customHeight="false" outlineLevel="1" collapsed="false">
      <c r="C77" s="13" t="str">
        <f aca="false">"Total "&amp;C59</f>
        <v>Total Headcount</v>
      </c>
      <c r="D77" s="30"/>
      <c r="E77" s="193"/>
      <c r="G77" s="366" t="s">
        <v>602</v>
      </c>
      <c r="H77" s="193" t="n">
        <f aca="false">SUM(H60:H76)</f>
        <v>3</v>
      </c>
      <c r="I77" s="193" t="n">
        <f aca="false">SUM(I60:I76)</f>
        <v>47</v>
      </c>
      <c r="J77" s="193" t="n">
        <f aca="false">SUM(J60:J76)</f>
        <v>96</v>
      </c>
      <c r="K77" s="193" t="n">
        <f aca="false">SUM(K60:K76)</f>
        <v>142</v>
      </c>
      <c r="L77" s="193" t="n">
        <f aca="false">SUM(L60:L76)</f>
        <v>190</v>
      </c>
      <c r="M77" s="193" t="n">
        <f aca="false">SUM(M60:M76)</f>
        <v>236</v>
      </c>
      <c r="N77" s="193" t="n">
        <f aca="false">SUM(N60:N76)</f>
        <v>283</v>
      </c>
      <c r="O77" s="193" t="n">
        <f aca="false">SUM(O60:O76)</f>
        <v>329.8</v>
      </c>
      <c r="P77" s="193" t="n">
        <f aca="false">SUM(P60:P76)</f>
        <v>376.6</v>
      </c>
      <c r="Q77" s="193" t="n">
        <f aca="false">SUM(Q60:Q76)</f>
        <v>423.4</v>
      </c>
      <c r="R77" s="193" t="n">
        <f aca="false">SUM(R60:R76)</f>
        <v>423.4</v>
      </c>
      <c r="S77" s="193" t="n">
        <f aca="false">SUM(S60:S76)</f>
        <v>423.4</v>
      </c>
      <c r="T77" s="193" t="n">
        <f aca="false">SUM(T60:T76)</f>
        <v>423.4</v>
      </c>
      <c r="U77" s="193" t="n">
        <f aca="false">SUM(U60:U76)</f>
        <v>423.4</v>
      </c>
      <c r="V77" s="193" t="n">
        <f aca="false">SUM(V60:V76)</f>
        <v>423.4</v>
      </c>
      <c r="W77" s="193" t="n">
        <f aca="false">SUM(W60:W76)</f>
        <v>423.4</v>
      </c>
      <c r="X77" s="193" t="n">
        <f aca="false">SUM(X60:X76)</f>
        <v>423.4</v>
      </c>
      <c r="Y77" s="193" t="n">
        <f aca="false">SUM(Y60:Y76)</f>
        <v>423.4</v>
      </c>
      <c r="Z77" s="193" t="n">
        <f aca="false">SUM(Z60:Z76)</f>
        <v>423.4</v>
      </c>
      <c r="AA77" s="193" t="n">
        <f aca="false">SUM(AA60:AA76)</f>
        <v>423.4</v>
      </c>
      <c r="AB77" s="193" t="n">
        <f aca="false">SUM(AB60:AB76)</f>
        <v>423.4</v>
      </c>
      <c r="AC77" s="193" t="n">
        <f aca="false">SUM(AC60:AC76)</f>
        <v>423.4</v>
      </c>
      <c r="AD77" s="193" t="n">
        <f aca="false">SUM(AD60:AD76)</f>
        <v>423.4</v>
      </c>
      <c r="AE77" s="193" t="n">
        <f aca="false">SUM(AE60:AE76)</f>
        <v>423.4</v>
      </c>
      <c r="AF77" s="193" t="n">
        <f aca="false">SUM(AF60:AF76)</f>
        <v>423.4</v>
      </c>
      <c r="AG77" s="193" t="n">
        <f aca="false">SUM(AG60:AG76)</f>
        <v>423.4</v>
      </c>
      <c r="AH77" s="193" t="n">
        <f aca="false">SUM(AH60:AH76)</f>
        <v>423.4</v>
      </c>
      <c r="AI77" s="193" t="n">
        <f aca="false">SUM(AI60:AI76)</f>
        <v>423.4</v>
      </c>
      <c r="AJ77" s="193" t="n">
        <f aca="false">SUM(AJ60:AJ76)</f>
        <v>423.4</v>
      </c>
      <c r="AK77" s="193" t="n">
        <f aca="false">SUM(AK60:AK76)</f>
        <v>423.4</v>
      </c>
      <c r="AL77" s="193" t="n">
        <f aca="false">SUM(AL60:AL76)</f>
        <v>423.4</v>
      </c>
    </row>
    <row r="78" customFormat="false" ht="15" hidden="false" customHeight="false" outlineLevel="1" collapsed="false">
      <c r="C78" s="370"/>
      <c r="D78" s="30"/>
      <c r="E78" s="236"/>
      <c r="H78" s="202"/>
      <c r="I78" s="202"/>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row>
    <row r="79" customFormat="false" ht="15" hidden="false" customHeight="false" outlineLevel="1" collapsed="false">
      <c r="C79" s="13" t="s">
        <v>326</v>
      </c>
      <c r="D79" s="374" t="s">
        <v>600</v>
      </c>
      <c r="E79" s="185" t="s">
        <v>601</v>
      </c>
      <c r="G79" s="30"/>
      <c r="H79" s="202"/>
      <c r="I79" s="202"/>
    </row>
    <row r="80" customFormat="false" ht="15" hidden="false" customHeight="false" outlineLevel="1" collapsed="false">
      <c r="C80" s="383" t="str">
        <f aca="false">C60</f>
        <v>Director of Industrial Ops</v>
      </c>
      <c r="D80" s="385" t="n">
        <f aca="false">'3. Assumptions'!D332</f>
        <v>25000</v>
      </c>
      <c r="E80" s="386" t="n">
        <f aca="false">IF('1. Project Summary'!$F$13="Real",0,'3. Assumptions'!E332)</f>
        <v>0.02</v>
      </c>
      <c r="G80" s="30" t="s">
        <v>112</v>
      </c>
      <c r="H80" s="236" t="n">
        <f aca="false">$D80*H60*(1+$E80)^H$6</f>
        <v>0</v>
      </c>
      <c r="I80" s="236" t="n">
        <f aca="false">$D80*I60*(1+$E80)^I$6</f>
        <v>0</v>
      </c>
      <c r="J80" s="236" t="n">
        <f aca="false">$D80*J60*(1+$E80)^J$6</f>
        <v>26530.2</v>
      </c>
      <c r="K80" s="236" t="n">
        <f aca="false">$D80*K60*(1+$E80)^K$6</f>
        <v>27060.804</v>
      </c>
      <c r="L80" s="236" t="n">
        <f aca="false">$D80*L60*(1+$E80)^L$6</f>
        <v>27602.02008</v>
      </c>
      <c r="M80" s="236" t="n">
        <f aca="false">$D80*M60*(1+$E80)^M$6</f>
        <v>28154.0604816</v>
      </c>
      <c r="N80" s="236" t="n">
        <f aca="false">$D80*N60*(1+$E80)^N$6</f>
        <v>28717.141691232</v>
      </c>
      <c r="O80" s="236" t="n">
        <f aca="false">$D80*O60*(1+$E80)^O$6</f>
        <v>29291.4845250566</v>
      </c>
      <c r="P80" s="236" t="n">
        <f aca="false">$D80*P60*(1+$E80)^P$6</f>
        <v>29877.3142155578</v>
      </c>
      <c r="Q80" s="236" t="n">
        <f aca="false">$D80*Q60*(1+$E80)^Q$6</f>
        <v>30474.8604998689</v>
      </c>
      <c r="R80" s="236" t="n">
        <f aca="false">$D80*R60*(1+$E80)^R$6</f>
        <v>31084.3577098663</v>
      </c>
      <c r="S80" s="236" t="n">
        <f aca="false">$D80*S60*(1+$E80)^S$6</f>
        <v>31706.0448640636</v>
      </c>
      <c r="T80" s="236" t="n">
        <f aca="false">$D80*T60*(1+$E80)^T$6</f>
        <v>32340.1657613449</v>
      </c>
      <c r="U80" s="236" t="n">
        <f aca="false">$D80*U60*(1+$E80)^U$6</f>
        <v>32986.9690765718</v>
      </c>
      <c r="V80" s="236" t="n">
        <f aca="false">$D80*V60*(1+$E80)^V$6</f>
        <v>33646.7084581033</v>
      </c>
      <c r="W80" s="236" t="n">
        <f aca="false">$D80*W60*(1+$E80)^W$6</f>
        <v>34319.6426272653</v>
      </c>
      <c r="X80" s="236" t="n">
        <f aca="false">$D80*X60*(1+$E80)^X$6</f>
        <v>35006.0354798106</v>
      </c>
      <c r="Y80" s="236" t="n">
        <f aca="false">$D80*Y60*(1+$E80)^Y$6</f>
        <v>35706.1561894068</v>
      </c>
      <c r="Z80" s="236" t="n">
        <f aca="false">$D80*Z60*(1+$E80)^Z$6</f>
        <v>36420.279313195</v>
      </c>
      <c r="AA80" s="236" t="n">
        <f aca="false">$D80*AA60*(1+$E80)^AA$6</f>
        <v>37148.6848994589</v>
      </c>
      <c r="AB80" s="236" t="n">
        <f aca="false">$D80*AB60*(1+$E80)^AB$6</f>
        <v>37891.6585974481</v>
      </c>
      <c r="AC80" s="236" t="n">
        <f aca="false">$D80*AC60*(1+$E80)^AC$6</f>
        <v>38649.491769397</v>
      </c>
      <c r="AD80" s="236" t="n">
        <f aca="false">$D80*AD60*(1+$E80)^AD$6</f>
        <v>39422.481604785</v>
      </c>
      <c r="AE80" s="236" t="n">
        <f aca="false">$D80*AE60*(1+$E80)^AE$6</f>
        <v>40210.9312368807</v>
      </c>
      <c r="AF80" s="236" t="n">
        <f aca="false">$D80*AF60*(1+$E80)^AF$6</f>
        <v>41015.1498616183</v>
      </c>
      <c r="AG80" s="236" t="n">
        <f aca="false">$D80*AG60*(1+$E80)^AG$6</f>
        <v>41835.4528588506</v>
      </c>
      <c r="AH80" s="236" t="n">
        <f aca="false">$D80*AH60*(1+$E80)^AH$6</f>
        <v>42672.1619160276</v>
      </c>
      <c r="AI80" s="236" t="n">
        <f aca="false">$D80*AI60*(1+$E80)^AI$6</f>
        <v>43525.6051543482</v>
      </c>
      <c r="AJ80" s="236" t="n">
        <f aca="false">$D80*AJ60*(1+$E80)^AJ$6</f>
        <v>44396.1172574352</v>
      </c>
      <c r="AK80" s="236" t="n">
        <f aca="false">$D80*AK60*(1+$E80)^AK$6</f>
        <v>45284.0396025839</v>
      </c>
      <c r="AL80" s="236" t="n">
        <f aca="false">$D80*AL60*(1+$E80)^AL$6</f>
        <v>46189.7203946355</v>
      </c>
    </row>
    <row r="81" customFormat="false" ht="15" hidden="false" customHeight="false" outlineLevel="1" collapsed="false">
      <c r="C81" s="383" t="str">
        <f aca="false">C61</f>
        <v>Factory Managers - Shea Processing</v>
      </c>
      <c r="D81" s="385" t="n">
        <f aca="false">'3. Assumptions'!D333</f>
        <v>10000</v>
      </c>
      <c r="E81" s="386" t="n">
        <f aca="false">IF('1. Project Summary'!$F$13="Real",0,'3. Assumptions'!E333)</f>
        <v>0.02</v>
      </c>
      <c r="G81" s="30" t="s">
        <v>112</v>
      </c>
      <c r="H81" s="236" t="n">
        <f aca="false">$D81*H61*(1+$E81)^H$6</f>
        <v>0</v>
      </c>
      <c r="I81" s="236" t="n">
        <f aca="false">$D81*I61*(1+$E81)^I$6</f>
        <v>0</v>
      </c>
      <c r="J81" s="236" t="n">
        <f aca="false">$D81*J61*(1+$E81)^J$6</f>
        <v>0</v>
      </c>
      <c r="K81" s="236" t="n">
        <f aca="false">$D81*K61*(1+$E81)^K$6</f>
        <v>0</v>
      </c>
      <c r="L81" s="236" t="n">
        <f aca="false">$D81*L61*(1+$E81)^L$6</f>
        <v>0</v>
      </c>
      <c r="M81" s="236" t="n">
        <f aca="false">$D81*M61*(1+$E81)^M$6</f>
        <v>0</v>
      </c>
      <c r="N81" s="236" t="n">
        <f aca="false">$D81*N61*(1+$E81)^N$6</f>
        <v>0</v>
      </c>
      <c r="O81" s="236" t="n">
        <f aca="false">$D81*O61*(1+$E81)^O$6</f>
        <v>0</v>
      </c>
      <c r="P81" s="236" t="n">
        <f aca="false">$D81*P61*(1+$E81)^P$6</f>
        <v>0</v>
      </c>
      <c r="Q81" s="236" t="n">
        <f aca="false">$D81*Q61*(1+$E81)^Q$6</f>
        <v>0</v>
      </c>
      <c r="R81" s="236" t="n">
        <f aca="false">$D81*R61*(1+$E81)^R$6</f>
        <v>0</v>
      </c>
      <c r="S81" s="236" t="n">
        <f aca="false">$D81*S61*(1+$E81)^S$6</f>
        <v>0</v>
      </c>
      <c r="T81" s="236" t="n">
        <f aca="false">$D81*T61*(1+$E81)^T$6</f>
        <v>0</v>
      </c>
      <c r="U81" s="236" t="n">
        <f aca="false">$D81*U61*(1+$E81)^U$6</f>
        <v>0</v>
      </c>
      <c r="V81" s="236" t="n">
        <f aca="false">$D81*V61*(1+$E81)^V$6</f>
        <v>0</v>
      </c>
      <c r="W81" s="236" t="n">
        <f aca="false">$D81*W61*(1+$E81)^W$6</f>
        <v>0</v>
      </c>
      <c r="X81" s="236" t="n">
        <f aca="false">$D81*X61*(1+$E81)^X$6</f>
        <v>0</v>
      </c>
      <c r="Y81" s="236" t="n">
        <f aca="false">$D81*Y61*(1+$E81)^Y$6</f>
        <v>0</v>
      </c>
      <c r="Z81" s="236" t="n">
        <f aca="false">$D81*Z61*(1+$E81)^Z$6</f>
        <v>0</v>
      </c>
      <c r="AA81" s="236" t="n">
        <f aca="false">$D81*AA61*(1+$E81)^AA$6</f>
        <v>0</v>
      </c>
      <c r="AB81" s="236" t="n">
        <f aca="false">$D81*AB61*(1+$E81)^AB$6</f>
        <v>0</v>
      </c>
      <c r="AC81" s="236" t="n">
        <f aca="false">$D81*AC61*(1+$E81)^AC$6</f>
        <v>0</v>
      </c>
      <c r="AD81" s="236" t="n">
        <f aca="false">$D81*AD61*(1+$E81)^AD$6</f>
        <v>0</v>
      </c>
      <c r="AE81" s="236" t="n">
        <f aca="false">$D81*AE61*(1+$E81)^AE$6</f>
        <v>0</v>
      </c>
      <c r="AF81" s="236" t="n">
        <f aca="false">$D81*AF61*(1+$E81)^AF$6</f>
        <v>0</v>
      </c>
      <c r="AG81" s="236" t="n">
        <f aca="false">$D81*AG61*(1+$E81)^AG$6</f>
        <v>0</v>
      </c>
      <c r="AH81" s="236" t="n">
        <f aca="false">$D81*AH61*(1+$E81)^AH$6</f>
        <v>0</v>
      </c>
      <c r="AI81" s="236" t="n">
        <f aca="false">$D81*AI61*(1+$E81)^AI$6</f>
        <v>0</v>
      </c>
      <c r="AJ81" s="236" t="n">
        <f aca="false">$D81*AJ61*(1+$E81)^AJ$6</f>
        <v>0</v>
      </c>
      <c r="AK81" s="236" t="n">
        <f aca="false">$D81*AK61*(1+$E81)^AK$6</f>
        <v>0</v>
      </c>
      <c r="AL81" s="236" t="n">
        <f aca="false">$D81*AL61*(1+$E81)^AL$6</f>
        <v>0</v>
      </c>
    </row>
    <row r="82" customFormat="false" ht="15" hidden="false" customHeight="false" outlineLevel="1" collapsed="false">
      <c r="C82" s="383" t="str">
        <f aca="false">C62</f>
        <v>Factory Managers - Shea Collection</v>
      </c>
      <c r="D82" s="385" t="n">
        <f aca="false">'3. Assumptions'!D334</f>
        <v>10000</v>
      </c>
      <c r="E82" s="386" t="n">
        <f aca="false">IF('1. Project Summary'!$F$13="Real",0,'3. Assumptions'!E334)</f>
        <v>0.02</v>
      </c>
      <c r="G82" s="30" t="s">
        <v>112</v>
      </c>
      <c r="H82" s="236" t="n">
        <f aca="false">$D82*H62*(1+$E82)^H$6</f>
        <v>0</v>
      </c>
      <c r="I82" s="236" t="n">
        <f aca="false">$D82*I62*(1+$E82)^I$6</f>
        <v>0</v>
      </c>
      <c r="J82" s="236" t="n">
        <f aca="false">$D82*J62*(1+$E82)^J$6</f>
        <v>0</v>
      </c>
      <c r="K82" s="236" t="n">
        <f aca="false">$D82*K62*(1+$E82)^K$6</f>
        <v>0</v>
      </c>
      <c r="L82" s="236" t="n">
        <f aca="false">$D82*L62*(1+$E82)^L$6</f>
        <v>0</v>
      </c>
      <c r="M82" s="236" t="n">
        <f aca="false">$D82*M62*(1+$E82)^M$6</f>
        <v>0</v>
      </c>
      <c r="N82" s="236" t="n">
        <f aca="false">$D82*N62*(1+$E82)^N$6</f>
        <v>0</v>
      </c>
      <c r="O82" s="236" t="n">
        <f aca="false">$D82*O62*(1+$E82)^O$6</f>
        <v>0</v>
      </c>
      <c r="P82" s="236" t="n">
        <f aca="false">$D82*P62*(1+$E82)^P$6</f>
        <v>0</v>
      </c>
      <c r="Q82" s="236" t="n">
        <f aca="false">$D82*Q62*(1+$E82)^Q$6</f>
        <v>0</v>
      </c>
      <c r="R82" s="236" t="n">
        <f aca="false">$D82*R62*(1+$E82)^R$6</f>
        <v>0</v>
      </c>
      <c r="S82" s="236" t="n">
        <f aca="false">$D82*S62*(1+$E82)^S$6</f>
        <v>0</v>
      </c>
      <c r="T82" s="236" t="n">
        <f aca="false">$D82*T62*(1+$E82)^T$6</f>
        <v>0</v>
      </c>
      <c r="U82" s="236" t="n">
        <f aca="false">$D82*U62*(1+$E82)^U$6</f>
        <v>0</v>
      </c>
      <c r="V82" s="236" t="n">
        <f aca="false">$D82*V62*(1+$E82)^V$6</f>
        <v>0</v>
      </c>
      <c r="W82" s="236" t="n">
        <f aca="false">$D82*W62*(1+$E82)^W$6</f>
        <v>0</v>
      </c>
      <c r="X82" s="236" t="n">
        <f aca="false">$D82*X62*(1+$E82)^X$6</f>
        <v>0</v>
      </c>
      <c r="Y82" s="236" t="n">
        <f aca="false">$D82*Y62*(1+$E82)^Y$6</f>
        <v>0</v>
      </c>
      <c r="Z82" s="236" t="n">
        <f aca="false">$D82*Z62*(1+$E82)^Z$6</f>
        <v>0</v>
      </c>
      <c r="AA82" s="236" t="n">
        <f aca="false">$D82*AA62*(1+$E82)^AA$6</f>
        <v>0</v>
      </c>
      <c r="AB82" s="236" t="n">
        <f aca="false">$D82*AB62*(1+$E82)^AB$6</f>
        <v>0</v>
      </c>
      <c r="AC82" s="236" t="n">
        <f aca="false">$D82*AC62*(1+$E82)^AC$6</f>
        <v>0</v>
      </c>
      <c r="AD82" s="236" t="n">
        <f aca="false">$D82*AD62*(1+$E82)^AD$6</f>
        <v>0</v>
      </c>
      <c r="AE82" s="236" t="n">
        <f aca="false">$D82*AE62*(1+$E82)^AE$6</f>
        <v>0</v>
      </c>
      <c r="AF82" s="236" t="n">
        <f aca="false">$D82*AF62*(1+$E82)^AF$6</f>
        <v>0</v>
      </c>
      <c r="AG82" s="236" t="n">
        <f aca="false">$D82*AG62*(1+$E82)^AG$6</f>
        <v>0</v>
      </c>
      <c r="AH82" s="236" t="n">
        <f aca="false">$D82*AH62*(1+$E82)^AH$6</f>
        <v>0</v>
      </c>
      <c r="AI82" s="236" t="n">
        <f aca="false">$D82*AI62*(1+$E82)^AI$6</f>
        <v>0</v>
      </c>
      <c r="AJ82" s="236" t="n">
        <f aca="false">$D82*AJ62*(1+$E82)^AJ$6</f>
        <v>0</v>
      </c>
      <c r="AK82" s="236" t="n">
        <f aca="false">$D82*AK62*(1+$E82)^AK$6</f>
        <v>0</v>
      </c>
      <c r="AL82" s="236" t="n">
        <f aca="false">$D82*AL62*(1+$E82)^AL$6</f>
        <v>0</v>
      </c>
    </row>
    <row r="83" customFormat="false" ht="15" hidden="false" customHeight="false" outlineLevel="1" collapsed="false">
      <c r="C83" s="383" t="str">
        <f aca="false">C63</f>
        <v>Factory Managers - Multi Center</v>
      </c>
      <c r="D83" s="385" t="n">
        <f aca="false">'3. Assumptions'!D335</f>
        <v>10000</v>
      </c>
      <c r="E83" s="386" t="n">
        <f aca="false">IF('1. Project Summary'!$F$13="Real",0,'3. Assumptions'!E335)</f>
        <v>0.02</v>
      </c>
      <c r="G83" s="30" t="s">
        <v>112</v>
      </c>
      <c r="H83" s="236" t="n">
        <f aca="false">$D83*H63*(1+$E83)^H$6</f>
        <v>0</v>
      </c>
      <c r="I83" s="236" t="n">
        <f aca="false">$D83*I63*(1+$E83)^I$6</f>
        <v>20808</v>
      </c>
      <c r="J83" s="236" t="n">
        <f aca="false">$D83*J63*(1+$E83)^J$6</f>
        <v>42448.32</v>
      </c>
      <c r="K83" s="236" t="n">
        <f aca="false">$D83*K63*(1+$E83)^K$6</f>
        <v>64945.9296</v>
      </c>
      <c r="L83" s="236" t="n">
        <f aca="false">$D83*L63*(1+$E83)^L$6</f>
        <v>88326.464256</v>
      </c>
      <c r="M83" s="236" t="n">
        <f aca="false">$D83*M63*(1+$E83)^M$6</f>
        <v>112616.2419264</v>
      </c>
      <c r="N83" s="236" t="n">
        <f aca="false">$D83*N63*(1+$E83)^N$6</f>
        <v>137842.280117914</v>
      </c>
      <c r="O83" s="236" t="n">
        <f aca="false">$D83*O63*(1+$E83)^O$6</f>
        <v>164032.313340317</v>
      </c>
      <c r="P83" s="236" t="n">
        <f aca="false">$D83*P63*(1+$E83)^P$6</f>
        <v>191214.81097957</v>
      </c>
      <c r="Q83" s="236" t="n">
        <f aca="false">$D83*Q63*(1+$E83)^Q$6</f>
        <v>219418.995599056</v>
      </c>
      <c r="R83" s="236" t="n">
        <f aca="false">$D83*R63*(1+$E83)^R$6</f>
        <v>223807.375511037</v>
      </c>
      <c r="S83" s="236" t="n">
        <f aca="false">$D83*S63*(1+$E83)^S$6</f>
        <v>228283.523021258</v>
      </c>
      <c r="T83" s="236" t="n">
        <f aca="false">$D83*T63*(1+$E83)^T$6</f>
        <v>232849.193481683</v>
      </c>
      <c r="U83" s="236" t="n">
        <f aca="false">$D83*U63*(1+$E83)^U$6</f>
        <v>237506.177351317</v>
      </c>
      <c r="V83" s="236" t="n">
        <f aca="false">$D83*V63*(1+$E83)^V$6</f>
        <v>242256.300898343</v>
      </c>
      <c r="W83" s="236" t="n">
        <f aca="false">$D83*W63*(1+$E83)^W$6</f>
        <v>247101.42691631</v>
      </c>
      <c r="X83" s="236" t="n">
        <f aca="false">$D83*X63*(1+$E83)^X$6</f>
        <v>252043.455454636</v>
      </c>
      <c r="Y83" s="236" t="n">
        <f aca="false">$D83*Y63*(1+$E83)^Y$6</f>
        <v>257084.324563729</v>
      </c>
      <c r="Z83" s="236" t="n">
        <f aca="false">$D83*Z63*(1+$E83)^Z$6</f>
        <v>262226.011055004</v>
      </c>
      <c r="AA83" s="236" t="n">
        <f aca="false">$D83*AA63*(1+$E83)^AA$6</f>
        <v>267470.531276104</v>
      </c>
      <c r="AB83" s="236" t="n">
        <f aca="false">$D83*AB63*(1+$E83)^AB$6</f>
        <v>272819.941901626</v>
      </c>
      <c r="AC83" s="236" t="n">
        <f aca="false">$D83*AC63*(1+$E83)^AC$6</f>
        <v>278276.340739658</v>
      </c>
      <c r="AD83" s="236" t="n">
        <f aca="false">$D83*AD63*(1+$E83)^AD$6</f>
        <v>283841.867554452</v>
      </c>
      <c r="AE83" s="236" t="n">
        <f aca="false">$D83*AE63*(1+$E83)^AE$6</f>
        <v>289518.704905541</v>
      </c>
      <c r="AF83" s="236" t="n">
        <f aca="false">$D83*AF63*(1+$E83)^AF$6</f>
        <v>295309.079003652</v>
      </c>
      <c r="AG83" s="236" t="n">
        <f aca="false">$D83*AG63*(1+$E83)^AG$6</f>
        <v>301215.260583725</v>
      </c>
      <c r="AH83" s="236" t="n">
        <f aca="false">$D83*AH63*(1+$E83)^AH$6</f>
        <v>307239.565795399</v>
      </c>
      <c r="AI83" s="236" t="n">
        <f aca="false">$D83*AI63*(1+$E83)^AI$6</f>
        <v>313384.357111307</v>
      </c>
      <c r="AJ83" s="236" t="n">
        <f aca="false">$D83*AJ63*(1+$E83)^AJ$6</f>
        <v>319652.044253533</v>
      </c>
      <c r="AK83" s="236" t="n">
        <f aca="false">$D83*AK63*(1+$E83)^AK$6</f>
        <v>326045.085138604</v>
      </c>
      <c r="AL83" s="236" t="n">
        <f aca="false">$D83*AL63*(1+$E83)^AL$6</f>
        <v>332565.986841376</v>
      </c>
    </row>
    <row r="84" customFormat="false" ht="15" hidden="false" customHeight="false" outlineLevel="1" collapsed="false">
      <c r="C84" s="383" t="str">
        <f aca="false">C64</f>
        <v>Assistant Manager</v>
      </c>
      <c r="D84" s="385" t="n">
        <f aca="false">'3. Assumptions'!D336</f>
        <v>8000</v>
      </c>
      <c r="E84" s="386" t="n">
        <f aca="false">IF('1. Project Summary'!$F$13="Real",0,'3. Assumptions'!E336)</f>
        <v>0.02</v>
      </c>
      <c r="G84" s="30" t="s">
        <v>112</v>
      </c>
      <c r="H84" s="236" t="n">
        <f aca="false">$D84*H64*(1+$E84)^H$6</f>
        <v>0</v>
      </c>
      <c r="I84" s="236" t="n">
        <f aca="false">$D84*I64*(1+$E84)^I$6</f>
        <v>16646.4</v>
      </c>
      <c r="J84" s="236" t="n">
        <f aca="false">$D84*J64*(1+$E84)^J$6</f>
        <v>33958.656</v>
      </c>
      <c r="K84" s="236" t="n">
        <f aca="false">$D84*K64*(1+$E84)^K$6</f>
        <v>51956.74368</v>
      </c>
      <c r="L84" s="236" t="n">
        <f aca="false">$D84*L64*(1+$E84)^L$6</f>
        <v>70661.1714048</v>
      </c>
      <c r="M84" s="236" t="n">
        <f aca="false">$D84*M64*(1+$E84)^M$6</f>
        <v>90092.99354112</v>
      </c>
      <c r="N84" s="236" t="n">
        <f aca="false">$D84*N64*(1+$E84)^N$6</f>
        <v>110273.824094331</v>
      </c>
      <c r="O84" s="236" t="n">
        <f aca="false">$D84*O64*(1+$E84)^O$6</f>
        <v>131225.850672254</v>
      </c>
      <c r="P84" s="236" t="n">
        <f aca="false">$D84*P64*(1+$E84)^P$6</f>
        <v>152971.848783656</v>
      </c>
      <c r="Q84" s="236" t="n">
        <f aca="false">$D84*Q64*(1+$E84)^Q$6</f>
        <v>175535.196479245</v>
      </c>
      <c r="R84" s="236" t="n">
        <f aca="false">$D84*R64*(1+$E84)^R$6</f>
        <v>179045.90040883</v>
      </c>
      <c r="S84" s="236" t="n">
        <f aca="false">$D84*S64*(1+$E84)^S$6</f>
        <v>182626.818417007</v>
      </c>
      <c r="T84" s="236" t="n">
        <f aca="false">$D84*T64*(1+$E84)^T$6</f>
        <v>186279.354785347</v>
      </c>
      <c r="U84" s="236" t="n">
        <f aca="false">$D84*U64*(1+$E84)^U$6</f>
        <v>190004.941881054</v>
      </c>
      <c r="V84" s="236" t="n">
        <f aca="false">$D84*V64*(1+$E84)^V$6</f>
        <v>193805.040718675</v>
      </c>
      <c r="W84" s="236" t="n">
        <f aca="false">$D84*W64*(1+$E84)^W$6</f>
        <v>197681.141533048</v>
      </c>
      <c r="X84" s="236" t="n">
        <f aca="false">$D84*X64*(1+$E84)^X$6</f>
        <v>201634.764363709</v>
      </c>
      <c r="Y84" s="236" t="n">
        <f aca="false">$D84*Y64*(1+$E84)^Y$6</f>
        <v>205667.459650983</v>
      </c>
      <c r="Z84" s="236" t="n">
        <f aca="false">$D84*Z64*(1+$E84)^Z$6</f>
        <v>209780.808844003</v>
      </c>
      <c r="AA84" s="236" t="n">
        <f aca="false">$D84*AA64*(1+$E84)^AA$6</f>
        <v>213976.425020883</v>
      </c>
      <c r="AB84" s="236" t="n">
        <f aca="false">$D84*AB64*(1+$E84)^AB$6</f>
        <v>218255.953521301</v>
      </c>
      <c r="AC84" s="236" t="n">
        <f aca="false">$D84*AC64*(1+$E84)^AC$6</f>
        <v>222621.072591727</v>
      </c>
      <c r="AD84" s="236" t="n">
        <f aca="false">$D84*AD64*(1+$E84)^AD$6</f>
        <v>227073.494043561</v>
      </c>
      <c r="AE84" s="236" t="n">
        <f aca="false">$D84*AE64*(1+$E84)^AE$6</f>
        <v>231614.963924433</v>
      </c>
      <c r="AF84" s="236" t="n">
        <f aca="false">$D84*AF64*(1+$E84)^AF$6</f>
        <v>236247.263202921</v>
      </c>
      <c r="AG84" s="236" t="n">
        <f aca="false">$D84*AG64*(1+$E84)^AG$6</f>
        <v>240972.20846698</v>
      </c>
      <c r="AH84" s="236" t="n">
        <f aca="false">$D84*AH64*(1+$E84)^AH$6</f>
        <v>245791.652636319</v>
      </c>
      <c r="AI84" s="236" t="n">
        <f aca="false">$D84*AI64*(1+$E84)^AI$6</f>
        <v>250707.485689046</v>
      </c>
      <c r="AJ84" s="236" t="n">
        <f aca="false">$D84*AJ64*(1+$E84)^AJ$6</f>
        <v>255721.635402827</v>
      </c>
      <c r="AK84" s="236" t="n">
        <f aca="false">$D84*AK64*(1+$E84)^AK$6</f>
        <v>260836.068110883</v>
      </c>
      <c r="AL84" s="236" t="n">
        <f aca="false">$D84*AL64*(1+$E84)^AL$6</f>
        <v>266052.789473101</v>
      </c>
    </row>
    <row r="85" customFormat="false" ht="15" hidden="false" customHeight="false" outlineLevel="1" collapsed="false">
      <c r="C85" s="383" t="str">
        <f aca="false">C65</f>
        <v>Technical Staff</v>
      </c>
      <c r="D85" s="385" t="n">
        <f aca="false">'3. Assumptions'!D337</f>
        <v>5000</v>
      </c>
      <c r="E85" s="386" t="n">
        <f aca="false">IF('1. Project Summary'!$F$13="Real",0,'3. Assumptions'!E337)</f>
        <v>0.02</v>
      </c>
      <c r="G85" s="30" t="s">
        <v>112</v>
      </c>
      <c r="H85" s="236" t="n">
        <f aca="false">$D85*H65*(1+$E85)^H$6</f>
        <v>0</v>
      </c>
      <c r="I85" s="236" t="n">
        <f aca="false">$D85*I65*(1+$E85)^I$6</f>
        <v>20808</v>
      </c>
      <c r="J85" s="236" t="n">
        <f aca="false">$D85*J65*(1+$E85)^J$6</f>
        <v>42448.32</v>
      </c>
      <c r="K85" s="236" t="n">
        <f aca="false">$D85*K65*(1+$E85)^K$6</f>
        <v>64945.9296</v>
      </c>
      <c r="L85" s="236" t="n">
        <f aca="false">$D85*L65*(1+$E85)^L$6</f>
        <v>88326.464256</v>
      </c>
      <c r="M85" s="236" t="n">
        <f aca="false">$D85*M65*(1+$E85)^M$6</f>
        <v>112616.2419264</v>
      </c>
      <c r="N85" s="236" t="n">
        <f aca="false">$D85*N65*(1+$E85)^N$6</f>
        <v>137842.280117914</v>
      </c>
      <c r="O85" s="236" t="n">
        <f aca="false">$D85*O65*(1+$E85)^O$6</f>
        <v>164032.313340317</v>
      </c>
      <c r="P85" s="236" t="n">
        <f aca="false">$D85*P65*(1+$E85)^P$6</f>
        <v>191214.81097957</v>
      </c>
      <c r="Q85" s="236" t="n">
        <f aca="false">$D85*Q65*(1+$E85)^Q$6</f>
        <v>219418.995599056</v>
      </c>
      <c r="R85" s="236" t="n">
        <f aca="false">$D85*R65*(1+$E85)^R$6</f>
        <v>223807.375511037</v>
      </c>
      <c r="S85" s="236" t="n">
        <f aca="false">$D85*S65*(1+$E85)^S$6</f>
        <v>228283.523021258</v>
      </c>
      <c r="T85" s="236" t="n">
        <f aca="false">$D85*T65*(1+$E85)^T$6</f>
        <v>232849.193481683</v>
      </c>
      <c r="U85" s="236" t="n">
        <f aca="false">$D85*U65*(1+$E85)^U$6</f>
        <v>237506.177351317</v>
      </c>
      <c r="V85" s="236" t="n">
        <f aca="false">$D85*V65*(1+$E85)^V$6</f>
        <v>242256.300898343</v>
      </c>
      <c r="W85" s="236" t="n">
        <f aca="false">$D85*W65*(1+$E85)^W$6</f>
        <v>247101.42691631</v>
      </c>
      <c r="X85" s="236" t="n">
        <f aca="false">$D85*X65*(1+$E85)^X$6</f>
        <v>252043.455454636</v>
      </c>
      <c r="Y85" s="236" t="n">
        <f aca="false">$D85*Y65*(1+$E85)^Y$6</f>
        <v>257084.324563729</v>
      </c>
      <c r="Z85" s="236" t="n">
        <f aca="false">$D85*Z65*(1+$E85)^Z$6</f>
        <v>262226.011055004</v>
      </c>
      <c r="AA85" s="236" t="n">
        <f aca="false">$D85*AA65*(1+$E85)^AA$6</f>
        <v>267470.531276104</v>
      </c>
      <c r="AB85" s="236" t="n">
        <f aca="false">$D85*AB65*(1+$E85)^AB$6</f>
        <v>272819.941901626</v>
      </c>
      <c r="AC85" s="236" t="n">
        <f aca="false">$D85*AC65*(1+$E85)^AC$6</f>
        <v>278276.340739658</v>
      </c>
      <c r="AD85" s="236" t="n">
        <f aca="false">$D85*AD65*(1+$E85)^AD$6</f>
        <v>283841.867554452</v>
      </c>
      <c r="AE85" s="236" t="n">
        <f aca="false">$D85*AE65*(1+$E85)^AE$6</f>
        <v>289518.704905541</v>
      </c>
      <c r="AF85" s="236" t="n">
        <f aca="false">$D85*AF65*(1+$E85)^AF$6</f>
        <v>295309.079003652</v>
      </c>
      <c r="AG85" s="236" t="n">
        <f aca="false">$D85*AG65*(1+$E85)^AG$6</f>
        <v>301215.260583725</v>
      </c>
      <c r="AH85" s="236" t="n">
        <f aca="false">$D85*AH65*(1+$E85)^AH$6</f>
        <v>307239.565795399</v>
      </c>
      <c r="AI85" s="236" t="n">
        <f aca="false">$D85*AI65*(1+$E85)^AI$6</f>
        <v>313384.357111307</v>
      </c>
      <c r="AJ85" s="236" t="n">
        <f aca="false">$D85*AJ65*(1+$E85)^AJ$6</f>
        <v>319652.044253533</v>
      </c>
      <c r="AK85" s="236" t="n">
        <f aca="false">$D85*AK65*(1+$E85)^AK$6</f>
        <v>326045.085138604</v>
      </c>
      <c r="AL85" s="236" t="n">
        <f aca="false">$D85*AL65*(1+$E85)^AL$6</f>
        <v>332565.986841376</v>
      </c>
    </row>
    <row r="86" customFormat="false" ht="15" hidden="false" customHeight="false" outlineLevel="1" collapsed="false">
      <c r="C86" s="383" t="str">
        <f aca="false">C66</f>
        <v>Food Engineer</v>
      </c>
      <c r="D86" s="385" t="n">
        <f aca="false">'3. Assumptions'!D338</f>
        <v>5000</v>
      </c>
      <c r="E86" s="386" t="n">
        <f aca="false">IF('1. Project Summary'!$F$13="Real",0,'3. Assumptions'!E338)</f>
        <v>0.02</v>
      </c>
      <c r="G86" s="30" t="s">
        <v>112</v>
      </c>
      <c r="H86" s="236" t="n">
        <f aca="false">$D86*H66*(1+$E86)^H$6</f>
        <v>0</v>
      </c>
      <c r="I86" s="236" t="n">
        <f aca="false">$D86*I66*(1+$E86)^I$6</f>
        <v>10404</v>
      </c>
      <c r="J86" s="236" t="n">
        <f aca="false">$D86*J66*(1+$E86)^J$6</f>
        <v>21224.16</v>
      </c>
      <c r="K86" s="236" t="n">
        <f aca="false">$D86*K66*(1+$E86)^K$6</f>
        <v>32472.9648</v>
      </c>
      <c r="L86" s="236" t="n">
        <f aca="false">$D86*L66*(1+$E86)^L$6</f>
        <v>44163.232128</v>
      </c>
      <c r="M86" s="236" t="n">
        <f aca="false">$D86*M66*(1+$E86)^M$6</f>
        <v>56308.1209632</v>
      </c>
      <c r="N86" s="236" t="n">
        <f aca="false">$D86*N66*(1+$E86)^N$6</f>
        <v>68921.1400589568</v>
      </c>
      <c r="O86" s="236" t="n">
        <f aca="false">$D86*O66*(1+$E86)^O$6</f>
        <v>82016.1566701586</v>
      </c>
      <c r="P86" s="236" t="n">
        <f aca="false">$D86*P66*(1+$E86)^P$6</f>
        <v>95607.4054897849</v>
      </c>
      <c r="Q86" s="236" t="n">
        <f aca="false">$D86*Q66*(1+$E86)^Q$6</f>
        <v>109709.497799528</v>
      </c>
      <c r="R86" s="236" t="n">
        <f aca="false">$D86*R66*(1+$E86)^R$6</f>
        <v>111903.687755519</v>
      </c>
      <c r="S86" s="236" t="n">
        <f aca="false">$D86*S66*(1+$E86)^S$6</f>
        <v>114141.761510629</v>
      </c>
      <c r="T86" s="236" t="n">
        <f aca="false">$D86*T66*(1+$E86)^T$6</f>
        <v>116424.596740842</v>
      </c>
      <c r="U86" s="236" t="n">
        <f aca="false">$D86*U66*(1+$E86)^U$6</f>
        <v>118753.088675659</v>
      </c>
      <c r="V86" s="236" t="n">
        <f aca="false">$D86*V66*(1+$E86)^V$6</f>
        <v>121128.150449172</v>
      </c>
      <c r="W86" s="236" t="n">
        <f aca="false">$D86*W66*(1+$E86)^W$6</f>
        <v>123550.713458155</v>
      </c>
      <c r="X86" s="236" t="n">
        <f aca="false">$D86*X66*(1+$E86)^X$6</f>
        <v>126021.727727318</v>
      </c>
      <c r="Y86" s="236" t="n">
        <f aca="false">$D86*Y66*(1+$E86)^Y$6</f>
        <v>128542.162281865</v>
      </c>
      <c r="Z86" s="236" t="n">
        <f aca="false">$D86*Z66*(1+$E86)^Z$6</f>
        <v>131113.005527502</v>
      </c>
      <c r="AA86" s="236" t="n">
        <f aca="false">$D86*AA66*(1+$E86)^AA$6</f>
        <v>133735.265638052</v>
      </c>
      <c r="AB86" s="236" t="n">
        <f aca="false">$D86*AB66*(1+$E86)^AB$6</f>
        <v>136409.970950813</v>
      </c>
      <c r="AC86" s="236" t="n">
        <f aca="false">$D86*AC66*(1+$E86)^AC$6</f>
        <v>139138.170369829</v>
      </c>
      <c r="AD86" s="236" t="n">
        <f aca="false">$D86*AD66*(1+$E86)^AD$6</f>
        <v>141920.933777226</v>
      </c>
      <c r="AE86" s="236" t="n">
        <f aca="false">$D86*AE66*(1+$E86)^AE$6</f>
        <v>144759.35245277</v>
      </c>
      <c r="AF86" s="236" t="n">
        <f aca="false">$D86*AF66*(1+$E86)^AF$6</f>
        <v>147654.539501826</v>
      </c>
      <c r="AG86" s="236" t="n">
        <f aca="false">$D86*AG66*(1+$E86)^AG$6</f>
        <v>150607.630291862</v>
      </c>
      <c r="AH86" s="236" t="n">
        <f aca="false">$D86*AH66*(1+$E86)^AH$6</f>
        <v>153619.7828977</v>
      </c>
      <c r="AI86" s="236" t="n">
        <f aca="false">$D86*AI66*(1+$E86)^AI$6</f>
        <v>156692.178555654</v>
      </c>
      <c r="AJ86" s="236" t="n">
        <f aca="false">$D86*AJ66*(1+$E86)^AJ$6</f>
        <v>159826.022126767</v>
      </c>
      <c r="AK86" s="236" t="n">
        <f aca="false">$D86*AK66*(1+$E86)^AK$6</f>
        <v>163022.542569302</v>
      </c>
      <c r="AL86" s="236" t="n">
        <f aca="false">$D86*AL66*(1+$E86)^AL$6</f>
        <v>166282.993420688</v>
      </c>
    </row>
    <row r="87" customFormat="false" ht="15" hidden="false" customHeight="false" outlineLevel="1" collapsed="false">
      <c r="C87" s="383" t="str">
        <f aca="false">C67</f>
        <v>Logistics specialist</v>
      </c>
      <c r="D87" s="385" t="n">
        <f aca="false">'3. Assumptions'!D339</f>
        <v>5000</v>
      </c>
      <c r="E87" s="386" t="n">
        <f aca="false">IF('1. Project Summary'!$F$13="Real",0,'3. Assumptions'!E339)</f>
        <v>0.02</v>
      </c>
      <c r="G87" s="30" t="s">
        <v>112</v>
      </c>
      <c r="H87" s="236" t="n">
        <f aca="false">$D87*H67*(1+$E87)^H$6</f>
        <v>0</v>
      </c>
      <c r="I87" s="236" t="n">
        <f aca="false">$D87*I67*(1+$E87)^I$6</f>
        <v>0</v>
      </c>
      <c r="J87" s="236" t="n">
        <f aca="false">$D87*J67*(1+$E87)^J$6</f>
        <v>10612.08</v>
      </c>
      <c r="K87" s="236" t="n">
        <f aca="false">$D87*K67*(1+$E87)^K$6</f>
        <v>10824.3216</v>
      </c>
      <c r="L87" s="236" t="n">
        <f aca="false">$D87*L67*(1+$E87)^L$6</f>
        <v>22081.616064</v>
      </c>
      <c r="M87" s="236" t="n">
        <f aca="false">$D87*M67*(1+$E87)^M$6</f>
        <v>22523.24838528</v>
      </c>
      <c r="N87" s="236" t="n">
        <f aca="false">$D87*N67*(1+$E87)^N$6</f>
        <v>28717.141691232</v>
      </c>
      <c r="O87" s="236" t="n">
        <f aca="false">$D87*O67*(1+$E87)^O$6</f>
        <v>33978.1220490657</v>
      </c>
      <c r="P87" s="236" t="n">
        <f aca="false">$D87*P67*(1+$E87)^P$6</f>
        <v>39438.0547645363</v>
      </c>
      <c r="Q87" s="236" t="n">
        <f aca="false">$D87*Q67*(1+$E87)^Q$6</f>
        <v>45102.793539806</v>
      </c>
      <c r="R87" s="236" t="n">
        <f aca="false">$D87*R67*(1+$E87)^R$6</f>
        <v>46004.8494106021</v>
      </c>
      <c r="S87" s="236" t="n">
        <f aca="false">$D87*S67*(1+$E87)^S$6</f>
        <v>46924.9463988142</v>
      </c>
      <c r="T87" s="236" t="n">
        <f aca="false">$D87*T67*(1+$E87)^T$6</f>
        <v>47863.4453267905</v>
      </c>
      <c r="U87" s="236" t="n">
        <f aca="false">$D87*U67*(1+$E87)^U$6</f>
        <v>48820.7142333263</v>
      </c>
      <c r="V87" s="236" t="n">
        <f aca="false">$D87*V67*(1+$E87)^V$6</f>
        <v>49797.1285179928</v>
      </c>
      <c r="W87" s="236" t="n">
        <f aca="false">$D87*W67*(1+$E87)^W$6</f>
        <v>50793.0710883527</v>
      </c>
      <c r="X87" s="236" t="n">
        <f aca="false">$D87*X67*(1+$E87)^X$6</f>
        <v>51808.9325101197</v>
      </c>
      <c r="Y87" s="236" t="n">
        <f aca="false">$D87*Y67*(1+$E87)^Y$6</f>
        <v>52845.1111603221</v>
      </c>
      <c r="Z87" s="236" t="n">
        <f aca="false">$D87*Z67*(1+$E87)^Z$6</f>
        <v>53902.0133835286</v>
      </c>
      <c r="AA87" s="236" t="n">
        <f aca="false">$D87*AA67*(1+$E87)^AA$6</f>
        <v>54980.0536511991</v>
      </c>
      <c r="AB87" s="236" t="n">
        <f aca="false">$D87*AB67*(1+$E87)^AB$6</f>
        <v>56079.6547242231</v>
      </c>
      <c r="AC87" s="236" t="n">
        <f aca="false">$D87*AC67*(1+$E87)^AC$6</f>
        <v>57201.2478187076</v>
      </c>
      <c r="AD87" s="236" t="n">
        <f aca="false">$D87*AD67*(1+$E87)^AD$6</f>
        <v>58345.2727750817</v>
      </c>
      <c r="AE87" s="236" t="n">
        <f aca="false">$D87*AE67*(1+$E87)^AE$6</f>
        <v>59512.1782305834</v>
      </c>
      <c r="AF87" s="236" t="n">
        <f aca="false">$D87*AF67*(1+$E87)^AF$6</f>
        <v>60702.421795195</v>
      </c>
      <c r="AG87" s="236" t="n">
        <f aca="false">$D87*AG67*(1+$E87)^AG$6</f>
        <v>61916.4702310989</v>
      </c>
      <c r="AH87" s="236" t="n">
        <f aca="false">$D87*AH67*(1+$E87)^AH$6</f>
        <v>63154.7996357209</v>
      </c>
      <c r="AI87" s="236" t="n">
        <f aca="false">$D87*AI67*(1+$E87)^AI$6</f>
        <v>64417.8956284353</v>
      </c>
      <c r="AJ87" s="236" t="n">
        <f aca="false">$D87*AJ67*(1+$E87)^AJ$6</f>
        <v>65706.253541004</v>
      </c>
      <c r="AK87" s="236" t="n">
        <f aca="false">$D87*AK67*(1+$E87)^AK$6</f>
        <v>67020.3786118241</v>
      </c>
      <c r="AL87" s="236" t="n">
        <f aca="false">$D87*AL67*(1+$E87)^AL$6</f>
        <v>68360.7861840606</v>
      </c>
    </row>
    <row r="88" customFormat="false" ht="15" hidden="false" customHeight="false" outlineLevel="1" collapsed="false">
      <c r="C88" s="383" t="str">
        <f aca="false">C68</f>
        <v>Employees</v>
      </c>
      <c r="D88" s="385" t="n">
        <f aca="false">'3. Assumptions'!D340</f>
        <v>3000</v>
      </c>
      <c r="E88" s="386" t="n">
        <f aca="false">IF('1. Project Summary'!$F$13="Real",0,'3. Assumptions'!E340)</f>
        <v>0.02</v>
      </c>
      <c r="G88" s="30" t="s">
        <v>112</v>
      </c>
      <c r="H88" s="236" t="n">
        <f aca="false">$D88*H68*(1+$E88)^H$6</f>
        <v>0</v>
      </c>
      <c r="I88" s="236" t="n">
        <f aca="false">$D88*I68*(1+$E88)^I$6</f>
        <v>24969.6</v>
      </c>
      <c r="J88" s="236" t="n">
        <f aca="false">$D88*J68*(1+$E88)^J$6</f>
        <v>50937.984</v>
      </c>
      <c r="K88" s="236" t="n">
        <f aca="false">$D88*K68*(1+$E88)^K$6</f>
        <v>77935.11552</v>
      </c>
      <c r="L88" s="236" t="n">
        <f aca="false">$D88*L68*(1+$E88)^L$6</f>
        <v>105991.7571072</v>
      </c>
      <c r="M88" s="236" t="n">
        <f aca="false">$D88*M68*(1+$E88)^M$6</f>
        <v>135139.49031168</v>
      </c>
      <c r="N88" s="236" t="n">
        <f aca="false">$D88*N68*(1+$E88)^N$6</f>
        <v>165410.736141496</v>
      </c>
      <c r="O88" s="236" t="n">
        <f aca="false">$D88*O68*(1+$E88)^O$6</f>
        <v>196838.776008381</v>
      </c>
      <c r="P88" s="236" t="n">
        <f aca="false">$D88*P68*(1+$E88)^P$6</f>
        <v>229457.773175484</v>
      </c>
      <c r="Q88" s="236" t="n">
        <f aca="false">$D88*Q68*(1+$E88)^Q$6</f>
        <v>263302.794718868</v>
      </c>
      <c r="R88" s="236" t="n">
        <f aca="false">$D88*R68*(1+$E88)^R$6</f>
        <v>268568.850613245</v>
      </c>
      <c r="S88" s="236" t="n">
        <f aca="false">$D88*S68*(1+$E88)^S$6</f>
        <v>273940.22762551</v>
      </c>
      <c r="T88" s="236" t="n">
        <f aca="false">$D88*T68*(1+$E88)^T$6</f>
        <v>279419.03217802</v>
      </c>
      <c r="U88" s="236" t="n">
        <f aca="false">$D88*U68*(1+$E88)^U$6</f>
        <v>285007.41282158</v>
      </c>
      <c r="V88" s="236" t="n">
        <f aca="false">$D88*V68*(1+$E88)^V$6</f>
        <v>290707.561078012</v>
      </c>
      <c r="W88" s="236" t="n">
        <f aca="false">$D88*W68*(1+$E88)^W$6</f>
        <v>296521.712299572</v>
      </c>
      <c r="X88" s="236" t="n">
        <f aca="false">$D88*X68*(1+$E88)^X$6</f>
        <v>302452.146545564</v>
      </c>
      <c r="Y88" s="236" t="n">
        <f aca="false">$D88*Y68*(1+$E88)^Y$6</f>
        <v>308501.189476475</v>
      </c>
      <c r="Z88" s="236" t="n">
        <f aca="false">$D88*Z68*(1+$E88)^Z$6</f>
        <v>314671.213266005</v>
      </c>
      <c r="AA88" s="236" t="n">
        <f aca="false">$D88*AA68*(1+$E88)^AA$6</f>
        <v>320964.637531325</v>
      </c>
      <c r="AB88" s="236" t="n">
        <f aca="false">$D88*AB68*(1+$E88)^AB$6</f>
        <v>327383.930281951</v>
      </c>
      <c r="AC88" s="236" t="n">
        <f aca="false">$D88*AC68*(1+$E88)^AC$6</f>
        <v>333931.60888759</v>
      </c>
      <c r="AD88" s="236" t="n">
        <f aca="false">$D88*AD68*(1+$E88)^AD$6</f>
        <v>340610.241065342</v>
      </c>
      <c r="AE88" s="236" t="n">
        <f aca="false">$D88*AE68*(1+$E88)^AE$6</f>
        <v>347422.445886649</v>
      </c>
      <c r="AF88" s="236" t="n">
        <f aca="false">$D88*AF68*(1+$E88)^AF$6</f>
        <v>354370.894804382</v>
      </c>
      <c r="AG88" s="236" t="n">
        <f aca="false">$D88*AG68*(1+$E88)^AG$6</f>
        <v>361458.312700469</v>
      </c>
      <c r="AH88" s="236" t="n">
        <f aca="false">$D88*AH68*(1+$E88)^AH$6</f>
        <v>368687.478954479</v>
      </c>
      <c r="AI88" s="236" t="n">
        <f aca="false">$D88*AI68*(1+$E88)^AI$6</f>
        <v>376061.228533568</v>
      </c>
      <c r="AJ88" s="236" t="n">
        <f aca="false">$D88*AJ68*(1+$E88)^AJ$6</f>
        <v>383582.45310424</v>
      </c>
      <c r="AK88" s="236" t="n">
        <f aca="false">$D88*AK68*(1+$E88)^AK$6</f>
        <v>391254.102166325</v>
      </c>
      <c r="AL88" s="236" t="n">
        <f aca="false">$D88*AL68*(1+$E88)^AL$6</f>
        <v>399079.184209651</v>
      </c>
    </row>
    <row r="89" customFormat="false" ht="15" hidden="false" customHeight="false" outlineLevel="1" collapsed="false">
      <c r="C89" s="383" t="str">
        <f aca="false">C69</f>
        <v>Executive Secretary</v>
      </c>
      <c r="D89" s="385" t="n">
        <f aca="false">'3. Assumptions'!D341</f>
        <v>4000</v>
      </c>
      <c r="E89" s="386" t="n">
        <f aca="false">IF('1. Project Summary'!$F$13="Real",0,'3. Assumptions'!E341)</f>
        <v>0.02</v>
      </c>
      <c r="G89" s="30" t="s">
        <v>112</v>
      </c>
      <c r="H89" s="236" t="n">
        <f aca="false">$D89*H69*(1+$E89)^H$6</f>
        <v>4080</v>
      </c>
      <c r="I89" s="236" t="n">
        <f aca="false">$D89*I69*(1+$E89)^I$6</f>
        <v>4161.6</v>
      </c>
      <c r="J89" s="236" t="n">
        <f aca="false">$D89*J69*(1+$E89)^J$6</f>
        <v>4244.832</v>
      </c>
      <c r="K89" s="236" t="n">
        <f aca="false">$D89*K69*(1+$E89)^K$6</f>
        <v>4329.72864</v>
      </c>
      <c r="L89" s="236" t="n">
        <f aca="false">$D89*L69*(1+$E89)^L$6</f>
        <v>4416.3232128</v>
      </c>
      <c r="M89" s="236" t="n">
        <f aca="false">$D89*M69*(1+$E89)^M$6</f>
        <v>4504.649677056</v>
      </c>
      <c r="N89" s="236" t="n">
        <f aca="false">$D89*N69*(1+$E89)^N$6</f>
        <v>4594.74267059712</v>
      </c>
      <c r="O89" s="236" t="n">
        <f aca="false">$D89*O69*(1+$E89)^O$6</f>
        <v>4686.63752400906</v>
      </c>
      <c r="P89" s="236" t="n">
        <f aca="false">$D89*P69*(1+$E89)^P$6</f>
        <v>4780.37027448924</v>
      </c>
      <c r="Q89" s="236" t="n">
        <f aca="false">$D89*Q69*(1+$E89)^Q$6</f>
        <v>4875.97767997903</v>
      </c>
      <c r="R89" s="236" t="n">
        <f aca="false">$D89*R69*(1+$E89)^R$6</f>
        <v>4973.49723357861</v>
      </c>
      <c r="S89" s="236" t="n">
        <f aca="false">$D89*S69*(1+$E89)^S$6</f>
        <v>5072.96717825018</v>
      </c>
      <c r="T89" s="236" t="n">
        <f aca="false">$D89*T69*(1+$E89)^T$6</f>
        <v>5174.42652181519</v>
      </c>
      <c r="U89" s="236" t="n">
        <f aca="false">$D89*U69*(1+$E89)^U$6</f>
        <v>5277.91505225149</v>
      </c>
      <c r="V89" s="236" t="n">
        <f aca="false">$D89*V69*(1+$E89)^V$6</f>
        <v>5383.47335329652</v>
      </c>
      <c r="W89" s="236" t="n">
        <f aca="false">$D89*W69*(1+$E89)^W$6</f>
        <v>5491.14282036245</v>
      </c>
      <c r="X89" s="236" t="n">
        <f aca="false">$D89*X69*(1+$E89)^X$6</f>
        <v>5600.9656767697</v>
      </c>
      <c r="Y89" s="236" t="n">
        <f aca="false">$D89*Y69*(1+$E89)^Y$6</f>
        <v>5712.98499030509</v>
      </c>
      <c r="Z89" s="236" t="n">
        <f aca="false">$D89*Z69*(1+$E89)^Z$6</f>
        <v>5827.2446901112</v>
      </c>
      <c r="AA89" s="236" t="n">
        <f aca="false">$D89*AA69*(1+$E89)^AA$6</f>
        <v>5943.78958391342</v>
      </c>
      <c r="AB89" s="236" t="n">
        <f aca="false">$D89*AB69*(1+$E89)^AB$6</f>
        <v>6062.66537559169</v>
      </c>
      <c r="AC89" s="236" t="n">
        <f aca="false">$D89*AC69*(1+$E89)^AC$6</f>
        <v>6183.91868310352</v>
      </c>
      <c r="AD89" s="236" t="n">
        <f aca="false">$D89*AD69*(1+$E89)^AD$6</f>
        <v>6307.59705676559</v>
      </c>
      <c r="AE89" s="236" t="n">
        <f aca="false">$D89*AE69*(1+$E89)^AE$6</f>
        <v>6433.7489979009</v>
      </c>
      <c r="AF89" s="236" t="n">
        <f aca="false">$D89*AF69*(1+$E89)^AF$6</f>
        <v>6562.42397785892</v>
      </c>
      <c r="AG89" s="236" t="n">
        <f aca="false">$D89*AG69*(1+$E89)^AG$6</f>
        <v>6693.6724574161</v>
      </c>
      <c r="AH89" s="236" t="n">
        <f aca="false">$D89*AH69*(1+$E89)^AH$6</f>
        <v>6827.54590656442</v>
      </c>
      <c r="AI89" s="236" t="n">
        <f aca="false">$D89*AI69*(1+$E89)^AI$6</f>
        <v>6964.09682469571</v>
      </c>
      <c r="AJ89" s="236" t="n">
        <f aca="false">$D89*AJ69*(1+$E89)^AJ$6</f>
        <v>7103.37876118963</v>
      </c>
      <c r="AK89" s="236" t="n">
        <f aca="false">$D89*AK69*(1+$E89)^AK$6</f>
        <v>7245.44633641342</v>
      </c>
      <c r="AL89" s="236" t="n">
        <f aca="false">$D89*AL69*(1+$E89)^AL$6</f>
        <v>7390.35526314169</v>
      </c>
    </row>
    <row r="90" customFormat="false" ht="15" hidden="false" customHeight="false" outlineLevel="1" collapsed="false">
      <c r="C90" s="383" t="str">
        <f aca="false">C70</f>
        <v>Accountant</v>
      </c>
      <c r="D90" s="385" t="n">
        <f aca="false">'3. Assumptions'!D342</f>
        <v>2500</v>
      </c>
      <c r="E90" s="386" t="n">
        <f aca="false">IF('1. Project Summary'!$F$13="Real",0,'3. Assumptions'!E342)</f>
        <v>0.02</v>
      </c>
      <c r="G90" s="30" t="s">
        <v>112</v>
      </c>
      <c r="H90" s="236" t="n">
        <f aca="false">$D90*H70*(1+$E90)^H$6</f>
        <v>0</v>
      </c>
      <c r="I90" s="236" t="n">
        <f aca="false">$D90*I70*(1+$E90)^I$6</f>
        <v>5202</v>
      </c>
      <c r="J90" s="236" t="n">
        <f aca="false">$D90*J70*(1+$E90)^J$6</f>
        <v>10612.08</v>
      </c>
      <c r="K90" s="236" t="n">
        <f aca="false">$D90*K70*(1+$E90)^K$6</f>
        <v>16236.4824</v>
      </c>
      <c r="L90" s="236" t="n">
        <f aca="false">$D90*L70*(1+$E90)^L$6</f>
        <v>22081.616064</v>
      </c>
      <c r="M90" s="236" t="n">
        <f aca="false">$D90*M70*(1+$E90)^M$6</f>
        <v>28154.0604816</v>
      </c>
      <c r="N90" s="236" t="n">
        <f aca="false">$D90*N70*(1+$E90)^N$6</f>
        <v>34460.5700294784</v>
      </c>
      <c r="O90" s="236" t="n">
        <f aca="false">$D90*O70*(1+$E90)^O$6</f>
        <v>41008.0783350793</v>
      </c>
      <c r="P90" s="236" t="n">
        <f aca="false">$D90*P70*(1+$E90)^P$6</f>
        <v>47803.7027448924</v>
      </c>
      <c r="Q90" s="236" t="n">
        <f aca="false">$D90*Q70*(1+$E90)^Q$6</f>
        <v>54854.7488997641</v>
      </c>
      <c r="R90" s="236" t="n">
        <f aca="false">$D90*R70*(1+$E90)^R$6</f>
        <v>55951.8438777594</v>
      </c>
      <c r="S90" s="236" t="n">
        <f aca="false">$D90*S70*(1+$E90)^S$6</f>
        <v>57070.8807553145</v>
      </c>
      <c r="T90" s="236" t="n">
        <f aca="false">$D90*T70*(1+$E90)^T$6</f>
        <v>58212.2983704208</v>
      </c>
      <c r="U90" s="236" t="n">
        <f aca="false">$D90*U70*(1+$E90)^U$6</f>
        <v>59376.5443378293</v>
      </c>
      <c r="V90" s="236" t="n">
        <f aca="false">$D90*V70*(1+$E90)^V$6</f>
        <v>60564.0752245858</v>
      </c>
      <c r="W90" s="236" t="n">
        <f aca="false">$D90*W70*(1+$E90)^W$6</f>
        <v>61775.3567290776</v>
      </c>
      <c r="X90" s="236" t="n">
        <f aca="false">$D90*X70*(1+$E90)^X$6</f>
        <v>63010.8638636591</v>
      </c>
      <c r="Y90" s="236" t="n">
        <f aca="false">$D90*Y70*(1+$E90)^Y$6</f>
        <v>64271.0811409323</v>
      </c>
      <c r="Z90" s="236" t="n">
        <f aca="false">$D90*Z70*(1+$E90)^Z$6</f>
        <v>65556.502763751</v>
      </c>
      <c r="AA90" s="236" t="n">
        <f aca="false">$D90*AA70*(1+$E90)^AA$6</f>
        <v>66867.632819026</v>
      </c>
      <c r="AB90" s="236" t="n">
        <f aca="false">$D90*AB70*(1+$E90)^AB$6</f>
        <v>68204.9854754065</v>
      </c>
      <c r="AC90" s="236" t="n">
        <f aca="false">$D90*AC70*(1+$E90)^AC$6</f>
        <v>69569.0851849146</v>
      </c>
      <c r="AD90" s="236" t="n">
        <f aca="false">$D90*AD70*(1+$E90)^AD$6</f>
        <v>70960.4668886129</v>
      </c>
      <c r="AE90" s="236" t="n">
        <f aca="false">$D90*AE70*(1+$E90)^AE$6</f>
        <v>72379.6762263852</v>
      </c>
      <c r="AF90" s="236" t="n">
        <f aca="false">$D90*AF70*(1+$E90)^AF$6</f>
        <v>73827.2697509129</v>
      </c>
      <c r="AG90" s="236" t="n">
        <f aca="false">$D90*AG70*(1+$E90)^AG$6</f>
        <v>75303.8151459311</v>
      </c>
      <c r="AH90" s="236" t="n">
        <f aca="false">$D90*AH70*(1+$E90)^AH$6</f>
        <v>76809.8914488498</v>
      </c>
      <c r="AI90" s="236" t="n">
        <f aca="false">$D90*AI70*(1+$E90)^AI$6</f>
        <v>78346.0892778268</v>
      </c>
      <c r="AJ90" s="236" t="n">
        <f aca="false">$D90*AJ70*(1+$E90)^AJ$6</f>
        <v>79913.0110633833</v>
      </c>
      <c r="AK90" s="236" t="n">
        <f aca="false">$D90*AK70*(1+$E90)^AK$6</f>
        <v>81511.271284651</v>
      </c>
      <c r="AL90" s="236" t="n">
        <f aca="false">$D90*AL70*(1+$E90)^AL$6</f>
        <v>83141.496710344</v>
      </c>
    </row>
    <row r="91" customFormat="false" ht="15" hidden="false" customHeight="false" outlineLevel="1" collapsed="false">
      <c r="C91" s="383" t="str">
        <f aca="false">C71</f>
        <v>Secretaries</v>
      </c>
      <c r="D91" s="385" t="n">
        <f aca="false">'3. Assumptions'!D343</f>
        <v>1500</v>
      </c>
      <c r="E91" s="386" t="n">
        <f aca="false">IF('1. Project Summary'!$F$13="Real",0,'3. Assumptions'!E343)</f>
        <v>0.02</v>
      </c>
      <c r="G91" s="30" t="s">
        <v>112</v>
      </c>
      <c r="H91" s="236" t="n">
        <f aca="false">$D91*H71*(1+$E91)^H$6</f>
        <v>0</v>
      </c>
      <c r="I91" s="236" t="n">
        <f aca="false">$D91*I71*(1+$E91)^I$6</f>
        <v>3121.2</v>
      </c>
      <c r="J91" s="236" t="n">
        <f aca="false">$D91*J71*(1+$E91)^J$6</f>
        <v>6367.248</v>
      </c>
      <c r="K91" s="236" t="n">
        <f aca="false">$D91*K71*(1+$E91)^K$6</f>
        <v>9741.88944</v>
      </c>
      <c r="L91" s="236" t="n">
        <f aca="false">$D91*L71*(1+$E91)^L$6</f>
        <v>13248.9696384</v>
      </c>
      <c r="M91" s="236" t="n">
        <f aca="false">$D91*M71*(1+$E91)^M$6</f>
        <v>16892.43628896</v>
      </c>
      <c r="N91" s="236" t="n">
        <f aca="false">$D91*N71*(1+$E91)^N$6</f>
        <v>20676.342017687</v>
      </c>
      <c r="O91" s="236" t="n">
        <f aca="false">$D91*O71*(1+$E91)^O$6</f>
        <v>24604.8470010476</v>
      </c>
      <c r="P91" s="236" t="n">
        <f aca="false">$D91*P71*(1+$E91)^P$6</f>
        <v>28682.2216469355</v>
      </c>
      <c r="Q91" s="236" t="n">
        <f aca="false">$D91*Q71*(1+$E91)^Q$6</f>
        <v>32912.8493398585</v>
      </c>
      <c r="R91" s="236" t="n">
        <f aca="false">$D91*R71*(1+$E91)^R$6</f>
        <v>33571.1063266556</v>
      </c>
      <c r="S91" s="236" t="n">
        <f aca="false">$D91*S71*(1+$E91)^S$6</f>
        <v>34242.5284531887</v>
      </c>
      <c r="T91" s="236" t="n">
        <f aca="false">$D91*T71*(1+$E91)^T$6</f>
        <v>34927.3790222525</v>
      </c>
      <c r="U91" s="236" t="n">
        <f aca="false">$D91*U71*(1+$E91)^U$6</f>
        <v>35625.9266026976</v>
      </c>
      <c r="V91" s="236" t="n">
        <f aca="false">$D91*V71*(1+$E91)^V$6</f>
        <v>36338.4451347515</v>
      </c>
      <c r="W91" s="236" t="n">
        <f aca="false">$D91*W71*(1+$E91)^W$6</f>
        <v>37065.2140374465</v>
      </c>
      <c r="X91" s="236" t="n">
        <f aca="false">$D91*X71*(1+$E91)^X$6</f>
        <v>37806.5183181955</v>
      </c>
      <c r="Y91" s="236" t="n">
        <f aca="false">$D91*Y71*(1+$E91)^Y$6</f>
        <v>38562.6486845594</v>
      </c>
      <c r="Z91" s="236" t="n">
        <f aca="false">$D91*Z71*(1+$E91)^Z$6</f>
        <v>39333.9016582506</v>
      </c>
      <c r="AA91" s="236" t="n">
        <f aca="false">$D91*AA71*(1+$E91)^AA$6</f>
        <v>40120.5796914156</v>
      </c>
      <c r="AB91" s="236" t="n">
        <f aca="false">$D91*AB71*(1+$E91)^AB$6</f>
        <v>40922.9912852439</v>
      </c>
      <c r="AC91" s="236" t="n">
        <f aca="false">$D91*AC71*(1+$E91)^AC$6</f>
        <v>41741.4511109488</v>
      </c>
      <c r="AD91" s="236" t="n">
        <f aca="false">$D91*AD71*(1+$E91)^AD$6</f>
        <v>42576.2801331678</v>
      </c>
      <c r="AE91" s="236" t="n">
        <f aca="false">$D91*AE71*(1+$E91)^AE$6</f>
        <v>43427.8057358311</v>
      </c>
      <c r="AF91" s="236" t="n">
        <f aca="false">$D91*AF71*(1+$E91)^AF$6</f>
        <v>44296.3618505477</v>
      </c>
      <c r="AG91" s="236" t="n">
        <f aca="false">$D91*AG71*(1+$E91)^AG$6</f>
        <v>45182.2890875587</v>
      </c>
      <c r="AH91" s="236" t="n">
        <f aca="false">$D91*AH71*(1+$E91)^AH$6</f>
        <v>46085.9348693099</v>
      </c>
      <c r="AI91" s="236" t="n">
        <f aca="false">$D91*AI71*(1+$E91)^AI$6</f>
        <v>47007.6535666961</v>
      </c>
      <c r="AJ91" s="236" t="n">
        <f aca="false">$D91*AJ71*(1+$E91)^AJ$6</f>
        <v>47947.80663803</v>
      </c>
      <c r="AK91" s="236" t="n">
        <f aca="false">$D91*AK71*(1+$E91)^AK$6</f>
        <v>48906.7627707906</v>
      </c>
      <c r="AL91" s="236" t="n">
        <f aca="false">$D91*AL71*(1+$E91)^AL$6</f>
        <v>49884.8980262064</v>
      </c>
    </row>
    <row r="92" customFormat="false" ht="15" hidden="false" customHeight="false" outlineLevel="1" collapsed="false">
      <c r="C92" s="383" t="str">
        <f aca="false">C72</f>
        <v>Trainees/Students</v>
      </c>
      <c r="D92" s="385" t="n">
        <f aca="false">'3. Assumptions'!D344</f>
        <v>2000</v>
      </c>
      <c r="E92" s="386" t="n">
        <f aca="false">IF('1. Project Summary'!$F$13="Real",0,'3. Assumptions'!E344)</f>
        <v>0.02</v>
      </c>
      <c r="G92" s="30" t="s">
        <v>112</v>
      </c>
      <c r="H92" s="236" t="n">
        <f aca="false">$D92*H72*(1+$E92)^H$6</f>
        <v>0</v>
      </c>
      <c r="I92" s="236" t="n">
        <f aca="false">$D92*I72*(1+$E92)^I$6</f>
        <v>20808</v>
      </c>
      <c r="J92" s="236" t="n">
        <f aca="false">$D92*J72*(1+$E92)^J$6</f>
        <v>42448.32</v>
      </c>
      <c r="K92" s="236" t="n">
        <f aca="false">$D92*K72*(1+$E92)^K$6</f>
        <v>64945.9296</v>
      </c>
      <c r="L92" s="236" t="n">
        <f aca="false">$D92*L72*(1+$E92)^L$6</f>
        <v>88326.464256</v>
      </c>
      <c r="M92" s="236" t="n">
        <f aca="false">$D92*M72*(1+$E92)^M$6</f>
        <v>112616.2419264</v>
      </c>
      <c r="N92" s="236" t="n">
        <f aca="false">$D92*N72*(1+$E92)^N$6</f>
        <v>137842.280117914</v>
      </c>
      <c r="O92" s="236" t="n">
        <f aca="false">$D92*O72*(1+$E92)^O$6</f>
        <v>164032.313340317</v>
      </c>
      <c r="P92" s="236" t="n">
        <f aca="false">$D92*P72*(1+$E92)^P$6</f>
        <v>191214.81097957</v>
      </c>
      <c r="Q92" s="236" t="n">
        <f aca="false">$D92*Q72*(1+$E92)^Q$6</f>
        <v>219418.995599056</v>
      </c>
      <c r="R92" s="236" t="n">
        <f aca="false">$D92*R72*(1+$E92)^R$6</f>
        <v>223807.375511037</v>
      </c>
      <c r="S92" s="236" t="n">
        <f aca="false">$D92*S72*(1+$E92)^S$6</f>
        <v>228283.523021258</v>
      </c>
      <c r="T92" s="236" t="n">
        <f aca="false">$D92*T72*(1+$E92)^T$6</f>
        <v>232849.193481683</v>
      </c>
      <c r="U92" s="236" t="n">
        <f aca="false">$D92*U72*(1+$E92)^U$6</f>
        <v>237506.177351317</v>
      </c>
      <c r="V92" s="236" t="n">
        <f aca="false">$D92*V72*(1+$E92)^V$6</f>
        <v>242256.300898343</v>
      </c>
      <c r="W92" s="236" t="n">
        <f aca="false">$D92*W72*(1+$E92)^W$6</f>
        <v>247101.42691631</v>
      </c>
      <c r="X92" s="236" t="n">
        <f aca="false">$D92*X72*(1+$E92)^X$6</f>
        <v>252043.455454636</v>
      </c>
      <c r="Y92" s="236" t="n">
        <f aca="false">$D92*Y72*(1+$E92)^Y$6</f>
        <v>257084.324563729</v>
      </c>
      <c r="Z92" s="236" t="n">
        <f aca="false">$D92*Z72*(1+$E92)^Z$6</f>
        <v>262226.011055004</v>
      </c>
      <c r="AA92" s="236" t="n">
        <f aca="false">$D92*AA72*(1+$E92)^AA$6</f>
        <v>267470.531276104</v>
      </c>
      <c r="AB92" s="236" t="n">
        <f aca="false">$D92*AB72*(1+$E92)^AB$6</f>
        <v>272819.941901626</v>
      </c>
      <c r="AC92" s="236" t="n">
        <f aca="false">$D92*AC72*(1+$E92)^AC$6</f>
        <v>278276.340739658</v>
      </c>
      <c r="AD92" s="236" t="n">
        <f aca="false">$D92*AD72*(1+$E92)^AD$6</f>
        <v>283841.867554452</v>
      </c>
      <c r="AE92" s="236" t="n">
        <f aca="false">$D92*AE72*(1+$E92)^AE$6</f>
        <v>289518.704905541</v>
      </c>
      <c r="AF92" s="236" t="n">
        <f aca="false">$D92*AF72*(1+$E92)^AF$6</f>
        <v>295309.079003652</v>
      </c>
      <c r="AG92" s="236" t="n">
        <f aca="false">$D92*AG72*(1+$E92)^AG$6</f>
        <v>301215.260583725</v>
      </c>
      <c r="AH92" s="236" t="n">
        <f aca="false">$D92*AH72*(1+$E92)^AH$6</f>
        <v>307239.565795399</v>
      </c>
      <c r="AI92" s="236" t="n">
        <f aca="false">$D92*AI72*(1+$E92)^AI$6</f>
        <v>313384.357111307</v>
      </c>
      <c r="AJ92" s="236" t="n">
        <f aca="false">$D92*AJ72*(1+$E92)^AJ$6</f>
        <v>319652.044253533</v>
      </c>
      <c r="AK92" s="236" t="n">
        <f aca="false">$D92*AK72*(1+$E92)^AK$6</f>
        <v>326045.085138604</v>
      </c>
      <c r="AL92" s="236" t="n">
        <f aca="false">$D92*AL72*(1+$E92)^AL$6</f>
        <v>332565.986841376</v>
      </c>
    </row>
    <row r="93" customFormat="false" ht="15" hidden="false" customHeight="false" outlineLevel="1" collapsed="false">
      <c r="C93" s="383" t="str">
        <f aca="false">C73</f>
        <v>Field Agent</v>
      </c>
      <c r="D93" s="385" t="n">
        <f aca="false">'3. Assumptions'!D345</f>
        <v>1500</v>
      </c>
      <c r="E93" s="386" t="n">
        <f aca="false">IF('1. Project Summary'!$F$13="Real",0,'3. Assumptions'!E345)</f>
        <v>0.02</v>
      </c>
      <c r="G93" s="30" t="s">
        <v>112</v>
      </c>
      <c r="H93" s="236" t="n">
        <f aca="false">$D93*H73*(1+$E93)^H$6</f>
        <v>0</v>
      </c>
      <c r="I93" s="236" t="n">
        <f aca="false">$D93*I73*(1+$E93)^I$6</f>
        <v>3121.2</v>
      </c>
      <c r="J93" s="236" t="n">
        <f aca="false">$D93*J73*(1+$E93)^J$6</f>
        <v>6367.248</v>
      </c>
      <c r="K93" s="236" t="n">
        <f aca="false">$D93*K73*(1+$E93)^K$6</f>
        <v>9741.88944</v>
      </c>
      <c r="L93" s="236" t="n">
        <f aca="false">$D93*L73*(1+$E93)^L$6</f>
        <v>13248.9696384</v>
      </c>
      <c r="M93" s="236" t="n">
        <f aca="false">$D93*M73*(1+$E93)^M$6</f>
        <v>16892.43628896</v>
      </c>
      <c r="N93" s="236" t="n">
        <f aca="false">$D93*N73*(1+$E93)^N$6</f>
        <v>20676.342017687</v>
      </c>
      <c r="O93" s="236" t="n">
        <f aca="false">$D93*O73*(1+$E93)^O$6</f>
        <v>24604.8470010476</v>
      </c>
      <c r="P93" s="236" t="n">
        <f aca="false">$D93*P73*(1+$E93)^P$6</f>
        <v>28682.2216469355</v>
      </c>
      <c r="Q93" s="236" t="n">
        <f aca="false">$D93*Q73*(1+$E93)^Q$6</f>
        <v>32912.8493398585</v>
      </c>
      <c r="R93" s="236" t="n">
        <f aca="false">$D93*R73*(1+$E93)^R$6</f>
        <v>33571.1063266556</v>
      </c>
      <c r="S93" s="236" t="n">
        <f aca="false">$D93*S73*(1+$E93)^S$6</f>
        <v>34242.5284531887</v>
      </c>
      <c r="T93" s="236" t="n">
        <f aca="false">$D93*T73*(1+$E93)^T$6</f>
        <v>34927.3790222525</v>
      </c>
      <c r="U93" s="236" t="n">
        <f aca="false">$D93*U73*(1+$E93)^U$6</f>
        <v>35625.9266026976</v>
      </c>
      <c r="V93" s="236" t="n">
        <f aca="false">$D93*V73*(1+$E93)^V$6</f>
        <v>36338.4451347515</v>
      </c>
      <c r="W93" s="236" t="n">
        <f aca="false">$D93*W73*(1+$E93)^W$6</f>
        <v>37065.2140374465</v>
      </c>
      <c r="X93" s="236" t="n">
        <f aca="false">$D93*X73*(1+$E93)^X$6</f>
        <v>37806.5183181955</v>
      </c>
      <c r="Y93" s="236" t="n">
        <f aca="false">$D93*Y73*(1+$E93)^Y$6</f>
        <v>38562.6486845594</v>
      </c>
      <c r="Z93" s="236" t="n">
        <f aca="false">$D93*Z73*(1+$E93)^Z$6</f>
        <v>39333.9016582506</v>
      </c>
      <c r="AA93" s="236" t="n">
        <f aca="false">$D93*AA73*(1+$E93)^AA$6</f>
        <v>40120.5796914156</v>
      </c>
      <c r="AB93" s="236" t="n">
        <f aca="false">$D93*AB73*(1+$E93)^AB$6</f>
        <v>40922.9912852439</v>
      </c>
      <c r="AC93" s="236" t="n">
        <f aca="false">$D93*AC73*(1+$E93)^AC$6</f>
        <v>41741.4511109488</v>
      </c>
      <c r="AD93" s="236" t="n">
        <f aca="false">$D93*AD73*(1+$E93)^AD$6</f>
        <v>42576.2801331678</v>
      </c>
      <c r="AE93" s="236" t="n">
        <f aca="false">$D93*AE73*(1+$E93)^AE$6</f>
        <v>43427.8057358311</v>
      </c>
      <c r="AF93" s="236" t="n">
        <f aca="false">$D93*AF73*(1+$E93)^AF$6</f>
        <v>44296.3618505477</v>
      </c>
      <c r="AG93" s="236" t="n">
        <f aca="false">$D93*AG73*(1+$E93)^AG$6</f>
        <v>45182.2890875587</v>
      </c>
      <c r="AH93" s="236" t="n">
        <f aca="false">$D93*AH73*(1+$E93)^AH$6</f>
        <v>46085.9348693099</v>
      </c>
      <c r="AI93" s="236" t="n">
        <f aca="false">$D93*AI73*(1+$E93)^AI$6</f>
        <v>47007.6535666961</v>
      </c>
      <c r="AJ93" s="236" t="n">
        <f aca="false">$D93*AJ73*(1+$E93)^AJ$6</f>
        <v>47947.80663803</v>
      </c>
      <c r="AK93" s="236" t="n">
        <f aca="false">$D93*AK73*(1+$E93)^AK$6</f>
        <v>48906.7627707906</v>
      </c>
      <c r="AL93" s="236" t="n">
        <f aca="false">$D93*AL73*(1+$E93)^AL$6</f>
        <v>49884.8980262064</v>
      </c>
    </row>
    <row r="94" customFormat="false" ht="15" hidden="false" customHeight="false" outlineLevel="1" collapsed="false">
      <c r="C94" s="383" t="str">
        <f aca="false">C74</f>
        <v>Drivers</v>
      </c>
      <c r="D94" s="385" t="n">
        <f aca="false">'3. Assumptions'!D346</f>
        <v>2500</v>
      </c>
      <c r="E94" s="386" t="n">
        <f aca="false">IF('1. Project Summary'!$F$13="Real",0,'3. Assumptions'!E346)</f>
        <v>0.02</v>
      </c>
      <c r="G94" s="30" t="s">
        <v>112</v>
      </c>
      <c r="H94" s="236" t="n">
        <f aca="false">$D94*H74*(1+$E94)^H$6</f>
        <v>0</v>
      </c>
      <c r="I94" s="236" t="n">
        <f aca="false">$D94*I74*(1+$E94)^I$6</f>
        <v>10404</v>
      </c>
      <c r="J94" s="236" t="n">
        <f aca="false">$D94*J74*(1+$E94)^J$6</f>
        <v>21224.16</v>
      </c>
      <c r="K94" s="236" t="n">
        <f aca="false">$D94*K74*(1+$E94)^K$6</f>
        <v>32472.9648</v>
      </c>
      <c r="L94" s="236" t="n">
        <f aca="false">$D94*L74*(1+$E94)^L$6</f>
        <v>44163.232128</v>
      </c>
      <c r="M94" s="236" t="n">
        <f aca="false">$D94*M74*(1+$E94)^M$6</f>
        <v>56308.1209632</v>
      </c>
      <c r="N94" s="236" t="n">
        <f aca="false">$D94*N74*(1+$E94)^N$6</f>
        <v>68921.1400589568</v>
      </c>
      <c r="O94" s="236" t="n">
        <f aca="false">$D94*O74*(1+$E94)^O$6</f>
        <v>82016.1566701586</v>
      </c>
      <c r="P94" s="236" t="n">
        <f aca="false">$D94*P74*(1+$E94)^P$6</f>
        <v>95607.4054897849</v>
      </c>
      <c r="Q94" s="236" t="n">
        <f aca="false">$D94*Q74*(1+$E94)^Q$6</f>
        <v>109709.497799528</v>
      </c>
      <c r="R94" s="236" t="n">
        <f aca="false">$D94*R74*(1+$E94)^R$6</f>
        <v>111903.687755519</v>
      </c>
      <c r="S94" s="236" t="n">
        <f aca="false">$D94*S74*(1+$E94)^S$6</f>
        <v>114141.761510629</v>
      </c>
      <c r="T94" s="236" t="n">
        <f aca="false">$D94*T74*(1+$E94)^T$6</f>
        <v>116424.596740842</v>
      </c>
      <c r="U94" s="236" t="n">
        <f aca="false">$D94*U74*(1+$E94)^U$6</f>
        <v>118753.088675659</v>
      </c>
      <c r="V94" s="236" t="n">
        <f aca="false">$D94*V74*(1+$E94)^V$6</f>
        <v>121128.150449172</v>
      </c>
      <c r="W94" s="236" t="n">
        <f aca="false">$D94*W74*(1+$E94)^W$6</f>
        <v>123550.713458155</v>
      </c>
      <c r="X94" s="236" t="n">
        <f aca="false">$D94*X74*(1+$E94)^X$6</f>
        <v>126021.727727318</v>
      </c>
      <c r="Y94" s="236" t="n">
        <f aca="false">$D94*Y74*(1+$E94)^Y$6</f>
        <v>128542.162281865</v>
      </c>
      <c r="Z94" s="236" t="n">
        <f aca="false">$D94*Z74*(1+$E94)^Z$6</f>
        <v>131113.005527502</v>
      </c>
      <c r="AA94" s="236" t="n">
        <f aca="false">$D94*AA74*(1+$E94)^AA$6</f>
        <v>133735.265638052</v>
      </c>
      <c r="AB94" s="236" t="n">
        <f aca="false">$D94*AB74*(1+$E94)^AB$6</f>
        <v>136409.970950813</v>
      </c>
      <c r="AC94" s="236" t="n">
        <f aca="false">$D94*AC74*(1+$E94)^AC$6</f>
        <v>139138.170369829</v>
      </c>
      <c r="AD94" s="236" t="n">
        <f aca="false">$D94*AD74*(1+$E94)^AD$6</f>
        <v>141920.933777226</v>
      </c>
      <c r="AE94" s="236" t="n">
        <f aca="false">$D94*AE74*(1+$E94)^AE$6</f>
        <v>144759.35245277</v>
      </c>
      <c r="AF94" s="236" t="n">
        <f aca="false">$D94*AF74*(1+$E94)^AF$6</f>
        <v>147654.539501826</v>
      </c>
      <c r="AG94" s="236" t="n">
        <f aca="false">$D94*AG74*(1+$E94)^AG$6</f>
        <v>150607.630291862</v>
      </c>
      <c r="AH94" s="236" t="n">
        <f aca="false">$D94*AH74*(1+$E94)^AH$6</f>
        <v>153619.7828977</v>
      </c>
      <c r="AI94" s="236" t="n">
        <f aca="false">$D94*AI74*(1+$E94)^AI$6</f>
        <v>156692.178555654</v>
      </c>
      <c r="AJ94" s="236" t="n">
        <f aca="false">$D94*AJ74*(1+$E94)^AJ$6</f>
        <v>159826.022126767</v>
      </c>
      <c r="AK94" s="236" t="n">
        <f aca="false">$D94*AK74*(1+$E94)^AK$6</f>
        <v>163022.542569302</v>
      </c>
      <c r="AL94" s="236" t="n">
        <f aca="false">$D94*AL74*(1+$E94)^AL$6</f>
        <v>166282.993420688</v>
      </c>
    </row>
    <row r="95" customFormat="false" ht="15" hidden="false" customHeight="false" outlineLevel="1" collapsed="false">
      <c r="C95" s="383" t="str">
        <f aca="false">C75</f>
        <v>Maintenance Personnel</v>
      </c>
      <c r="D95" s="385" t="n">
        <f aca="false">'3. Assumptions'!D347</f>
        <v>1500</v>
      </c>
      <c r="E95" s="386" t="n">
        <f aca="false">IF('1. Project Summary'!$F$13="Real",0,'3. Assumptions'!E347)</f>
        <v>0.02</v>
      </c>
      <c r="G95" s="30" t="s">
        <v>112</v>
      </c>
      <c r="H95" s="236" t="n">
        <f aca="false">$D95*H75*(1+$E95)^H$6</f>
        <v>1530</v>
      </c>
      <c r="I95" s="236" t="n">
        <f aca="false">$D95*I75*(1+$E95)^I$6</f>
        <v>6242.4</v>
      </c>
      <c r="J95" s="236" t="n">
        <f aca="false">$D95*J75*(1+$E95)^J$6</f>
        <v>12734.496</v>
      </c>
      <c r="K95" s="236" t="n">
        <f aca="false">$D95*K75*(1+$E95)^K$6</f>
        <v>19483.77888</v>
      </c>
      <c r="L95" s="236" t="n">
        <f aca="false">$D95*L75*(1+$E95)^L$6</f>
        <v>26497.9392768</v>
      </c>
      <c r="M95" s="236" t="n">
        <f aca="false">$D95*M75*(1+$E95)^M$6</f>
        <v>33784.87257792</v>
      </c>
      <c r="N95" s="236" t="n">
        <f aca="false">$D95*N75*(1+$E95)^N$6</f>
        <v>41352.6840353741</v>
      </c>
      <c r="O95" s="236" t="n">
        <f aca="false">$D95*O75*(1+$E95)^O$6</f>
        <v>49209.6940020952</v>
      </c>
      <c r="P95" s="236" t="n">
        <f aca="false">$D95*P75*(1+$E95)^P$6</f>
        <v>57364.4432938709</v>
      </c>
      <c r="Q95" s="236" t="n">
        <f aca="false">$D95*Q75*(1+$E95)^Q$6</f>
        <v>65825.6986797169</v>
      </c>
      <c r="R95" s="236" t="n">
        <f aca="false">$D95*R75*(1+$E95)^R$6</f>
        <v>67142.2126533112</v>
      </c>
      <c r="S95" s="236" t="n">
        <f aca="false">$D95*S75*(1+$E95)^S$6</f>
        <v>68485.0569063775</v>
      </c>
      <c r="T95" s="236" t="n">
        <f aca="false">$D95*T75*(1+$E95)^T$6</f>
        <v>69854.758044505</v>
      </c>
      <c r="U95" s="236" t="n">
        <f aca="false">$D95*U75*(1+$E95)^U$6</f>
        <v>71251.8532053951</v>
      </c>
      <c r="V95" s="236" t="n">
        <f aca="false">$D95*V75*(1+$E95)^V$6</f>
        <v>72676.890269503</v>
      </c>
      <c r="W95" s="236" t="n">
        <f aca="false">$D95*W75*(1+$E95)^W$6</f>
        <v>74130.4280748931</v>
      </c>
      <c r="X95" s="236" t="n">
        <f aca="false">$D95*X75*(1+$E95)^X$6</f>
        <v>75613.0366363909</v>
      </c>
      <c r="Y95" s="236" t="n">
        <f aca="false">$D95*Y75*(1+$E95)^Y$6</f>
        <v>77125.2973691188</v>
      </c>
      <c r="Z95" s="236" t="n">
        <f aca="false">$D95*Z75*(1+$E95)^Z$6</f>
        <v>78667.8033165011</v>
      </c>
      <c r="AA95" s="236" t="n">
        <f aca="false">$D95*AA75*(1+$E95)^AA$6</f>
        <v>80241.1593828312</v>
      </c>
      <c r="AB95" s="236" t="n">
        <f aca="false">$D95*AB75*(1+$E95)^AB$6</f>
        <v>81845.9825704878</v>
      </c>
      <c r="AC95" s="236" t="n">
        <f aca="false">$D95*AC75*(1+$E95)^AC$6</f>
        <v>83482.9022218975</v>
      </c>
      <c r="AD95" s="236" t="n">
        <f aca="false">$D95*AD75*(1+$E95)^AD$6</f>
        <v>85152.5602663355</v>
      </c>
      <c r="AE95" s="236" t="n">
        <f aca="false">$D95*AE75*(1+$E95)^AE$6</f>
        <v>86855.6114716622</v>
      </c>
      <c r="AF95" s="236" t="n">
        <f aca="false">$D95*AF75*(1+$E95)^AF$6</f>
        <v>88592.7237010955</v>
      </c>
      <c r="AG95" s="236" t="n">
        <f aca="false">$D95*AG75*(1+$E95)^AG$6</f>
        <v>90364.5781751174</v>
      </c>
      <c r="AH95" s="236" t="n">
        <f aca="false">$D95*AH75*(1+$E95)^AH$6</f>
        <v>92171.8697386197</v>
      </c>
      <c r="AI95" s="236" t="n">
        <f aca="false">$D95*AI75*(1+$E95)^AI$6</f>
        <v>94015.3071333921</v>
      </c>
      <c r="AJ95" s="236" t="n">
        <f aca="false">$D95*AJ75*(1+$E95)^AJ$6</f>
        <v>95895.61327606</v>
      </c>
      <c r="AK95" s="236" t="n">
        <f aca="false">$D95*AK75*(1+$E95)^AK$6</f>
        <v>97813.5255415812</v>
      </c>
      <c r="AL95" s="236" t="n">
        <f aca="false">$D95*AL75*(1+$E95)^AL$6</f>
        <v>99769.7960524128</v>
      </c>
    </row>
    <row r="96" customFormat="false" ht="15" hidden="false" customHeight="false" outlineLevel="1" collapsed="false">
      <c r="B96" s="56"/>
      <c r="C96" s="384" t="str">
        <f aca="false">C76</f>
        <v>Security Personnel</v>
      </c>
      <c r="D96" s="385" t="n">
        <f aca="false">'3. Assumptions'!D348</f>
        <v>1500</v>
      </c>
      <c r="E96" s="386" t="n">
        <f aca="false">IF('1. Project Summary'!$F$13="Real",0,'3. Assumptions'!E348)</f>
        <v>0.02</v>
      </c>
      <c r="F96" s="56"/>
      <c r="G96" s="208" t="s">
        <v>112</v>
      </c>
      <c r="H96" s="369" t="n">
        <f aca="false">$D96*H76*(1+$E96)^H$6</f>
        <v>1530</v>
      </c>
      <c r="I96" s="369" t="n">
        <f aca="false">$D96*I76*(1+$E96)^I$6</f>
        <v>6242.4</v>
      </c>
      <c r="J96" s="369" t="n">
        <f aca="false">$D96*J76*(1+$E96)^J$6</f>
        <v>12734.496</v>
      </c>
      <c r="K96" s="369" t="n">
        <f aca="false">$D96*K76*(1+$E96)^K$6</f>
        <v>19483.77888</v>
      </c>
      <c r="L96" s="369" t="n">
        <f aca="false">$D96*L76*(1+$E96)^L$6</f>
        <v>26497.9392768</v>
      </c>
      <c r="M96" s="369" t="n">
        <f aca="false">$D96*M76*(1+$E96)^M$6</f>
        <v>33784.87257792</v>
      </c>
      <c r="N96" s="369" t="n">
        <f aca="false">$D96*N76*(1+$E96)^N$6</f>
        <v>41352.6840353741</v>
      </c>
      <c r="O96" s="369" t="n">
        <f aca="false">$D96*O76*(1+$E96)^O$6</f>
        <v>49209.6940020952</v>
      </c>
      <c r="P96" s="369" t="n">
        <f aca="false">$D96*P76*(1+$E96)^P$6</f>
        <v>57364.4432938709</v>
      </c>
      <c r="Q96" s="369" t="n">
        <f aca="false">$D96*Q76*(1+$E96)^Q$6</f>
        <v>65825.6986797169</v>
      </c>
      <c r="R96" s="369" t="n">
        <f aca="false">$D96*R76*(1+$E96)^R$6</f>
        <v>67142.2126533112</v>
      </c>
      <c r="S96" s="369" t="n">
        <f aca="false">$D96*S76*(1+$E96)^S$6</f>
        <v>68485.0569063775</v>
      </c>
      <c r="T96" s="369" t="n">
        <f aca="false">$D96*T76*(1+$E96)^T$6</f>
        <v>69854.758044505</v>
      </c>
      <c r="U96" s="369" t="n">
        <f aca="false">$D96*U76*(1+$E96)^U$6</f>
        <v>71251.8532053951</v>
      </c>
      <c r="V96" s="369" t="n">
        <f aca="false">$D96*V76*(1+$E96)^V$6</f>
        <v>72676.890269503</v>
      </c>
      <c r="W96" s="369" t="n">
        <f aca="false">$D96*W76*(1+$E96)^W$6</f>
        <v>74130.4280748931</v>
      </c>
      <c r="X96" s="369" t="n">
        <f aca="false">$D96*X76*(1+$E96)^X$6</f>
        <v>75613.0366363909</v>
      </c>
      <c r="Y96" s="369" t="n">
        <f aca="false">$D96*Y76*(1+$E96)^Y$6</f>
        <v>77125.2973691188</v>
      </c>
      <c r="Z96" s="369" t="n">
        <f aca="false">$D96*Z76*(1+$E96)^Z$6</f>
        <v>78667.8033165011</v>
      </c>
      <c r="AA96" s="369" t="n">
        <f aca="false">$D96*AA76*(1+$E96)^AA$6</f>
        <v>80241.1593828312</v>
      </c>
      <c r="AB96" s="369" t="n">
        <f aca="false">$D96*AB76*(1+$E96)^AB$6</f>
        <v>81845.9825704878</v>
      </c>
      <c r="AC96" s="369" t="n">
        <f aca="false">$D96*AC76*(1+$E96)^AC$6</f>
        <v>83482.9022218975</v>
      </c>
      <c r="AD96" s="369" t="n">
        <f aca="false">$D96*AD76*(1+$E96)^AD$6</f>
        <v>85152.5602663355</v>
      </c>
      <c r="AE96" s="369" t="n">
        <f aca="false">$D96*AE76*(1+$E96)^AE$6</f>
        <v>86855.6114716622</v>
      </c>
      <c r="AF96" s="369" t="n">
        <f aca="false">$D96*AF76*(1+$E96)^AF$6</f>
        <v>88592.7237010955</v>
      </c>
      <c r="AG96" s="369" t="n">
        <f aca="false">$D96*AG76*(1+$E96)^AG$6</f>
        <v>90364.5781751174</v>
      </c>
      <c r="AH96" s="369" t="n">
        <f aca="false">$D96*AH76*(1+$E96)^AH$6</f>
        <v>92171.8697386197</v>
      </c>
      <c r="AI96" s="369" t="n">
        <f aca="false">$D96*AI76*(1+$E96)^AI$6</f>
        <v>94015.3071333921</v>
      </c>
      <c r="AJ96" s="369" t="n">
        <f aca="false">$D96*AJ76*(1+$E96)^AJ$6</f>
        <v>95895.61327606</v>
      </c>
      <c r="AK96" s="369" t="n">
        <f aca="false">$D96*AK76*(1+$E96)^AK$6</f>
        <v>97813.5255415812</v>
      </c>
      <c r="AL96" s="369" t="n">
        <f aca="false">$D96*AL76*(1+$E96)^AL$6</f>
        <v>99769.7960524128</v>
      </c>
    </row>
    <row r="97" customFormat="false" ht="15" hidden="false" customHeight="false" outlineLevel="1" collapsed="false">
      <c r="B97" s="13" t="str">
        <f aca="false">"Total "&amp;B58</f>
        <v>Total Salary</v>
      </c>
      <c r="C97" s="370"/>
      <c r="D97" s="30"/>
      <c r="E97" s="387" t="n">
        <f aca="false">AVERAGE(E80:E96)</f>
        <v>0.02</v>
      </c>
      <c r="G97" s="366" t="s">
        <v>112</v>
      </c>
      <c r="H97" s="193" t="n">
        <f aca="false">SUM(H80:H96)</f>
        <v>7140</v>
      </c>
      <c r="I97" s="193" t="n">
        <f aca="false">SUM(I80:I96)</f>
        <v>152938.8</v>
      </c>
      <c r="J97" s="193" t="n">
        <f aca="false">SUM(J80:J96)</f>
        <v>344892.6</v>
      </c>
      <c r="K97" s="193" t="n">
        <f aca="false">SUM(K80:K96)</f>
        <v>506578.25088</v>
      </c>
      <c r="L97" s="193" t="n">
        <f aca="false">SUM(L80:L96)</f>
        <v>685634.1787872</v>
      </c>
      <c r="M97" s="193" t="n">
        <f aca="false">SUM(M80:M96)</f>
        <v>860388.088317696</v>
      </c>
      <c r="N97" s="193" t="n">
        <f aca="false">SUM(N80:N96)</f>
        <v>1047601.32889614</v>
      </c>
      <c r="O97" s="193" t="n">
        <f aca="false">SUM(O80:O96)</f>
        <v>1240787.2844814</v>
      </c>
      <c r="P97" s="193" t="n">
        <f aca="false">SUM(P80:P96)</f>
        <v>1441281.63775851</v>
      </c>
      <c r="Q97" s="193" t="n">
        <f aca="false">SUM(Q80:Q96)</f>
        <v>1649299.45025291</v>
      </c>
      <c r="R97" s="193" t="n">
        <f aca="false">SUM(R80:R96)</f>
        <v>1682285.43925796</v>
      </c>
      <c r="S97" s="193" t="n">
        <f aca="false">SUM(S80:S96)</f>
        <v>1715931.14804312</v>
      </c>
      <c r="T97" s="193" t="n">
        <f aca="false">SUM(T80:T96)</f>
        <v>1750249.77100399</v>
      </c>
      <c r="U97" s="193" t="n">
        <f aca="false">SUM(U80:U96)</f>
        <v>1785254.76642407</v>
      </c>
      <c r="V97" s="193" t="n">
        <f aca="false">SUM(V80:V96)</f>
        <v>1820959.86175255</v>
      </c>
      <c r="W97" s="193" t="n">
        <f aca="false">SUM(W80:W96)</f>
        <v>1857379.0589876</v>
      </c>
      <c r="X97" s="193" t="n">
        <f aca="false">SUM(X80:X96)</f>
        <v>1894526.64016735</v>
      </c>
      <c r="Y97" s="193" t="n">
        <f aca="false">SUM(Y80:Y96)</f>
        <v>1932417.1729707</v>
      </c>
      <c r="Z97" s="193" t="n">
        <f aca="false">SUM(Z80:Z96)</f>
        <v>1971065.51643011</v>
      </c>
      <c r="AA97" s="193" t="n">
        <f aca="false">SUM(AA80:AA96)</f>
        <v>2010486.82675871</v>
      </c>
      <c r="AB97" s="193" t="n">
        <f aca="false">SUM(AB80:AB96)</f>
        <v>2050696.56329389</v>
      </c>
      <c r="AC97" s="193" t="n">
        <f aca="false">SUM(AC80:AC96)</f>
        <v>2091710.49455977</v>
      </c>
      <c r="AD97" s="193" t="n">
        <f aca="false">SUM(AD80:AD96)</f>
        <v>2133544.70445096</v>
      </c>
      <c r="AE97" s="193" t="n">
        <f aca="false">SUM(AE80:AE96)</f>
        <v>2176215.59853998</v>
      </c>
      <c r="AF97" s="193" t="n">
        <f aca="false">SUM(AF80:AF96)</f>
        <v>2219739.91051078</v>
      </c>
      <c r="AG97" s="193" t="n">
        <f aca="false">SUM(AG80:AG96)</f>
        <v>2264134.708721</v>
      </c>
      <c r="AH97" s="193" t="n">
        <f aca="false">SUM(AH80:AH96)</f>
        <v>2309417.40289542</v>
      </c>
      <c r="AI97" s="193" t="n">
        <f aca="false">SUM(AI80:AI96)</f>
        <v>2355605.75095332</v>
      </c>
      <c r="AJ97" s="193" t="n">
        <f aca="false">SUM(AJ80:AJ96)</f>
        <v>2402717.86597239</v>
      </c>
      <c r="AK97" s="193" t="n">
        <f aca="false">SUM(AK80:AK96)</f>
        <v>2450772.22329184</v>
      </c>
      <c r="AL97" s="193" t="n">
        <f aca="false">SUM(AL80:AL96)</f>
        <v>2499787.66775768</v>
      </c>
    </row>
    <row r="98" customFormat="false" ht="15" hidden="false" customHeight="false" outlineLevel="1" collapsed="false"/>
    <row r="99" customFormat="false" ht="15" hidden="false" customHeight="false" outlineLevel="1" collapsed="false">
      <c r="B99" s="388" t="str">
        <f aca="false">'3. Assumptions'!B121</f>
        <v>Rental</v>
      </c>
      <c r="C99" s="382"/>
      <c r="E99" s="185"/>
      <c r="H99" s="202"/>
      <c r="I99" s="202"/>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row>
    <row r="100" customFormat="false" ht="15" hidden="false" customHeight="false" outlineLevel="1" collapsed="false">
      <c r="C100" s="383" t="s">
        <v>605</v>
      </c>
      <c r="D100" s="185" t="s">
        <v>606</v>
      </c>
      <c r="E100" s="185" t="s">
        <v>601</v>
      </c>
      <c r="F100" s="21"/>
      <c r="G100" s="30" t="s">
        <v>356</v>
      </c>
      <c r="H100" s="236" t="n">
        <f aca="false">'3. Assumptions'!G352</f>
        <v>1000</v>
      </c>
      <c r="I100" s="236" t="n">
        <f aca="false">'3. Assumptions'!H352</f>
        <v>1000</v>
      </c>
      <c r="J100" s="236" t="n">
        <f aca="false">'3. Assumptions'!I352</f>
        <v>1500</v>
      </c>
      <c r="K100" s="236" t="n">
        <f aca="false">'3. Assumptions'!J352</f>
        <v>1500</v>
      </c>
      <c r="L100" s="236" t="n">
        <f aca="false">'3. Assumptions'!K352</f>
        <v>1500</v>
      </c>
      <c r="M100" s="236" t="n">
        <f aca="false">'3. Assumptions'!L352</f>
        <v>2000</v>
      </c>
      <c r="N100" s="202" t="n">
        <f aca="false">M100</f>
        <v>2000</v>
      </c>
      <c r="O100" s="236" t="n">
        <f aca="false">N100</f>
        <v>2000</v>
      </c>
      <c r="P100" s="236" t="n">
        <f aca="false">O100</f>
        <v>2000</v>
      </c>
      <c r="Q100" s="236" t="n">
        <f aca="false">P100</f>
        <v>2000</v>
      </c>
      <c r="R100" s="236" t="n">
        <f aca="false">Q100</f>
        <v>2000</v>
      </c>
      <c r="S100" s="236" t="n">
        <f aca="false">R100</f>
        <v>2000</v>
      </c>
      <c r="T100" s="236" t="n">
        <f aca="false">S100</f>
        <v>2000</v>
      </c>
      <c r="U100" s="236" t="n">
        <f aca="false">T100</f>
        <v>2000</v>
      </c>
      <c r="V100" s="236" t="n">
        <f aca="false">U100</f>
        <v>2000</v>
      </c>
      <c r="W100" s="236" t="n">
        <f aca="false">V100</f>
        <v>2000</v>
      </c>
      <c r="X100" s="236" t="n">
        <f aca="false">W100</f>
        <v>2000</v>
      </c>
      <c r="Y100" s="236" t="n">
        <f aca="false">X100</f>
        <v>2000</v>
      </c>
      <c r="Z100" s="236" t="n">
        <f aca="false">Y100</f>
        <v>2000</v>
      </c>
      <c r="AA100" s="236" t="n">
        <f aca="false">Z100</f>
        <v>2000</v>
      </c>
      <c r="AB100" s="236" t="n">
        <f aca="false">AA100</f>
        <v>2000</v>
      </c>
      <c r="AC100" s="236" t="n">
        <f aca="false">AB100</f>
        <v>2000</v>
      </c>
      <c r="AD100" s="236" t="n">
        <f aca="false">AC100</f>
        <v>2000</v>
      </c>
      <c r="AE100" s="236" t="n">
        <f aca="false">AD100</f>
        <v>2000</v>
      </c>
      <c r="AF100" s="236" t="n">
        <f aca="false">AE100</f>
        <v>2000</v>
      </c>
      <c r="AG100" s="236" t="n">
        <f aca="false">AF100</f>
        <v>2000</v>
      </c>
      <c r="AH100" s="236" t="n">
        <f aca="false">AG100</f>
        <v>2000</v>
      </c>
      <c r="AI100" s="236" t="n">
        <f aca="false">AH100</f>
        <v>2000</v>
      </c>
      <c r="AJ100" s="236" t="n">
        <f aca="false">AI100</f>
        <v>2000</v>
      </c>
      <c r="AK100" s="236" t="n">
        <f aca="false">AJ100</f>
        <v>2000</v>
      </c>
      <c r="AL100" s="236" t="n">
        <f aca="false">AK100</f>
        <v>2000</v>
      </c>
      <c r="AN100" s="55"/>
      <c r="AO100" s="55"/>
    </row>
    <row r="101" customFormat="false" ht="15" hidden="false" customHeight="false" outlineLevel="1" collapsed="false">
      <c r="B101" s="56"/>
      <c r="C101" s="384" t="s">
        <v>607</v>
      </c>
      <c r="D101" s="389" t="n">
        <f aca="false">'3. Assumptions'!E353</f>
        <v>10</v>
      </c>
      <c r="E101" s="386" t="n">
        <f aca="false">IF('1. Project Summary'!$F$13="Real",0,'3. Assumptions'!E354)</f>
        <v>0.05</v>
      </c>
      <c r="F101" s="58"/>
      <c r="G101" s="208" t="s">
        <v>112</v>
      </c>
      <c r="H101" s="369" t="n">
        <f aca="false">$D101*H100*(1+$E101)^H$6</f>
        <v>10500</v>
      </c>
      <c r="I101" s="369" t="n">
        <f aca="false">$D101*I100*(1+$E101)^I$6</f>
        <v>11025</v>
      </c>
      <c r="J101" s="369" t="n">
        <f aca="false">$D101*J100*(1+$E101)^J$6</f>
        <v>17364.375</v>
      </c>
      <c r="K101" s="369" t="n">
        <f aca="false">$D101*K100*(1+$E101)^K$6</f>
        <v>18232.59375</v>
      </c>
      <c r="L101" s="369" t="n">
        <f aca="false">$D101*L100*(1+$E101)^L$6</f>
        <v>19144.2234375</v>
      </c>
      <c r="M101" s="369" t="n">
        <f aca="false">$D101*M100*(1+$E101)^M$6</f>
        <v>26801.9128125</v>
      </c>
      <c r="N101" s="369" t="n">
        <f aca="false">$D101*N100*(1+$E101)^N$6</f>
        <v>28142.008453125</v>
      </c>
      <c r="O101" s="369" t="n">
        <f aca="false">$D101*O100*(1+$E101)^O$6</f>
        <v>29549.1088757813</v>
      </c>
      <c r="P101" s="369" t="n">
        <f aca="false">$D101*P100*(1+$E101)^P$6</f>
        <v>31026.5643195703</v>
      </c>
      <c r="Q101" s="369" t="n">
        <f aca="false">$D101*Q100*(1+$E101)^Q$6</f>
        <v>32577.8925355488</v>
      </c>
      <c r="R101" s="369" t="n">
        <f aca="false">$D101*R100*(1+$E101)^R$6</f>
        <v>34206.7871623263</v>
      </c>
      <c r="S101" s="369" t="n">
        <f aca="false">$D101*S100*(1+$E101)^S$6</f>
        <v>35917.1265204426</v>
      </c>
      <c r="T101" s="369" t="n">
        <f aca="false">$D101*T100*(1+$E101)^T$6</f>
        <v>37712.9828464647</v>
      </c>
      <c r="U101" s="369" t="n">
        <f aca="false">$D101*U100*(1+$E101)^U$6</f>
        <v>39598.631988788</v>
      </c>
      <c r="V101" s="369" t="n">
        <f aca="false">$D101*V100*(1+$E101)^V$6</f>
        <v>41578.5635882274</v>
      </c>
      <c r="W101" s="369" t="n">
        <f aca="false">$D101*W100*(1+$E101)^W$6</f>
        <v>43657.4917676387</v>
      </c>
      <c r="X101" s="369" t="n">
        <f aca="false">$D101*X100*(1+$E101)^X$6</f>
        <v>45840.3663560207</v>
      </c>
      <c r="Y101" s="369" t="n">
        <f aca="false">$D101*Y100*(1+$E101)^Y$6</f>
        <v>48132.3846738217</v>
      </c>
      <c r="Z101" s="369" t="n">
        <f aca="false">$D101*Z100*(1+$E101)^Z$6</f>
        <v>50539.0039075128</v>
      </c>
      <c r="AA101" s="369" t="n">
        <f aca="false">$D101*AA100*(1+$E101)^AA$6</f>
        <v>53065.9541028884</v>
      </c>
      <c r="AB101" s="369" t="n">
        <f aca="false">$D101*AB100*(1+$E101)^AB$6</f>
        <v>55719.2518080329</v>
      </c>
      <c r="AC101" s="369" t="n">
        <f aca="false">$D101*AC100*(1+$E101)^AC$6</f>
        <v>58505.2143984345</v>
      </c>
      <c r="AD101" s="369" t="n">
        <f aca="false">$D101*AD100*(1+$E101)^AD$6</f>
        <v>61430.4751183563</v>
      </c>
      <c r="AE101" s="369" t="n">
        <f aca="false">$D101*AE100*(1+$E101)^AE$6</f>
        <v>64501.9988742741</v>
      </c>
      <c r="AF101" s="369" t="n">
        <f aca="false">$D101*AF100*(1+$E101)^AF$6</f>
        <v>67727.0988179878</v>
      </c>
      <c r="AG101" s="369" t="n">
        <f aca="false">$D101*AG100*(1+$E101)^AG$6</f>
        <v>71113.4537588872</v>
      </c>
      <c r="AH101" s="369" t="n">
        <f aca="false">$D101*AH100*(1+$E101)^AH$6</f>
        <v>74669.1264468315</v>
      </c>
      <c r="AI101" s="369" t="n">
        <f aca="false">$D101*AI100*(1+$E101)^AI$6</f>
        <v>78402.5827691731</v>
      </c>
      <c r="AJ101" s="369" t="n">
        <f aca="false">$D101*AJ100*(1+$E101)^AJ$6</f>
        <v>82322.7119076318</v>
      </c>
      <c r="AK101" s="369" t="n">
        <f aca="false">$D101*AK100*(1+$E101)^AK$6</f>
        <v>86438.8475030134</v>
      </c>
      <c r="AL101" s="369" t="n">
        <f aca="false">$D101*AL100*(1+$E101)^AL$6</f>
        <v>90760.789878164</v>
      </c>
      <c r="AN101" s="55"/>
    </row>
    <row r="102" customFormat="false" ht="15" hidden="false" customHeight="false" outlineLevel="1" collapsed="false">
      <c r="B102" s="13" t="str">
        <f aca="false">"Total "&amp;B99</f>
        <v>Total Rental</v>
      </c>
      <c r="C102" s="370"/>
      <c r="D102" s="30"/>
      <c r="E102" s="193"/>
      <c r="F102" s="193"/>
      <c r="G102" s="366" t="s">
        <v>112</v>
      </c>
      <c r="H102" s="193" t="n">
        <f aca="false">H101</f>
        <v>10500</v>
      </c>
      <c r="I102" s="193" t="n">
        <f aca="false">I101</f>
        <v>11025</v>
      </c>
      <c r="J102" s="193" t="n">
        <f aca="false">J101</f>
        <v>17364.375</v>
      </c>
      <c r="K102" s="193" t="n">
        <f aca="false">K101</f>
        <v>18232.59375</v>
      </c>
      <c r="L102" s="193" t="n">
        <f aca="false">L101</f>
        <v>19144.2234375</v>
      </c>
      <c r="M102" s="193" t="n">
        <f aca="false">M101</f>
        <v>26801.9128125</v>
      </c>
      <c r="N102" s="193" t="n">
        <f aca="false">N101</f>
        <v>28142.008453125</v>
      </c>
      <c r="O102" s="193" t="n">
        <f aca="false">O101</f>
        <v>29549.1088757813</v>
      </c>
      <c r="P102" s="193" t="n">
        <f aca="false">P101</f>
        <v>31026.5643195703</v>
      </c>
      <c r="Q102" s="193" t="n">
        <f aca="false">Q101</f>
        <v>32577.8925355488</v>
      </c>
      <c r="R102" s="193" t="n">
        <f aca="false">R101</f>
        <v>34206.7871623263</v>
      </c>
      <c r="S102" s="193" t="n">
        <f aca="false">S101</f>
        <v>35917.1265204426</v>
      </c>
      <c r="T102" s="193" t="n">
        <f aca="false">T101</f>
        <v>37712.9828464647</v>
      </c>
      <c r="U102" s="193" t="n">
        <f aca="false">U101</f>
        <v>39598.631988788</v>
      </c>
      <c r="V102" s="193" t="n">
        <f aca="false">V101</f>
        <v>41578.5635882274</v>
      </c>
      <c r="W102" s="193" t="n">
        <f aca="false">W101</f>
        <v>43657.4917676387</v>
      </c>
      <c r="X102" s="193" t="n">
        <f aca="false">X101</f>
        <v>45840.3663560207</v>
      </c>
      <c r="Y102" s="193" t="n">
        <f aca="false">Y101</f>
        <v>48132.3846738217</v>
      </c>
      <c r="Z102" s="193" t="n">
        <f aca="false">Z101</f>
        <v>50539.0039075128</v>
      </c>
      <c r="AA102" s="193" t="n">
        <f aca="false">AA101</f>
        <v>53065.9541028884</v>
      </c>
      <c r="AB102" s="193" t="n">
        <f aca="false">AB101</f>
        <v>55719.2518080329</v>
      </c>
      <c r="AC102" s="193" t="n">
        <f aca="false">AC101</f>
        <v>58505.2143984345</v>
      </c>
      <c r="AD102" s="193" t="n">
        <f aca="false">AD101</f>
        <v>61430.4751183563</v>
      </c>
      <c r="AE102" s="193" t="n">
        <f aca="false">AE101</f>
        <v>64501.9988742741</v>
      </c>
      <c r="AF102" s="193" t="n">
        <f aca="false">AF101</f>
        <v>67727.0988179878</v>
      </c>
      <c r="AG102" s="193" t="n">
        <f aca="false">AG101</f>
        <v>71113.4537588872</v>
      </c>
      <c r="AH102" s="193" t="n">
        <f aca="false">AH101</f>
        <v>74669.1264468315</v>
      </c>
      <c r="AI102" s="193" t="n">
        <f aca="false">AI101</f>
        <v>78402.5827691731</v>
      </c>
      <c r="AJ102" s="193" t="n">
        <f aca="false">AJ101</f>
        <v>82322.7119076318</v>
      </c>
      <c r="AK102" s="193" t="n">
        <f aca="false">AK101</f>
        <v>86438.8475030134</v>
      </c>
      <c r="AL102" s="193" t="n">
        <f aca="false">AL101</f>
        <v>90760.789878164</v>
      </c>
      <c r="AN102" s="55"/>
    </row>
    <row r="103" customFormat="false" ht="15" hidden="false" customHeight="false" outlineLevel="1" collapsed="false">
      <c r="C103" s="370"/>
      <c r="D103" s="30"/>
      <c r="E103" s="193"/>
      <c r="H103" s="193"/>
      <c r="I103" s="193"/>
      <c r="J103" s="193"/>
      <c r="K103" s="193"/>
      <c r="L103" s="193"/>
      <c r="M103" s="193"/>
      <c r="N103" s="193"/>
      <c r="O103" s="193"/>
      <c r="P103" s="193"/>
      <c r="Q103" s="193"/>
      <c r="R103" s="193"/>
      <c r="S103" s="193"/>
      <c r="T103" s="193"/>
      <c r="U103" s="193"/>
      <c r="V103" s="193"/>
      <c r="W103" s="193"/>
      <c r="X103" s="193"/>
      <c r="Y103" s="193"/>
      <c r="Z103" s="193"/>
      <c r="AA103" s="193"/>
      <c r="AB103" s="193"/>
      <c r="AC103" s="193"/>
      <c r="AD103" s="193"/>
      <c r="AE103" s="193"/>
      <c r="AF103" s="193"/>
      <c r="AG103" s="193"/>
      <c r="AH103" s="193"/>
      <c r="AI103" s="193"/>
      <c r="AJ103" s="193"/>
      <c r="AK103" s="193"/>
      <c r="AL103" s="193"/>
    </row>
    <row r="104" customFormat="false" ht="15" hidden="false" customHeight="false" outlineLevel="1" collapsed="false">
      <c r="B104" s="388" t="str">
        <f aca="false">'3. Assumptions'!B126</f>
        <v>Utilities</v>
      </c>
      <c r="C104" s="382"/>
      <c r="E104" s="185" t="s">
        <v>632</v>
      </c>
      <c r="H104" s="202"/>
      <c r="I104" s="202"/>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row>
    <row r="105" customFormat="false" ht="15" hidden="false" customHeight="false" outlineLevel="1" collapsed="false">
      <c r="B105" s="56"/>
      <c r="C105" s="384" t="s">
        <v>361</v>
      </c>
      <c r="D105" s="56"/>
      <c r="E105" s="408" t="n">
        <f aca="false">'3. Assumptions'!E356</f>
        <v>5000</v>
      </c>
      <c r="F105" s="407"/>
      <c r="G105" s="208" t="s">
        <v>112</v>
      </c>
      <c r="H105" s="369" t="n">
        <f aca="false">E105*H8</f>
        <v>5100</v>
      </c>
      <c r="I105" s="369" t="n">
        <f aca="false">(H105+'3. Assumptions'!$E$357)*(1+$E$8)</f>
        <v>7242</v>
      </c>
      <c r="J105" s="369" t="n">
        <f aca="false">(I105+'3. Assumptions'!$E$357)*(1+$E$8)</f>
        <v>9426.84</v>
      </c>
      <c r="K105" s="369" t="n">
        <f aca="false">(J105+'3. Assumptions'!$E$357)*(1+$E$8)</f>
        <v>11655.3768</v>
      </c>
      <c r="L105" s="369" t="n">
        <f aca="false">(K105+'3. Assumptions'!$E$357)*(1+$E$8)</f>
        <v>13928.484336</v>
      </c>
      <c r="M105" s="369" t="n">
        <f aca="false">(L105+'3. Assumptions'!$E$357)*(1+$E$8)</f>
        <v>16247.05402272</v>
      </c>
      <c r="N105" s="369" t="n">
        <f aca="false">(M105+'3. Assumptions'!$E$357)*(1+$E$8)</f>
        <v>18611.9951031744</v>
      </c>
      <c r="O105" s="369" t="n">
        <f aca="false">(N105+'3. Assumptions'!$E$357)*(1+$E$8)</f>
        <v>21024.2350052379</v>
      </c>
      <c r="P105" s="369" t="n">
        <f aca="false">(O105+'3. Assumptions'!$E$357)*(1+$E$8)</f>
        <v>23484.7197053426</v>
      </c>
      <c r="Q105" s="369" t="n">
        <f aca="false">(P105+'3. Assumptions'!$E$357)*(1+$E$8)</f>
        <v>25994.4140994495</v>
      </c>
      <c r="R105" s="369" t="n">
        <f aca="false">(Q105+'3. Assumptions'!$E$357)*(1+$E$8)</f>
        <v>28554.3023814385</v>
      </c>
      <c r="S105" s="380" t="n">
        <f aca="false">(R105)*(1+$E$8)</f>
        <v>29125.3884290673</v>
      </c>
      <c r="T105" s="369" t="n">
        <f aca="false">(S105)*(1+$E$8)</f>
        <v>29707.8961976486</v>
      </c>
      <c r="U105" s="369" t="n">
        <f aca="false">(T105)*(1+$E$8)</f>
        <v>30302.0541216016</v>
      </c>
      <c r="V105" s="369" t="n">
        <f aca="false">(U105)*(1+$E$8)</f>
        <v>30908.0952040336</v>
      </c>
      <c r="W105" s="369" t="n">
        <f aca="false">(V105)*(1+$E$8)</f>
        <v>31526.2571081143</v>
      </c>
      <c r="X105" s="369" t="n">
        <f aca="false">(W105)*(1+$E$8)</f>
        <v>32156.7822502766</v>
      </c>
      <c r="Y105" s="369" t="n">
        <f aca="false">(X105)*(1+$E$8)</f>
        <v>32799.9178952821</v>
      </c>
      <c r="Z105" s="369" t="n">
        <f aca="false">(Y105)*(1+$E$8)</f>
        <v>33455.9162531877</v>
      </c>
      <c r="AA105" s="369" t="n">
        <f aca="false">(Z105)*(1+$E$8)</f>
        <v>34125.0345782515</v>
      </c>
      <c r="AB105" s="369" t="n">
        <f aca="false">(AA105)*(1+$E$8)</f>
        <v>34807.5352698165</v>
      </c>
      <c r="AC105" s="369" t="n">
        <f aca="false">(AB105)*(1+$E$8)</f>
        <v>35503.6859752129</v>
      </c>
      <c r="AD105" s="369" t="n">
        <f aca="false">(AC105)*(1+$E$8)</f>
        <v>36213.7596947171</v>
      </c>
      <c r="AE105" s="369" t="n">
        <f aca="false">(AD105)*(1+$E$8)</f>
        <v>36938.0348886115</v>
      </c>
      <c r="AF105" s="369" t="n">
        <f aca="false">(AE105)*(1+$E$8)</f>
        <v>37676.7955863837</v>
      </c>
      <c r="AG105" s="369" t="n">
        <f aca="false">(AF105)*(1+$E$8)</f>
        <v>38430.3314981114</v>
      </c>
      <c r="AH105" s="369" t="n">
        <f aca="false">(AG105)*(1+$E$8)</f>
        <v>39198.9381280736</v>
      </c>
      <c r="AI105" s="369" t="n">
        <f aca="false">(AH105)*(1+$E$8)</f>
        <v>39982.9168906351</v>
      </c>
      <c r="AJ105" s="369" t="n">
        <f aca="false">(AI105)*(1+$E$8)</f>
        <v>40782.5752284478</v>
      </c>
      <c r="AK105" s="369" t="n">
        <f aca="false">(AJ105)*(1+$E$8)</f>
        <v>41598.2267330167</v>
      </c>
      <c r="AL105" s="369" t="n">
        <f aca="false">(AK105)*(1+$E$8)</f>
        <v>42430.1912676771</v>
      </c>
    </row>
    <row r="106" customFormat="false" ht="15" hidden="false" customHeight="false" outlineLevel="1" collapsed="false">
      <c r="B106" s="13" t="str">
        <f aca="false">"Total "&amp;B104</f>
        <v>Total Utilities</v>
      </c>
      <c r="C106" s="370"/>
      <c r="D106" s="30"/>
      <c r="E106" s="193"/>
      <c r="F106" s="193"/>
      <c r="G106" s="366" t="s">
        <v>112</v>
      </c>
      <c r="H106" s="193" t="n">
        <f aca="false">SUM(H105:H105)</f>
        <v>5100</v>
      </c>
      <c r="I106" s="193" t="n">
        <f aca="false">SUM(I105:I105)</f>
        <v>7242</v>
      </c>
      <c r="J106" s="193" t="n">
        <f aca="false">SUM(J105:J105)</f>
        <v>9426.84</v>
      </c>
      <c r="K106" s="193" t="n">
        <f aca="false">SUM(K105:K105)</f>
        <v>11655.3768</v>
      </c>
      <c r="L106" s="193" t="n">
        <f aca="false">SUM(L105:L105)</f>
        <v>13928.484336</v>
      </c>
      <c r="M106" s="193" t="n">
        <f aca="false">SUM(M105:M105)</f>
        <v>16247.05402272</v>
      </c>
      <c r="N106" s="193" t="n">
        <f aca="false">SUM(N105:N105)</f>
        <v>18611.9951031744</v>
      </c>
      <c r="O106" s="193" t="n">
        <f aca="false">SUM(O105:O105)</f>
        <v>21024.2350052379</v>
      </c>
      <c r="P106" s="193" t="n">
        <f aca="false">SUM(P105:P105)</f>
        <v>23484.7197053426</v>
      </c>
      <c r="Q106" s="193" t="n">
        <f aca="false">SUM(Q105:Q105)</f>
        <v>25994.4140994495</v>
      </c>
      <c r="R106" s="193" t="n">
        <f aca="false">SUM(R105:R105)</f>
        <v>28554.3023814385</v>
      </c>
      <c r="S106" s="193" t="n">
        <f aca="false">SUM(S105:S105)</f>
        <v>29125.3884290673</v>
      </c>
      <c r="T106" s="193" t="n">
        <f aca="false">SUM(T105:T105)</f>
        <v>29707.8961976486</v>
      </c>
      <c r="U106" s="193" t="n">
        <f aca="false">SUM(U105:U105)</f>
        <v>30302.0541216016</v>
      </c>
      <c r="V106" s="193" t="n">
        <f aca="false">SUM(V105:V105)</f>
        <v>30908.0952040336</v>
      </c>
      <c r="W106" s="193" t="n">
        <f aca="false">SUM(W105:W105)</f>
        <v>31526.2571081143</v>
      </c>
      <c r="X106" s="193" t="n">
        <f aca="false">SUM(X105:X105)</f>
        <v>32156.7822502766</v>
      </c>
      <c r="Y106" s="193" t="n">
        <f aca="false">SUM(Y105:Y105)</f>
        <v>32799.9178952821</v>
      </c>
      <c r="Z106" s="193" t="n">
        <f aca="false">SUM(Z105:Z105)</f>
        <v>33455.9162531877</v>
      </c>
      <c r="AA106" s="193" t="n">
        <f aca="false">SUM(AA105:AA105)</f>
        <v>34125.0345782515</v>
      </c>
      <c r="AB106" s="193" t="n">
        <f aca="false">SUM(AB105:AB105)</f>
        <v>34807.5352698165</v>
      </c>
      <c r="AC106" s="193" t="n">
        <f aca="false">SUM(AC105:AC105)</f>
        <v>35503.6859752129</v>
      </c>
      <c r="AD106" s="193" t="n">
        <f aca="false">SUM(AD105:AD105)</f>
        <v>36213.7596947171</v>
      </c>
      <c r="AE106" s="193" t="n">
        <f aca="false">SUM(AE105:AE105)</f>
        <v>36938.0348886115</v>
      </c>
      <c r="AF106" s="193" t="n">
        <f aca="false">SUM(AF105:AF105)</f>
        <v>37676.7955863837</v>
      </c>
      <c r="AG106" s="193" t="n">
        <f aca="false">SUM(AG105:AG105)</f>
        <v>38430.3314981114</v>
      </c>
      <c r="AH106" s="193" t="n">
        <f aca="false">SUM(AH105:AH105)</f>
        <v>39198.9381280736</v>
      </c>
      <c r="AI106" s="193" t="n">
        <f aca="false">SUM(AI105:AI105)</f>
        <v>39982.9168906351</v>
      </c>
      <c r="AJ106" s="193" t="n">
        <f aca="false">SUM(AJ105:AJ105)</f>
        <v>40782.5752284478</v>
      </c>
      <c r="AK106" s="193" t="n">
        <f aca="false">SUM(AK105:AK105)</f>
        <v>41598.2267330167</v>
      </c>
      <c r="AL106" s="193" t="n">
        <f aca="false">SUM(AL105:AL105)</f>
        <v>42430.1912676771</v>
      </c>
    </row>
    <row r="107" customFormat="false" ht="15" hidden="false" customHeight="false" outlineLevel="1" collapsed="false">
      <c r="C107" s="370"/>
      <c r="D107" s="30"/>
      <c r="E107" s="193"/>
      <c r="H107" s="193"/>
      <c r="I107" s="193"/>
      <c r="J107" s="193"/>
      <c r="K107" s="193"/>
      <c r="L107" s="193"/>
      <c r="M107" s="193"/>
      <c r="N107" s="193"/>
      <c r="O107" s="193"/>
      <c r="P107" s="193"/>
      <c r="Q107" s="193"/>
      <c r="R107" s="193"/>
      <c r="S107" s="193"/>
      <c r="T107" s="193"/>
      <c r="U107" s="193"/>
      <c r="V107" s="193"/>
      <c r="W107" s="193"/>
      <c r="X107" s="193"/>
      <c r="Y107" s="193"/>
      <c r="Z107" s="193"/>
      <c r="AA107" s="193"/>
      <c r="AB107" s="193"/>
      <c r="AC107" s="193"/>
      <c r="AD107" s="193"/>
      <c r="AE107" s="193"/>
      <c r="AF107" s="193"/>
      <c r="AG107" s="193"/>
      <c r="AH107" s="193"/>
      <c r="AI107" s="193"/>
      <c r="AJ107" s="193"/>
      <c r="AK107" s="193"/>
      <c r="AL107" s="193"/>
    </row>
    <row r="108" customFormat="false" ht="15" hidden="false" customHeight="false" outlineLevel="1" collapsed="false">
      <c r="B108" s="388" t="s">
        <v>364</v>
      </c>
      <c r="C108" s="303"/>
      <c r="E108" s="185" t="s">
        <v>633</v>
      </c>
      <c r="H108" s="202"/>
      <c r="I108" s="202"/>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row>
    <row r="109" customFormat="false" ht="15" hidden="false" customHeight="false" outlineLevel="1" collapsed="false">
      <c r="C109" s="383" t="str">
        <f aca="false">'3. Assumptions'!C360</f>
        <v>Multi-Function Center</v>
      </c>
      <c r="E109" s="408" t="n">
        <f aca="false">'3. Assumptions'!E360</f>
        <v>5000</v>
      </c>
      <c r="G109" s="30" t="s">
        <v>112</v>
      </c>
      <c r="H109" s="236" t="n">
        <f aca="false">$E109*H39*H$8</f>
        <v>0</v>
      </c>
      <c r="I109" s="236" t="n">
        <f aca="false">$E109*I39*I8</f>
        <v>10404</v>
      </c>
      <c r="J109" s="236" t="n">
        <f aca="false">$E109*J39*J8</f>
        <v>21224.16</v>
      </c>
      <c r="K109" s="236" t="n">
        <f aca="false">$E109*K39*K8</f>
        <v>32472.9648</v>
      </c>
      <c r="L109" s="236" t="n">
        <f aca="false">$E109*L39*L8</f>
        <v>44163.232128</v>
      </c>
      <c r="M109" s="236" t="n">
        <f aca="false">$E109*M39*M8</f>
        <v>56308.1209632</v>
      </c>
      <c r="N109" s="236" t="n">
        <f aca="false">$E109*N39*N8</f>
        <v>68921.1400589568</v>
      </c>
      <c r="O109" s="236" t="n">
        <f aca="false">$E109*O39*O8</f>
        <v>82016.1566701586</v>
      </c>
      <c r="P109" s="236" t="n">
        <f aca="false">$E109*P39*P8</f>
        <v>95607.4054897849</v>
      </c>
      <c r="Q109" s="236" t="n">
        <f aca="false">$E109*Q39*Q8</f>
        <v>109709.497799528</v>
      </c>
      <c r="R109" s="236" t="n">
        <f aca="false">$E109*R39*R8</f>
        <v>111903.687755519</v>
      </c>
      <c r="S109" s="236" t="n">
        <f aca="false">$E109*S39*S8</f>
        <v>114141.761510629</v>
      </c>
      <c r="T109" s="236" t="n">
        <f aca="false">$E109*T39*T8</f>
        <v>116424.596740842</v>
      </c>
      <c r="U109" s="236" t="n">
        <f aca="false">$E109*U39*U8</f>
        <v>118753.088675659</v>
      </c>
      <c r="V109" s="236" t="n">
        <f aca="false">$E109*V39*V8</f>
        <v>121128.150449172</v>
      </c>
      <c r="W109" s="236" t="n">
        <f aca="false">$E109*W39*W8</f>
        <v>123550.713458155</v>
      </c>
      <c r="X109" s="236" t="n">
        <f aca="false">$E109*X39*X8</f>
        <v>126021.727727318</v>
      </c>
      <c r="Y109" s="236" t="n">
        <f aca="false">$E109*Y39*Y8</f>
        <v>128542.162281865</v>
      </c>
      <c r="Z109" s="236" t="n">
        <f aca="false">$E109*Z39*Z8</f>
        <v>131113.005527502</v>
      </c>
      <c r="AA109" s="236" t="n">
        <f aca="false">$E109*AA39*AA8</f>
        <v>133735.265638052</v>
      </c>
      <c r="AB109" s="236" t="n">
        <f aca="false">$E109*AB39*AB8</f>
        <v>136409.970950813</v>
      </c>
      <c r="AC109" s="236" t="n">
        <f aca="false">$E109*AC39*AC8</f>
        <v>139138.170369829</v>
      </c>
      <c r="AD109" s="236" t="n">
        <f aca="false">$E109*AD39*AD8</f>
        <v>141920.933777226</v>
      </c>
      <c r="AE109" s="236" t="n">
        <f aca="false">$E109*AE39*AE8</f>
        <v>144759.35245277</v>
      </c>
      <c r="AF109" s="236" t="n">
        <f aca="false">$E109*AF39*AF8</f>
        <v>147654.539501826</v>
      </c>
      <c r="AG109" s="236" t="n">
        <f aca="false">$E109*AG39*AG8</f>
        <v>150607.630291862</v>
      </c>
      <c r="AH109" s="236" t="n">
        <f aca="false">$E109*AH39*AH8</f>
        <v>153619.7828977</v>
      </c>
      <c r="AI109" s="236" t="n">
        <f aca="false">$E109*AI39*AI8</f>
        <v>156692.178555654</v>
      </c>
      <c r="AJ109" s="236" t="n">
        <f aca="false">$E109*AJ39*AJ8</f>
        <v>159826.022126767</v>
      </c>
      <c r="AK109" s="236" t="n">
        <f aca="false">$E109*AK39*AK8</f>
        <v>163022.542569302</v>
      </c>
      <c r="AL109" s="236" t="n">
        <f aca="false">$E109*AL39*AL8</f>
        <v>166282.993420688</v>
      </c>
    </row>
    <row r="110" customFormat="false" ht="15" hidden="false" customHeight="false" outlineLevel="1" collapsed="false">
      <c r="C110" s="383" t="str">
        <f aca="false">'3. Assumptions'!C361</f>
        <v>Shea Collection Center</v>
      </c>
      <c r="E110" s="408" t="n">
        <f aca="false">'3. Assumptions'!E361</f>
        <v>5000</v>
      </c>
      <c r="G110" s="30" t="s">
        <v>112</v>
      </c>
      <c r="H110" s="236" t="n">
        <f aca="false">$E110*H40*H$8</f>
        <v>0</v>
      </c>
      <c r="I110" s="236" t="n">
        <f aca="false">$E110*I40*I$8</f>
        <v>0</v>
      </c>
      <c r="J110" s="236" t="n">
        <f aca="false">$E110*J40*J$8</f>
        <v>0</v>
      </c>
      <c r="K110" s="236" t="n">
        <f aca="false">$E110*K40*K$8</f>
        <v>0</v>
      </c>
      <c r="L110" s="236" t="n">
        <f aca="false">$E110*L40*L$8</f>
        <v>0</v>
      </c>
      <c r="M110" s="236" t="n">
        <f aca="false">$E110*M40*M$8</f>
        <v>0</v>
      </c>
      <c r="N110" s="236" t="n">
        <f aca="false">$E110*N40*N$8</f>
        <v>0</v>
      </c>
      <c r="O110" s="236" t="n">
        <f aca="false">$E110*O40*O$8</f>
        <v>0</v>
      </c>
      <c r="P110" s="236" t="n">
        <f aca="false">$E110*P40*P$8</f>
        <v>0</v>
      </c>
      <c r="Q110" s="236" t="n">
        <f aca="false">$E110*Q40*Q$8</f>
        <v>0</v>
      </c>
      <c r="R110" s="236" t="n">
        <f aca="false">$E110*R40*R$8</f>
        <v>0</v>
      </c>
      <c r="S110" s="236" t="n">
        <f aca="false">$E110*S40*S$8</f>
        <v>0</v>
      </c>
      <c r="T110" s="236" t="n">
        <f aca="false">$E110*T40*T$8</f>
        <v>0</v>
      </c>
      <c r="U110" s="236" t="n">
        <f aca="false">$E110*U40*U$8</f>
        <v>0</v>
      </c>
      <c r="V110" s="236" t="n">
        <f aca="false">$E110*V40*V$8</f>
        <v>0</v>
      </c>
      <c r="W110" s="236" t="n">
        <f aca="false">$E110*W40*W$8</f>
        <v>0</v>
      </c>
      <c r="X110" s="236" t="n">
        <f aca="false">$E110*X40*X$8</f>
        <v>0</v>
      </c>
      <c r="Y110" s="236" t="n">
        <f aca="false">$E110*Y40*Y$8</f>
        <v>0</v>
      </c>
      <c r="Z110" s="236" t="n">
        <f aca="false">$E110*Z40*Z$8</f>
        <v>0</v>
      </c>
      <c r="AA110" s="236" t="n">
        <f aca="false">$E110*AA40*AA$8</f>
        <v>0</v>
      </c>
      <c r="AB110" s="236" t="n">
        <f aca="false">$E110*AB40*AB$8</f>
        <v>0</v>
      </c>
      <c r="AC110" s="236" t="n">
        <f aca="false">$E110*AC40*AC$8</f>
        <v>0</v>
      </c>
      <c r="AD110" s="236" t="n">
        <f aca="false">$E110*AD40*AD$8</f>
        <v>0</v>
      </c>
      <c r="AE110" s="236" t="n">
        <f aca="false">$E110*AE40*AE$8</f>
        <v>0</v>
      </c>
      <c r="AF110" s="236" t="n">
        <f aca="false">$E110*AF40*AF$8</f>
        <v>0</v>
      </c>
      <c r="AG110" s="236" t="n">
        <f aca="false">$E110*AG40*AG$8</f>
        <v>0</v>
      </c>
      <c r="AH110" s="236" t="n">
        <f aca="false">$E110*AH40*AH$8</f>
        <v>0</v>
      </c>
      <c r="AI110" s="236" t="n">
        <f aca="false">$E110*AI40*AI$8</f>
        <v>0</v>
      </c>
      <c r="AJ110" s="236" t="n">
        <f aca="false">$E110*AJ40*AJ$8</f>
        <v>0</v>
      </c>
      <c r="AK110" s="236" t="n">
        <f aca="false">$E110*AK40*AK$8</f>
        <v>0</v>
      </c>
      <c r="AL110" s="236" t="n">
        <f aca="false">$E110*AL40*AL$8</f>
        <v>0</v>
      </c>
    </row>
    <row r="111" customFormat="false" ht="15" hidden="false" customHeight="false" outlineLevel="1" collapsed="false">
      <c r="A111" s="56"/>
      <c r="B111" s="56"/>
      <c r="C111" s="384" t="str">
        <f aca="false">'3. Assumptions'!C362</f>
        <v>Shea Processing Center</v>
      </c>
      <c r="D111" s="56"/>
      <c r="E111" s="408" t="n">
        <f aca="false">'3. Assumptions'!E362</f>
        <v>10000</v>
      </c>
      <c r="F111" s="407"/>
      <c r="G111" s="208" t="s">
        <v>112</v>
      </c>
      <c r="H111" s="369" t="n">
        <f aca="false">$E111*H41*H$8</f>
        <v>0</v>
      </c>
      <c r="I111" s="369" t="n">
        <f aca="false">$E111*I41*I$8</f>
        <v>0</v>
      </c>
      <c r="J111" s="369" t="n">
        <f aca="false">$E111*J41*J$8</f>
        <v>0</v>
      </c>
      <c r="K111" s="369" t="n">
        <f aca="false">$E111*K41*K$8</f>
        <v>0</v>
      </c>
      <c r="L111" s="369" t="n">
        <f aca="false">$E111*L41*L$8</f>
        <v>0</v>
      </c>
      <c r="M111" s="369" t="n">
        <f aca="false">$E111*M41*M$8</f>
        <v>0</v>
      </c>
      <c r="N111" s="369" t="n">
        <f aca="false">$E111*N41*N$8</f>
        <v>0</v>
      </c>
      <c r="O111" s="369" t="n">
        <f aca="false">$E111*O41*O$8</f>
        <v>0</v>
      </c>
      <c r="P111" s="369" t="n">
        <f aca="false">$E111*P41*P$8</f>
        <v>0</v>
      </c>
      <c r="Q111" s="369" t="n">
        <f aca="false">$E111*Q41*Q$8</f>
        <v>0</v>
      </c>
      <c r="R111" s="369" t="n">
        <f aca="false">$E111*R41*R$8</f>
        <v>0</v>
      </c>
      <c r="S111" s="369" t="n">
        <f aca="false">$E111*S41*S$8</f>
        <v>0</v>
      </c>
      <c r="T111" s="369" t="n">
        <f aca="false">$E111*T41*T$8</f>
        <v>0</v>
      </c>
      <c r="U111" s="369" t="n">
        <f aca="false">$E111*U41*U$8</f>
        <v>0</v>
      </c>
      <c r="V111" s="369" t="n">
        <f aca="false">$E111*V41*V$8</f>
        <v>0</v>
      </c>
      <c r="W111" s="369" t="n">
        <f aca="false">$E111*W41*W$8</f>
        <v>0</v>
      </c>
      <c r="X111" s="369" t="n">
        <f aca="false">$E111*X41*X$8</f>
        <v>0</v>
      </c>
      <c r="Y111" s="369" t="n">
        <f aca="false">$E111*Y41*Y$8</f>
        <v>0</v>
      </c>
      <c r="Z111" s="369" t="n">
        <f aca="false">$E111*Z41*Z$8</f>
        <v>0</v>
      </c>
      <c r="AA111" s="369" t="n">
        <f aca="false">$E111*AA41*AA$8</f>
        <v>0</v>
      </c>
      <c r="AB111" s="369" t="n">
        <f aca="false">$E111*AB41*AB$8</f>
        <v>0</v>
      </c>
      <c r="AC111" s="369" t="n">
        <f aca="false">$E111*AC41*AC$8</f>
        <v>0</v>
      </c>
      <c r="AD111" s="369" t="n">
        <f aca="false">$E111*AD41*AD$8</f>
        <v>0</v>
      </c>
      <c r="AE111" s="369" t="n">
        <f aca="false">$E111*AE41*AE$8</f>
        <v>0</v>
      </c>
      <c r="AF111" s="369" t="n">
        <f aca="false">$E111*AF41*AF$8</f>
        <v>0</v>
      </c>
      <c r="AG111" s="369" t="n">
        <f aca="false">$E111*AG41*AG$8</f>
        <v>0</v>
      </c>
      <c r="AH111" s="369" t="n">
        <f aca="false">$E111*AH41*AH$8</f>
        <v>0</v>
      </c>
      <c r="AI111" s="369" t="n">
        <f aca="false">$E111*AI41*AI$8</f>
        <v>0</v>
      </c>
      <c r="AJ111" s="369" t="n">
        <f aca="false">$E111*AJ41*AJ$8</f>
        <v>0</v>
      </c>
      <c r="AK111" s="369" t="n">
        <f aca="false">$E111*AK41*AK$8</f>
        <v>0</v>
      </c>
      <c r="AL111" s="369" t="n">
        <f aca="false">$E111*AL41*AL$8</f>
        <v>0</v>
      </c>
    </row>
    <row r="112" customFormat="false" ht="15" hidden="false" customHeight="false" outlineLevel="1" collapsed="false">
      <c r="B112" s="13" t="str">
        <f aca="false">"Total "&amp;B108</f>
        <v>Total Insurance</v>
      </c>
      <c r="C112" s="370"/>
      <c r="D112" s="30"/>
      <c r="E112" s="193"/>
      <c r="F112" s="193"/>
      <c r="G112" s="366" t="s">
        <v>112</v>
      </c>
      <c r="H112" s="193" t="n">
        <f aca="false">SUM(H109:H111)</f>
        <v>0</v>
      </c>
      <c r="I112" s="193" t="n">
        <f aca="false">SUM(I109:I111)</f>
        <v>10404</v>
      </c>
      <c r="J112" s="193" t="n">
        <f aca="false">SUM(J109:J111)</f>
        <v>21224.16</v>
      </c>
      <c r="K112" s="193" t="n">
        <f aca="false">SUM(K109:K111)</f>
        <v>32472.9648</v>
      </c>
      <c r="L112" s="193" t="n">
        <f aca="false">SUM(L109:L111)</f>
        <v>44163.232128</v>
      </c>
      <c r="M112" s="193" t="n">
        <f aca="false">SUM(M109:M111)</f>
        <v>56308.1209632</v>
      </c>
      <c r="N112" s="193" t="n">
        <f aca="false">SUM(N109:N111)</f>
        <v>68921.1400589568</v>
      </c>
      <c r="O112" s="193" t="n">
        <f aca="false">SUM(O109:O111)</f>
        <v>82016.1566701586</v>
      </c>
      <c r="P112" s="193" t="n">
        <f aca="false">SUM(P109:P111)</f>
        <v>95607.4054897849</v>
      </c>
      <c r="Q112" s="193" t="n">
        <f aca="false">SUM(Q109:Q111)</f>
        <v>109709.497799528</v>
      </c>
      <c r="R112" s="193" t="n">
        <f aca="false">SUM(R109:R111)</f>
        <v>111903.687755519</v>
      </c>
      <c r="S112" s="193" t="n">
        <f aca="false">SUM(S109:S111)</f>
        <v>114141.761510629</v>
      </c>
      <c r="T112" s="193" t="n">
        <f aca="false">SUM(T109:T111)</f>
        <v>116424.596740842</v>
      </c>
      <c r="U112" s="193" t="n">
        <f aca="false">SUM(U109:U111)</f>
        <v>118753.088675659</v>
      </c>
      <c r="V112" s="193" t="n">
        <f aca="false">SUM(V109:V111)</f>
        <v>121128.150449172</v>
      </c>
      <c r="W112" s="193" t="n">
        <f aca="false">SUM(W109:W111)</f>
        <v>123550.713458155</v>
      </c>
      <c r="X112" s="193" t="n">
        <f aca="false">SUM(X109:X111)</f>
        <v>126021.727727318</v>
      </c>
      <c r="Y112" s="193" t="n">
        <f aca="false">SUM(Y109:Y111)</f>
        <v>128542.162281865</v>
      </c>
      <c r="Z112" s="193" t="n">
        <f aca="false">SUM(Z109:Z111)</f>
        <v>131113.005527502</v>
      </c>
      <c r="AA112" s="193" t="n">
        <f aca="false">SUM(AA109:AA111)</f>
        <v>133735.265638052</v>
      </c>
      <c r="AB112" s="193" t="n">
        <f aca="false">SUM(AB109:AB111)</f>
        <v>136409.970950813</v>
      </c>
      <c r="AC112" s="193" t="n">
        <f aca="false">SUM(AC109:AC111)</f>
        <v>139138.170369829</v>
      </c>
      <c r="AD112" s="193" t="n">
        <f aca="false">SUM(AD109:AD111)</f>
        <v>141920.933777226</v>
      </c>
      <c r="AE112" s="193" t="n">
        <f aca="false">SUM(AE109:AE111)</f>
        <v>144759.35245277</v>
      </c>
      <c r="AF112" s="193" t="n">
        <f aca="false">SUM(AF109:AF111)</f>
        <v>147654.539501826</v>
      </c>
      <c r="AG112" s="193" t="n">
        <f aca="false">SUM(AG109:AG111)</f>
        <v>150607.630291862</v>
      </c>
      <c r="AH112" s="193" t="n">
        <f aca="false">SUM(AH109:AH111)</f>
        <v>153619.7828977</v>
      </c>
      <c r="AI112" s="193" t="n">
        <f aca="false">SUM(AI109:AI111)</f>
        <v>156692.178555654</v>
      </c>
      <c r="AJ112" s="193" t="n">
        <f aca="false">SUM(AJ109:AJ111)</f>
        <v>159826.022126767</v>
      </c>
      <c r="AK112" s="193" t="n">
        <f aca="false">SUM(AK109:AK111)</f>
        <v>163022.542569302</v>
      </c>
      <c r="AL112" s="193" t="n">
        <f aca="false">SUM(AL109:AL111)</f>
        <v>166282.993420688</v>
      </c>
    </row>
    <row r="113" customFormat="false" ht="15" hidden="false" customHeight="false" outlineLevel="1" collapsed="false">
      <c r="C113" s="370"/>
      <c r="D113" s="30"/>
      <c r="E113" s="193"/>
      <c r="H113" s="193"/>
      <c r="I113" s="193"/>
      <c r="J113" s="193"/>
      <c r="K113" s="193"/>
      <c r="L113" s="193"/>
      <c r="M113" s="193"/>
      <c r="N113" s="193"/>
      <c r="O113" s="193"/>
      <c r="P113" s="193"/>
      <c r="Q113" s="193"/>
      <c r="R113" s="193"/>
      <c r="S113" s="193"/>
      <c r="T113" s="193"/>
      <c r="U113" s="193"/>
      <c r="V113" s="193"/>
      <c r="W113" s="193"/>
      <c r="X113" s="193"/>
      <c r="Y113" s="193"/>
      <c r="Z113" s="193"/>
      <c r="AA113" s="193"/>
      <c r="AB113" s="193"/>
      <c r="AC113" s="193"/>
      <c r="AD113" s="193"/>
      <c r="AE113" s="193"/>
      <c r="AF113" s="193"/>
      <c r="AG113" s="193"/>
      <c r="AH113" s="193"/>
      <c r="AI113" s="193"/>
      <c r="AJ113" s="193"/>
      <c r="AK113" s="193"/>
      <c r="AL113" s="193"/>
    </row>
    <row r="114" customFormat="false" ht="15" hidden="false" customHeight="false" outlineLevel="1" collapsed="false">
      <c r="B114" s="391" t="s">
        <v>608</v>
      </c>
      <c r="C114" s="392"/>
      <c r="D114" s="185" t="s">
        <v>609</v>
      </c>
      <c r="E114" s="185" t="s">
        <v>601</v>
      </c>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row>
    <row r="115" customFormat="false" ht="15" hidden="false" customHeight="false" outlineLevel="1" collapsed="false">
      <c r="B115" s="370"/>
      <c r="C115" s="370" t="s">
        <v>368</v>
      </c>
      <c r="D115" s="271" t="n">
        <f aca="false">'3. Assumptions'!E133</f>
        <v>1500</v>
      </c>
      <c r="E115" s="386" t="n">
        <f aca="false">IF('1. Project Summary'!$F$13="Real",0,'3. Assumptions'!$E$172)</f>
        <v>0.05</v>
      </c>
      <c r="G115" s="30" t="s">
        <v>112</v>
      </c>
      <c r="H115" s="236" t="n">
        <f aca="false">'3. Assumptions'!G366*(1+$E115)^H$6</f>
        <v>1575</v>
      </c>
      <c r="I115" s="236" t="n">
        <f aca="false">'3. Assumptions'!H366*(1+$E115)^I$6</f>
        <v>36382.5</v>
      </c>
      <c r="J115" s="236" t="n">
        <f aca="false">'3. Assumptions'!I366*(1+$E115)^J$6</f>
        <v>43410.9375</v>
      </c>
      <c r="K115" s="236" t="n">
        <f aca="false">'3. Assumptions'!J366*(1+$E115)^K$6</f>
        <v>40111.70625</v>
      </c>
      <c r="L115" s="236" t="n">
        <f aca="false">'3. Assumptions'!K366*(1+$E115)^L$6</f>
        <v>45946.13625</v>
      </c>
      <c r="M115" s="236" t="n">
        <f aca="false">'3. Assumptions'!L366*(1+$E115)^M$6</f>
        <v>44223.156140625</v>
      </c>
      <c r="N115" s="236" t="n">
        <f aca="false">'3. Assumptions'!M366*(1+$E115)^N$6</f>
        <v>48544.9645816406</v>
      </c>
      <c r="O115" s="236" t="n">
        <f aca="false">'3. Assumptions'!N366*(1+$E115)^O$6</f>
        <v>50528.976177586</v>
      </c>
      <c r="P115" s="236" t="n">
        <f aca="false">'3. Assumptions'!O366*(1+$E115)^P$6</f>
        <v>53055.4249864652</v>
      </c>
      <c r="Q115" s="236" t="n">
        <f aca="false">'3. Assumptions'!P366*(1+$E115)^Q$6</f>
        <v>55708.1962357885</v>
      </c>
      <c r="R115" s="202" t="n">
        <f aca="false">Q115*(1+$E115)</f>
        <v>58493.606047578</v>
      </c>
      <c r="S115" s="236" t="n">
        <f aca="false">R115*(1+$E115)</f>
        <v>61418.2863499569</v>
      </c>
      <c r="T115" s="236" t="n">
        <f aca="false">S115*(1+$E115)</f>
        <v>64489.2006674547</v>
      </c>
      <c r="U115" s="236" t="n">
        <f aca="false">T115*(1+$E115)</f>
        <v>67713.6607008274</v>
      </c>
      <c r="V115" s="236" t="n">
        <f aca="false">U115*(1+$E115)</f>
        <v>71099.3437358688</v>
      </c>
      <c r="W115" s="236" t="n">
        <f aca="false">V115*(1+$E115)</f>
        <v>74654.3109226623</v>
      </c>
      <c r="X115" s="236" t="n">
        <f aca="false">W115*(1+$E115)</f>
        <v>78387.0264687954</v>
      </c>
      <c r="Y115" s="236" t="n">
        <f aca="false">X115*(1+$E115)</f>
        <v>82306.3777922351</v>
      </c>
      <c r="Z115" s="236" t="n">
        <f aca="false">Y115*(1+$E115)</f>
        <v>86421.6966818469</v>
      </c>
      <c r="AA115" s="236" t="n">
        <f aca="false">Z115*(1+$E115)</f>
        <v>90742.7815159393</v>
      </c>
      <c r="AB115" s="236" t="n">
        <f aca="false">AA115*(1+$E115)</f>
        <v>95279.9205917362</v>
      </c>
      <c r="AC115" s="236" t="n">
        <f aca="false">AB115*(1+$E115)</f>
        <v>100043.916621323</v>
      </c>
      <c r="AD115" s="236" t="n">
        <f aca="false">AC115*(1+$E115)</f>
        <v>105046.112452389</v>
      </c>
      <c r="AE115" s="236" t="n">
        <f aca="false">AD115*(1+$E115)</f>
        <v>110298.418075009</v>
      </c>
      <c r="AF115" s="236" t="n">
        <f aca="false">AE115*(1+$E115)</f>
        <v>115813.338978759</v>
      </c>
      <c r="AG115" s="236" t="n">
        <f aca="false">AF115*(1+$E115)</f>
        <v>121604.005927697</v>
      </c>
      <c r="AH115" s="236" t="n">
        <f aca="false">AG115*(1+$E115)</f>
        <v>127684.206224082</v>
      </c>
      <c r="AI115" s="236" t="n">
        <f aca="false">AH115*(1+$E115)</f>
        <v>134068.416535286</v>
      </c>
      <c r="AJ115" s="236" t="n">
        <f aca="false">AI115*(1+$E115)</f>
        <v>140771.83736205</v>
      </c>
      <c r="AK115" s="236" t="n">
        <f aca="false">AJ115*(1+$E115)</f>
        <v>147810.429230153</v>
      </c>
      <c r="AL115" s="236" t="n">
        <f aca="false">AK115*(1+$E115)</f>
        <v>155200.950691661</v>
      </c>
    </row>
    <row r="116" customFormat="false" ht="15" hidden="false" customHeight="false" outlineLevel="1" collapsed="false">
      <c r="B116" s="370"/>
      <c r="C116" s="370" t="s">
        <v>369</v>
      </c>
      <c r="D116" s="271" t="n">
        <f aca="false">'3. Assumptions'!E134</f>
        <v>1000</v>
      </c>
      <c r="E116" s="386" t="n">
        <f aca="false">IF('1. Project Summary'!$F$13="Real",0,'3. Assumptions'!$E$172)</f>
        <v>0.05</v>
      </c>
      <c r="G116" s="30" t="s">
        <v>112</v>
      </c>
      <c r="H116" s="236" t="n">
        <f aca="false">'3. Assumptions'!G367*(1+$E116)^H$6</f>
        <v>1050</v>
      </c>
      <c r="I116" s="236" t="n">
        <f aca="false">'3. Assumptions'!H367*(1+$E116)^I$6</f>
        <v>24255</v>
      </c>
      <c r="J116" s="236" t="n">
        <f aca="false">'3. Assumptions'!I367*(1+$E116)^J$6</f>
        <v>28940.625</v>
      </c>
      <c r="K116" s="236" t="n">
        <f aca="false">'3. Assumptions'!J367*(1+$E116)^K$6</f>
        <v>26741.1375</v>
      </c>
      <c r="L116" s="236" t="n">
        <f aca="false">'3. Assumptions'!K367*(1+$E116)^L$6</f>
        <v>30630.7575</v>
      </c>
      <c r="M116" s="236" t="n">
        <f aca="false">'3. Assumptions'!L367*(1+$E116)^M$6</f>
        <v>29482.10409375</v>
      </c>
      <c r="N116" s="236" t="n">
        <f aca="false">'3. Assumptions'!M367*(1+$E116)^N$6</f>
        <v>32363.3097210938</v>
      </c>
      <c r="O116" s="236" t="n">
        <f aca="false">'3. Assumptions'!N367*(1+$E116)^O$6</f>
        <v>33685.9841183906</v>
      </c>
      <c r="P116" s="236" t="n">
        <f aca="false">'3. Assumptions'!O367*(1+$E116)^P$6</f>
        <v>35370.2833243101</v>
      </c>
      <c r="Q116" s="236" t="n">
        <f aca="false">'3. Assumptions'!P367*(1+$E116)^Q$6</f>
        <v>37138.7974905257</v>
      </c>
      <c r="R116" s="202" t="n">
        <f aca="false">Q116*(1+$E116)</f>
        <v>38995.737365052</v>
      </c>
      <c r="S116" s="236" t="n">
        <f aca="false">R116*(1+$E116)</f>
        <v>40945.5242333046</v>
      </c>
      <c r="T116" s="236" t="n">
        <f aca="false">S116*(1+$E116)</f>
        <v>42992.8004449698</v>
      </c>
      <c r="U116" s="236" t="n">
        <f aca="false">T116*(1+$E116)</f>
        <v>45142.4404672183</v>
      </c>
      <c r="V116" s="236" t="n">
        <f aca="false">U116*(1+$E116)</f>
        <v>47399.5624905792</v>
      </c>
      <c r="W116" s="236" t="n">
        <f aca="false">V116*(1+$E116)</f>
        <v>49769.5406151082</v>
      </c>
      <c r="X116" s="236" t="n">
        <f aca="false">W116*(1+$E116)</f>
        <v>52258.0176458636</v>
      </c>
      <c r="Y116" s="236" t="n">
        <f aca="false">X116*(1+$E116)</f>
        <v>54870.9185281568</v>
      </c>
      <c r="Z116" s="236" t="n">
        <f aca="false">Y116*(1+$E116)</f>
        <v>57614.4644545646</v>
      </c>
      <c r="AA116" s="236" t="n">
        <f aca="false">Z116*(1+$E116)</f>
        <v>60495.1876772929</v>
      </c>
      <c r="AB116" s="236" t="n">
        <f aca="false">AA116*(1+$E116)</f>
        <v>63519.9470611575</v>
      </c>
      <c r="AC116" s="236" t="n">
        <f aca="false">AB116*(1+$E116)</f>
        <v>66695.9444142154</v>
      </c>
      <c r="AD116" s="236" t="n">
        <f aca="false">AC116*(1+$E116)</f>
        <v>70030.7416349261</v>
      </c>
      <c r="AE116" s="236" t="n">
        <f aca="false">AD116*(1+$E116)</f>
        <v>73532.2787166724</v>
      </c>
      <c r="AF116" s="236" t="n">
        <f aca="false">AE116*(1+$E116)</f>
        <v>77208.8926525061</v>
      </c>
      <c r="AG116" s="236" t="n">
        <f aca="false">AF116*(1+$E116)</f>
        <v>81069.3372851314</v>
      </c>
      <c r="AH116" s="236" t="n">
        <f aca="false">AG116*(1+$E116)</f>
        <v>85122.8041493879</v>
      </c>
      <c r="AI116" s="236" t="n">
        <f aca="false">AH116*(1+$E116)</f>
        <v>89378.9443568574</v>
      </c>
      <c r="AJ116" s="236" t="n">
        <f aca="false">AI116*(1+$E116)</f>
        <v>93847.8915747002</v>
      </c>
      <c r="AK116" s="236" t="n">
        <f aca="false">AJ116*(1+$E116)</f>
        <v>98540.2861534352</v>
      </c>
      <c r="AL116" s="236" t="n">
        <f aca="false">AK116*(1+$E116)</f>
        <v>103467.300461107</v>
      </c>
    </row>
    <row r="117" customFormat="false" ht="15" hidden="false" customHeight="false" outlineLevel="1" collapsed="false">
      <c r="B117" s="370"/>
      <c r="C117" s="370" t="s">
        <v>370</v>
      </c>
      <c r="D117" s="271" t="n">
        <f aca="false">'3. Assumptions'!E135</f>
        <v>1200</v>
      </c>
      <c r="E117" s="386" t="n">
        <f aca="false">IF('1. Project Summary'!$F$13="Real",0,'3. Assumptions'!$E$172)</f>
        <v>0.05</v>
      </c>
      <c r="G117" s="30" t="s">
        <v>112</v>
      </c>
      <c r="H117" s="236" t="n">
        <f aca="false">'3. Assumptions'!G368*(1+$E117)^H$6</f>
        <v>1260</v>
      </c>
      <c r="I117" s="236" t="n">
        <f aca="false">'3. Assumptions'!H368*(1+$E117)^I$6</f>
        <v>29106</v>
      </c>
      <c r="J117" s="236" t="n">
        <f aca="false">'3. Assumptions'!I368*(1+$E117)^J$6</f>
        <v>34728.75</v>
      </c>
      <c r="K117" s="236" t="n">
        <f aca="false">'3. Assumptions'!J368*(1+$E117)^K$6</f>
        <v>32089.365</v>
      </c>
      <c r="L117" s="236" t="n">
        <f aca="false">'3. Assumptions'!K368*(1+$E117)^L$6</f>
        <v>36756.909</v>
      </c>
      <c r="M117" s="236" t="n">
        <f aca="false">'3. Assumptions'!L368*(1+$E117)^M$6</f>
        <v>35378.5249125</v>
      </c>
      <c r="N117" s="236" t="n">
        <f aca="false">'3. Assumptions'!M368*(1+$E117)^N$6</f>
        <v>38835.9716653125</v>
      </c>
      <c r="O117" s="236" t="n">
        <f aca="false">'3. Assumptions'!N368*(1+$E117)^O$6</f>
        <v>40423.1809420688</v>
      </c>
      <c r="P117" s="236" t="n">
        <f aca="false">'3. Assumptions'!O368*(1+$E117)^P$6</f>
        <v>42444.3399891722</v>
      </c>
      <c r="Q117" s="236" t="n">
        <f aca="false">'3. Assumptions'!P368*(1+$E117)^Q$6</f>
        <v>44566.5569886308</v>
      </c>
      <c r="R117" s="202" t="n">
        <f aca="false">Q117*(1+$E117)</f>
        <v>46794.8848380624</v>
      </c>
      <c r="S117" s="236" t="n">
        <f aca="false">R117*(1+$E117)</f>
        <v>49134.6290799655</v>
      </c>
      <c r="T117" s="236" t="n">
        <f aca="false">S117*(1+$E117)</f>
        <v>51591.3605339638</v>
      </c>
      <c r="U117" s="236" t="n">
        <f aca="false">T117*(1+$E117)</f>
        <v>54170.928560662</v>
      </c>
      <c r="V117" s="236" t="n">
        <f aca="false">U117*(1+$E117)</f>
        <v>56879.4749886951</v>
      </c>
      <c r="W117" s="236" t="n">
        <f aca="false">V117*(1+$E117)</f>
        <v>59723.4487381298</v>
      </c>
      <c r="X117" s="236" t="n">
        <f aca="false">W117*(1+$E117)</f>
        <v>62709.6211750363</v>
      </c>
      <c r="Y117" s="236" t="n">
        <f aca="false">X117*(1+$E117)</f>
        <v>65845.1022337881</v>
      </c>
      <c r="Z117" s="236" t="n">
        <f aca="false">Y117*(1+$E117)</f>
        <v>69137.3573454775</v>
      </c>
      <c r="AA117" s="236" t="n">
        <f aca="false">Z117*(1+$E117)</f>
        <v>72594.2252127514</v>
      </c>
      <c r="AB117" s="236" t="n">
        <f aca="false">AA117*(1+$E117)</f>
        <v>76223.936473389</v>
      </c>
      <c r="AC117" s="236" t="n">
        <f aca="false">AB117*(1+$E117)</f>
        <v>80035.1332970584</v>
      </c>
      <c r="AD117" s="236" t="n">
        <f aca="false">AC117*(1+$E117)</f>
        <v>84036.8899619113</v>
      </c>
      <c r="AE117" s="236" t="n">
        <f aca="false">AD117*(1+$E117)</f>
        <v>88238.7344600069</v>
      </c>
      <c r="AF117" s="236" t="n">
        <f aca="false">AE117*(1+$E117)</f>
        <v>92650.6711830073</v>
      </c>
      <c r="AG117" s="236" t="n">
        <f aca="false">AF117*(1+$E117)</f>
        <v>97283.2047421576</v>
      </c>
      <c r="AH117" s="236" t="n">
        <f aca="false">AG117*(1+$E117)</f>
        <v>102147.364979266</v>
      </c>
      <c r="AI117" s="236" t="n">
        <f aca="false">AH117*(1+$E117)</f>
        <v>107254.733228229</v>
      </c>
      <c r="AJ117" s="236" t="n">
        <f aca="false">AI117*(1+$E117)</f>
        <v>112617.46988964</v>
      </c>
      <c r="AK117" s="236" t="n">
        <f aca="false">AJ117*(1+$E117)</f>
        <v>118248.343384122</v>
      </c>
      <c r="AL117" s="236" t="n">
        <f aca="false">AK117*(1+$E117)</f>
        <v>124160.760553328</v>
      </c>
    </row>
    <row r="118" customFormat="false" ht="15" hidden="false" customHeight="false" outlineLevel="1" collapsed="false">
      <c r="B118" s="370"/>
      <c r="C118" s="370" t="s">
        <v>371</v>
      </c>
      <c r="E118" s="386" t="n">
        <f aca="false">IF('1. Project Summary'!$F$13="Real",0,'3. Assumptions'!$E$172)</f>
        <v>0.05</v>
      </c>
      <c r="G118" s="30" t="s">
        <v>112</v>
      </c>
      <c r="H118" s="409" t="n">
        <f aca="false">'3. Assumptions'!G369</f>
        <v>125000</v>
      </c>
      <c r="I118" s="202" t="n">
        <f aca="false">'3. Assumptions'!$H$369*(1+$E$118)^I6</f>
        <v>11025</v>
      </c>
      <c r="J118" s="236" t="n">
        <f aca="false">'3. Assumptions'!$H$369*(1+$E$118)^J6</f>
        <v>11576.25</v>
      </c>
      <c r="K118" s="236" t="n">
        <f aca="false">'3. Assumptions'!$H$369*(1+$E$118)^K6</f>
        <v>12155.0625</v>
      </c>
      <c r="L118" s="236" t="n">
        <f aca="false">'3. Assumptions'!$H$369*(1+$E$118)^L6</f>
        <v>12762.815625</v>
      </c>
      <c r="M118" s="236" t="n">
        <f aca="false">'3. Assumptions'!$H$369*(1+$E$118)^M6</f>
        <v>13400.95640625</v>
      </c>
      <c r="N118" s="236" t="n">
        <f aca="false">'3. Assumptions'!$H$369*(1+$E$118)^N6</f>
        <v>14071.0042265625</v>
      </c>
      <c r="O118" s="236" t="n">
        <f aca="false">'3. Assumptions'!$H$369*(1+$E$118)^O6</f>
        <v>14774.5544378906</v>
      </c>
      <c r="P118" s="236" t="n">
        <f aca="false">'3. Assumptions'!$H$369*(1+$E$118)^P6</f>
        <v>15513.2821597852</v>
      </c>
      <c r="Q118" s="236" t="n">
        <f aca="false">'3. Assumptions'!$H$369*(1+$E$118)^Q6</f>
        <v>16288.9462677744</v>
      </c>
      <c r="R118" s="236" t="n">
        <f aca="false">'3. Assumptions'!$H$369*(1+$E$118)^R6</f>
        <v>17103.3935811631</v>
      </c>
      <c r="S118" s="236" t="n">
        <f aca="false">'3. Assumptions'!$H$369*(1+$E$118)^S6</f>
        <v>17958.5632602213</v>
      </c>
      <c r="T118" s="236" t="n">
        <f aca="false">'3. Assumptions'!$H$369*(1+$E$118)^T6</f>
        <v>18856.4914232324</v>
      </c>
      <c r="U118" s="236" t="n">
        <f aca="false">'3. Assumptions'!$H$369*(1+$E$118)^U6</f>
        <v>19799.315994394</v>
      </c>
      <c r="V118" s="236" t="n">
        <f aca="false">'3. Assumptions'!$H$369*(1+$E$118)^V6</f>
        <v>20789.2817941137</v>
      </c>
      <c r="W118" s="236" t="n">
        <f aca="false">'3. Assumptions'!$H$369*(1+$E$118)^W6</f>
        <v>21828.7458838194</v>
      </c>
      <c r="X118" s="236" t="n">
        <f aca="false">'3. Assumptions'!$H$369*(1+$E$118)^X6</f>
        <v>22920.1831780103</v>
      </c>
      <c r="Y118" s="236" t="n">
        <f aca="false">'3. Assumptions'!$H$369*(1+$E$118)^Y6</f>
        <v>24066.1923369108</v>
      </c>
      <c r="Z118" s="236" t="n">
        <f aca="false">'3. Assumptions'!$H$369*(1+$E$118)^Z6</f>
        <v>25269.5019537564</v>
      </c>
      <c r="AA118" s="236" t="n">
        <f aca="false">'3. Assumptions'!$H$369*(1+$E$118)^AA6</f>
        <v>26532.9770514442</v>
      </c>
      <c r="AB118" s="236" t="n">
        <f aca="false">'3. Assumptions'!$H$369*(1+$E$118)^AB6</f>
        <v>27859.6259040164</v>
      </c>
      <c r="AC118" s="236" t="n">
        <f aca="false">'3. Assumptions'!$H$369*(1+$E$118)^AC6</f>
        <v>29252.6071992172</v>
      </c>
      <c r="AD118" s="236" t="n">
        <f aca="false">'3. Assumptions'!$H$369*(1+$E$118)^AD6</f>
        <v>30715.2375591781</v>
      </c>
      <c r="AE118" s="236" t="n">
        <f aca="false">'3. Assumptions'!$H$369*(1+$E$118)^AE6</f>
        <v>32250.999437137</v>
      </c>
      <c r="AF118" s="236" t="n">
        <f aca="false">'3. Assumptions'!$H$369*(1+$E$118)^AF6</f>
        <v>33863.5494089939</v>
      </c>
      <c r="AG118" s="236" t="n">
        <f aca="false">'3. Assumptions'!$H$369*(1+$E$118)^AG6</f>
        <v>35556.7268794436</v>
      </c>
      <c r="AH118" s="236" t="n">
        <f aca="false">'3. Assumptions'!$H$369*(1+$E$118)^AH6</f>
        <v>37334.5632234157</v>
      </c>
      <c r="AI118" s="236" t="n">
        <f aca="false">'3. Assumptions'!$H$369*(1+$E$118)^AI6</f>
        <v>39201.2913845865</v>
      </c>
      <c r="AJ118" s="236" t="n">
        <f aca="false">'3. Assumptions'!$H$369*(1+$E$118)^AJ6</f>
        <v>41161.3559538159</v>
      </c>
      <c r="AK118" s="236" t="n">
        <f aca="false">'3. Assumptions'!$H$369*(1+$E$118)^AK6</f>
        <v>43219.4237515066</v>
      </c>
      <c r="AL118" s="236" t="n">
        <f aca="false">'3. Assumptions'!$H$369*(1+$E$118)^AL6</f>
        <v>45380.394939082</v>
      </c>
    </row>
    <row r="119" customFormat="false" ht="15" hidden="false" customHeight="false" outlineLevel="1" collapsed="false">
      <c r="B119" s="378"/>
      <c r="C119" s="378" t="s">
        <v>372</v>
      </c>
      <c r="D119" s="377" t="n">
        <f aca="false">'3. Assumptions'!E137</f>
        <v>0.2</v>
      </c>
      <c r="E119" s="393"/>
      <c r="F119" s="56"/>
      <c r="G119" s="208" t="s">
        <v>112</v>
      </c>
      <c r="H119" s="369" t="n">
        <f aca="false">SUM(H115:H117)*$D$119</f>
        <v>777</v>
      </c>
      <c r="I119" s="369" t="n">
        <f aca="false">SUM(I115:I117)*$D$119</f>
        <v>17948.7</v>
      </c>
      <c r="J119" s="369" t="n">
        <f aca="false">SUM(J115:J117)*$D$119</f>
        <v>21416.0625</v>
      </c>
      <c r="K119" s="369" t="n">
        <f aca="false">SUM(K115:K117)*$D$119</f>
        <v>19788.44175</v>
      </c>
      <c r="L119" s="369" t="n">
        <f aca="false">SUM(L115:L117)*$D$119</f>
        <v>22666.76055</v>
      </c>
      <c r="M119" s="369" t="n">
        <f aca="false">SUM(M115:M117)*$D$119</f>
        <v>21816.757029375</v>
      </c>
      <c r="N119" s="369" t="n">
        <f aca="false">SUM(N115:N117)*$D$119</f>
        <v>23948.8491936094</v>
      </c>
      <c r="O119" s="369" t="n">
        <f aca="false">SUM(O115:O117)*$D$119</f>
        <v>24927.6282476091</v>
      </c>
      <c r="P119" s="369" t="n">
        <f aca="false">SUM(P115:P117)*$D$119</f>
        <v>26174.0096599895</v>
      </c>
      <c r="Q119" s="369" t="n">
        <f aca="false">SUM(Q115:Q117)*$D$119</f>
        <v>27482.710142989</v>
      </c>
      <c r="R119" s="369" t="n">
        <f aca="false">SUM(R115:R117)*$D$119</f>
        <v>28856.8456501385</v>
      </c>
      <c r="S119" s="369" t="n">
        <f aca="false">SUM(S115:S117)*$D$119</f>
        <v>30299.6879326454</v>
      </c>
      <c r="T119" s="369" t="n">
        <f aca="false">SUM(T115:T117)*$D$119</f>
        <v>31814.6723292777</v>
      </c>
      <c r="U119" s="369" t="n">
        <f aca="false">SUM(U115:U117)*$D$119</f>
        <v>33405.4059457415</v>
      </c>
      <c r="V119" s="369" t="n">
        <f aca="false">SUM(V115:V117)*$D$119</f>
        <v>35075.6762430286</v>
      </c>
      <c r="W119" s="369" t="n">
        <f aca="false">SUM(W115:W117)*$D$119</f>
        <v>36829.4600551801</v>
      </c>
      <c r="X119" s="369" t="n">
        <f aca="false">SUM(X115:X117)*$D$119</f>
        <v>38670.9330579391</v>
      </c>
      <c r="Y119" s="369" t="n">
        <f aca="false">SUM(Y115:Y117)*$D$119</f>
        <v>40604.479710836</v>
      </c>
      <c r="Z119" s="369" t="n">
        <f aca="false">SUM(Z115:Z117)*$D$119</f>
        <v>42634.7036963778</v>
      </c>
      <c r="AA119" s="369" t="n">
        <f aca="false">SUM(AA115:AA117)*$D$119</f>
        <v>44766.4388811967</v>
      </c>
      <c r="AB119" s="369" t="n">
        <f aca="false">SUM(AB115:AB117)*$D$119</f>
        <v>47004.7608252565</v>
      </c>
      <c r="AC119" s="369" t="n">
        <f aca="false">SUM(AC115:AC117)*$D$119</f>
        <v>49354.9988665194</v>
      </c>
      <c r="AD119" s="369" t="n">
        <f aca="false">SUM(AD115:AD117)*$D$119</f>
        <v>51822.7488098453</v>
      </c>
      <c r="AE119" s="369" t="n">
        <f aca="false">SUM(AE115:AE117)*$D$119</f>
        <v>54413.8862503376</v>
      </c>
      <c r="AF119" s="369" t="n">
        <f aca="false">SUM(AF115:AF117)*$D$119</f>
        <v>57134.5805628545</v>
      </c>
      <c r="AG119" s="369" t="n">
        <f aca="false">SUM(AG115:AG117)*$D$119</f>
        <v>59991.3095909972</v>
      </c>
      <c r="AH119" s="369" t="n">
        <f aca="false">SUM(AH115:AH117)*$D$119</f>
        <v>62990.8750705471</v>
      </c>
      <c r="AI119" s="369" t="n">
        <f aca="false">SUM(AI115:AI117)*$D$119</f>
        <v>66140.4188240744</v>
      </c>
      <c r="AJ119" s="369" t="n">
        <f aca="false">SUM(AJ115:AJ117)*$D$119</f>
        <v>69447.4397652782</v>
      </c>
      <c r="AK119" s="369" t="n">
        <f aca="false">SUM(AK115:AK117)*$D$119</f>
        <v>72919.8117535421</v>
      </c>
      <c r="AL119" s="369" t="n">
        <f aca="false">SUM(AL115:AL117)*$D$119</f>
        <v>76565.8023412192</v>
      </c>
    </row>
    <row r="120" customFormat="false" ht="15" hidden="false" customHeight="false" outlineLevel="1" collapsed="false">
      <c r="B120" s="13" t="str">
        <f aca="false">"Total "&amp;B114</f>
        <v>Total Office Equipment</v>
      </c>
      <c r="C120" s="370"/>
      <c r="D120" s="30"/>
      <c r="E120" s="193"/>
      <c r="G120" s="366" t="s">
        <v>112</v>
      </c>
      <c r="H120" s="193" t="n">
        <f aca="false">SUM(H115:H119)</f>
        <v>129662</v>
      </c>
      <c r="I120" s="193" t="n">
        <f aca="false">SUM(I115:I119)</f>
        <v>118717.2</v>
      </c>
      <c r="J120" s="193" t="n">
        <f aca="false">SUM(J115:J119)</f>
        <v>140072.625</v>
      </c>
      <c r="K120" s="193" t="n">
        <f aca="false">SUM(K115:K119)</f>
        <v>130885.713</v>
      </c>
      <c r="L120" s="193" t="n">
        <f aca="false">SUM(L115:L119)</f>
        <v>148763.378925</v>
      </c>
      <c r="M120" s="193" t="n">
        <f aca="false">SUM(M115:M119)</f>
        <v>144301.4985825</v>
      </c>
      <c r="N120" s="193" t="n">
        <f aca="false">SUM(N115:N119)</f>
        <v>157764.099388219</v>
      </c>
      <c r="O120" s="193" t="n">
        <f aca="false">SUM(O115:O119)</f>
        <v>164340.323923545</v>
      </c>
      <c r="P120" s="193" t="n">
        <f aca="false">SUM(P115:P119)</f>
        <v>172557.340119722</v>
      </c>
      <c r="Q120" s="193" t="n">
        <f aca="false">SUM(Q115:Q119)</f>
        <v>181185.207125708</v>
      </c>
      <c r="R120" s="193" t="n">
        <f aca="false">SUM(R115:R119)</f>
        <v>190244.467481994</v>
      </c>
      <c r="S120" s="193" t="n">
        <f aca="false">SUM(S115:S119)</f>
        <v>199756.690856094</v>
      </c>
      <c r="T120" s="193" t="n">
        <f aca="false">SUM(T115:T119)</f>
        <v>209744.525398898</v>
      </c>
      <c r="U120" s="193" t="n">
        <f aca="false">SUM(U115:U119)</f>
        <v>220231.751668843</v>
      </c>
      <c r="V120" s="193" t="n">
        <f aca="false">SUM(V115:V119)</f>
        <v>231243.339252285</v>
      </c>
      <c r="W120" s="193" t="n">
        <f aca="false">SUM(W115:W119)</f>
        <v>242805.5062149</v>
      </c>
      <c r="X120" s="193" t="n">
        <f aca="false">SUM(X115:X119)</f>
        <v>254945.781525645</v>
      </c>
      <c r="Y120" s="193" t="n">
        <f aca="false">SUM(Y115:Y119)</f>
        <v>267693.070601927</v>
      </c>
      <c r="Z120" s="193" t="n">
        <f aca="false">SUM(Z115:Z119)</f>
        <v>281077.724132023</v>
      </c>
      <c r="AA120" s="193" t="n">
        <f aca="false">SUM(AA115:AA119)</f>
        <v>295131.610338624</v>
      </c>
      <c r="AB120" s="193" t="n">
        <f aca="false">SUM(AB115:AB119)</f>
        <v>309888.190855556</v>
      </c>
      <c r="AC120" s="193" t="n">
        <f aca="false">SUM(AC115:AC119)</f>
        <v>325382.600398333</v>
      </c>
      <c r="AD120" s="193" t="n">
        <f aca="false">SUM(AD115:AD119)</f>
        <v>341651.73041825</v>
      </c>
      <c r="AE120" s="193" t="n">
        <f aca="false">SUM(AE115:AE119)</f>
        <v>358734.316939163</v>
      </c>
      <c r="AF120" s="193" t="n">
        <f aca="false">SUM(AF115:AF119)</f>
        <v>376671.032786121</v>
      </c>
      <c r="AG120" s="193" t="n">
        <f aca="false">SUM(AG115:AG119)</f>
        <v>395504.584425427</v>
      </c>
      <c r="AH120" s="193" t="n">
        <f aca="false">SUM(AH115:AH119)</f>
        <v>415279.813646698</v>
      </c>
      <c r="AI120" s="193" t="n">
        <f aca="false">SUM(AI115:AI119)</f>
        <v>436043.804329033</v>
      </c>
      <c r="AJ120" s="193" t="n">
        <f aca="false">SUM(AJ115:AJ119)</f>
        <v>457845.994545485</v>
      </c>
      <c r="AK120" s="193" t="n">
        <f aca="false">SUM(AK115:AK119)</f>
        <v>480738.294272759</v>
      </c>
      <c r="AL120" s="193" t="n">
        <f aca="false">SUM(AL115:AL119)</f>
        <v>504775.208986397</v>
      </c>
    </row>
    <row r="121" customFormat="false" ht="15" hidden="false" customHeight="false" outlineLevel="1" collapsed="false">
      <c r="C121" s="370"/>
      <c r="D121" s="30"/>
      <c r="E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row>
    <row r="122" customFormat="false" ht="15" hidden="false" customHeight="false" outlineLevel="1" collapsed="false">
      <c r="B122" s="391" t="s">
        <v>310</v>
      </c>
      <c r="C122" s="392"/>
      <c r="D122" s="30"/>
      <c r="E122" s="394" t="s">
        <v>610</v>
      </c>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c r="AI122" s="193"/>
      <c r="AJ122" s="193"/>
      <c r="AK122" s="193"/>
      <c r="AL122" s="193"/>
    </row>
    <row r="123" customFormat="false" ht="15" hidden="false" customHeight="false" outlineLevel="1" collapsed="false">
      <c r="C123" s="370" t="str">
        <f aca="false">'3. Assumptions'!C141</f>
        <v>Utility vehicle management</v>
      </c>
      <c r="E123" s="271" t="n">
        <f aca="false">'3. Assumptions'!E141</f>
        <v>50000</v>
      </c>
      <c r="G123" s="30" t="s">
        <v>112</v>
      </c>
      <c r="H123" s="236" t="n">
        <f aca="false">$E123*H$8</f>
        <v>51000</v>
      </c>
      <c r="I123" s="236" t="n">
        <f aca="false">$E123*I$8</f>
        <v>52020</v>
      </c>
      <c r="J123" s="236" t="n">
        <f aca="false">$E123*J$8</f>
        <v>53060.4</v>
      </c>
      <c r="K123" s="236" t="n">
        <f aca="false">$E123*K$8</f>
        <v>54121.608</v>
      </c>
      <c r="L123" s="236" t="n">
        <f aca="false">$E123*L$8</f>
        <v>55204.04016</v>
      </c>
      <c r="M123" s="236" t="n">
        <f aca="false">$E123*M$8</f>
        <v>56308.1209632</v>
      </c>
      <c r="N123" s="236" t="n">
        <f aca="false">$E123*N$8</f>
        <v>57434.283382464</v>
      </c>
      <c r="O123" s="236" t="n">
        <f aca="false">$E123*O$8</f>
        <v>58582.9690501133</v>
      </c>
      <c r="P123" s="236" t="n">
        <f aca="false">$E123*P$8</f>
        <v>59754.6284311156</v>
      </c>
      <c r="Q123" s="236" t="n">
        <f aca="false">$E123*Q$8</f>
        <v>60949.7209997379</v>
      </c>
      <c r="R123" s="236" t="n">
        <f aca="false">$E123*R$8</f>
        <v>62168.7154197326</v>
      </c>
      <c r="S123" s="236" t="n">
        <f aca="false">$E123*S$8</f>
        <v>63412.0897281273</v>
      </c>
      <c r="T123" s="236" t="n">
        <f aca="false">$E123*T$8</f>
        <v>64680.3315226898</v>
      </c>
      <c r="U123" s="236" t="n">
        <f aca="false">$E123*U$8</f>
        <v>65973.9381531436</v>
      </c>
      <c r="V123" s="236" t="n">
        <f aca="false">$E123*V$8</f>
        <v>67293.4169162065</v>
      </c>
      <c r="W123" s="236" t="n">
        <f aca="false">$E123*W$8</f>
        <v>68639.2852545306</v>
      </c>
      <c r="X123" s="236" t="n">
        <f aca="false">$E123*X$8</f>
        <v>70012.0709596212</v>
      </c>
      <c r="Y123" s="236" t="n">
        <f aca="false">$E123*Y$8</f>
        <v>71412.3123788137</v>
      </c>
      <c r="Z123" s="236" t="n">
        <f aca="false">$E123*Z$8</f>
        <v>72840.55862639</v>
      </c>
      <c r="AA123" s="236" t="n">
        <f aca="false">$E123*AA$8</f>
        <v>74297.3697989178</v>
      </c>
      <c r="AB123" s="236" t="n">
        <f aca="false">$E123*AB$8</f>
        <v>75783.3171948961</v>
      </c>
      <c r="AC123" s="236" t="n">
        <f aca="false">$E123*AC$8</f>
        <v>77298.983538794</v>
      </c>
      <c r="AD123" s="236" t="n">
        <f aca="false">$E123*AD$8</f>
        <v>78844.9632095699</v>
      </c>
      <c r="AE123" s="236" t="n">
        <f aca="false">$E123*AE$8</f>
        <v>80421.8624737613</v>
      </c>
      <c r="AF123" s="236" t="n">
        <f aca="false">$E123*AF$8</f>
        <v>82030.2997232365</v>
      </c>
      <c r="AG123" s="236" t="n">
        <f aca="false">$E123*AG$8</f>
        <v>83670.9057177013</v>
      </c>
      <c r="AH123" s="236" t="n">
        <f aca="false">$E123*AH$8</f>
        <v>85344.3238320553</v>
      </c>
      <c r="AI123" s="236" t="n">
        <f aca="false">$E123*AI$8</f>
        <v>87051.2103086964</v>
      </c>
      <c r="AJ123" s="236" t="n">
        <f aca="false">$E123*AJ$8</f>
        <v>88792.2345148703</v>
      </c>
      <c r="AK123" s="236" t="n">
        <f aca="false">$E123*AK$8</f>
        <v>90568.0792051677</v>
      </c>
      <c r="AL123" s="236" t="n">
        <f aca="false">$E123*AL$8</f>
        <v>92379.440789271</v>
      </c>
    </row>
    <row r="124" customFormat="false" ht="15" hidden="false" customHeight="false" outlineLevel="1" collapsed="false">
      <c r="B124" s="56"/>
      <c r="C124" s="378" t="str">
        <f aca="false">'3. Assumptions'!C142</f>
        <v>Utility vehicle management</v>
      </c>
      <c r="D124" s="56"/>
      <c r="E124" s="271" t="n">
        <f aca="false">'3. Assumptions'!E142</f>
        <v>25000</v>
      </c>
      <c r="F124" s="56"/>
      <c r="G124" s="208" t="s">
        <v>112</v>
      </c>
      <c r="H124" s="369" t="n">
        <f aca="false">$E124*H$8</f>
        <v>25500</v>
      </c>
      <c r="I124" s="369" t="n">
        <f aca="false">$E124*I$8</f>
        <v>26010</v>
      </c>
      <c r="J124" s="369" t="n">
        <f aca="false">$E124*J$8</f>
        <v>26530.2</v>
      </c>
      <c r="K124" s="369" t="n">
        <f aca="false">$E124*K$8</f>
        <v>27060.804</v>
      </c>
      <c r="L124" s="369" t="n">
        <f aca="false">$E124*L$8</f>
        <v>27602.02008</v>
      </c>
      <c r="M124" s="369" t="n">
        <f aca="false">$E124*M$8</f>
        <v>28154.0604816</v>
      </c>
      <c r="N124" s="369" t="n">
        <f aca="false">$E124*N$8</f>
        <v>28717.141691232</v>
      </c>
      <c r="O124" s="369" t="n">
        <f aca="false">$E124*O$8</f>
        <v>29291.4845250566</v>
      </c>
      <c r="P124" s="369" t="n">
        <f aca="false">$E124*P$8</f>
        <v>29877.3142155578</v>
      </c>
      <c r="Q124" s="369" t="n">
        <f aca="false">$E124*Q$8</f>
        <v>30474.8604998689</v>
      </c>
      <c r="R124" s="369" t="n">
        <f aca="false">$E124*R$8</f>
        <v>31084.3577098663</v>
      </c>
      <c r="S124" s="369" t="n">
        <f aca="false">$E124*S$8</f>
        <v>31706.0448640636</v>
      </c>
      <c r="T124" s="369" t="n">
        <f aca="false">$E124*T$8</f>
        <v>32340.1657613449</v>
      </c>
      <c r="U124" s="369" t="n">
        <f aca="false">$E124*U$8</f>
        <v>32986.9690765718</v>
      </c>
      <c r="V124" s="369" t="n">
        <f aca="false">$E124*V$8</f>
        <v>33646.7084581033</v>
      </c>
      <c r="W124" s="369" t="n">
        <f aca="false">$E124*W$8</f>
        <v>34319.6426272653</v>
      </c>
      <c r="X124" s="369" t="n">
        <f aca="false">$E124*X$8</f>
        <v>35006.0354798106</v>
      </c>
      <c r="Y124" s="369" t="n">
        <f aca="false">$E124*Y$8</f>
        <v>35706.1561894068</v>
      </c>
      <c r="Z124" s="369" t="n">
        <f aca="false">$E124*Z$8</f>
        <v>36420.279313195</v>
      </c>
      <c r="AA124" s="369" t="n">
        <f aca="false">$E124*AA$8</f>
        <v>37148.6848994589</v>
      </c>
      <c r="AB124" s="369" t="n">
        <f aca="false">$E124*AB$8</f>
        <v>37891.6585974481</v>
      </c>
      <c r="AC124" s="369" t="n">
        <f aca="false">$E124*AC$8</f>
        <v>38649.491769397</v>
      </c>
      <c r="AD124" s="369" t="n">
        <f aca="false">$E124*AD$8</f>
        <v>39422.481604785</v>
      </c>
      <c r="AE124" s="369" t="n">
        <f aca="false">$E124*AE$8</f>
        <v>40210.9312368807</v>
      </c>
      <c r="AF124" s="369" t="n">
        <f aca="false">$E124*AF$8</f>
        <v>41015.1498616183</v>
      </c>
      <c r="AG124" s="369" t="n">
        <f aca="false">$E124*AG$8</f>
        <v>41835.4528588506</v>
      </c>
      <c r="AH124" s="369" t="n">
        <f aca="false">$E124*AH$8</f>
        <v>42672.1619160276</v>
      </c>
      <c r="AI124" s="369" t="n">
        <f aca="false">$E124*AI$8</f>
        <v>43525.6051543482</v>
      </c>
      <c r="AJ124" s="369" t="n">
        <f aca="false">$E124*AJ$8</f>
        <v>44396.1172574352</v>
      </c>
      <c r="AK124" s="369" t="n">
        <f aca="false">$E124*AK$8</f>
        <v>45284.0396025838</v>
      </c>
      <c r="AL124" s="369" t="n">
        <f aca="false">$E124*AL$8</f>
        <v>46189.7203946355</v>
      </c>
    </row>
    <row r="125" customFormat="false" ht="15" hidden="false" customHeight="false" outlineLevel="1" collapsed="false">
      <c r="B125" s="13" t="str">
        <f aca="false">"Total "&amp;B122</f>
        <v>Total Vehicles</v>
      </c>
      <c r="C125" s="370"/>
      <c r="D125" s="30"/>
      <c r="E125" s="193"/>
      <c r="G125" s="366" t="s">
        <v>112</v>
      </c>
      <c r="H125" s="193" t="n">
        <f aca="false">SUM(H123:H124)</f>
        <v>76500</v>
      </c>
      <c r="I125" s="193" t="n">
        <f aca="false">SUM(I123:I124)</f>
        <v>78030</v>
      </c>
      <c r="J125" s="193" t="n">
        <f aca="false">SUM(J123:J124)</f>
        <v>79590.6</v>
      </c>
      <c r="K125" s="193" t="n">
        <f aca="false">SUM(K123:K124)</f>
        <v>81182.412</v>
      </c>
      <c r="L125" s="193" t="n">
        <f aca="false">SUM(L123:L124)</f>
        <v>82806.06024</v>
      </c>
      <c r="M125" s="193" t="n">
        <f aca="false">SUM(M123:M124)</f>
        <v>84462.1814448</v>
      </c>
      <c r="N125" s="193" t="n">
        <f aca="false">SUM(N123:N124)</f>
        <v>86151.425073696</v>
      </c>
      <c r="O125" s="193" t="n">
        <f aca="false">SUM(O123:O124)</f>
        <v>87874.4535751699</v>
      </c>
      <c r="P125" s="193" t="n">
        <f aca="false">SUM(P123:P124)</f>
        <v>89631.9426466733</v>
      </c>
      <c r="Q125" s="193" t="n">
        <f aca="false">SUM(Q123:Q124)</f>
        <v>91424.5814996068</v>
      </c>
      <c r="R125" s="193" t="n">
        <f aca="false">SUM(R123:R124)</f>
        <v>93253.0731295989</v>
      </c>
      <c r="S125" s="193" t="n">
        <f aca="false">SUM(S123:S124)</f>
        <v>95118.1345921909</v>
      </c>
      <c r="T125" s="193" t="n">
        <f aca="false">SUM(T123:T124)</f>
        <v>97020.4972840347</v>
      </c>
      <c r="U125" s="193" t="n">
        <f aca="false">SUM(U123:U124)</f>
        <v>98960.9072297154</v>
      </c>
      <c r="V125" s="193" t="n">
        <f aca="false">SUM(V123:V124)</f>
        <v>100940.12537431</v>
      </c>
      <c r="W125" s="193" t="n">
        <f aca="false">SUM(W123:W124)</f>
        <v>102958.927881796</v>
      </c>
      <c r="X125" s="193" t="n">
        <f aca="false">SUM(X123:X124)</f>
        <v>105018.106439432</v>
      </c>
      <c r="Y125" s="193" t="n">
        <f aca="false">SUM(Y123:Y124)</f>
        <v>107118.468568221</v>
      </c>
      <c r="Z125" s="193" t="n">
        <f aca="false">SUM(Z123:Z124)</f>
        <v>109260.837939585</v>
      </c>
      <c r="AA125" s="193" t="n">
        <f aca="false">SUM(AA123:AA124)</f>
        <v>111446.054698377</v>
      </c>
      <c r="AB125" s="193" t="n">
        <f aca="false">SUM(AB123:AB124)</f>
        <v>113674.975792344</v>
      </c>
      <c r="AC125" s="193" t="n">
        <f aca="false">SUM(AC123:AC124)</f>
        <v>115948.475308191</v>
      </c>
      <c r="AD125" s="193" t="n">
        <f aca="false">SUM(AD123:AD124)</f>
        <v>118267.444814355</v>
      </c>
      <c r="AE125" s="193" t="n">
        <f aca="false">SUM(AE123:AE124)</f>
        <v>120632.793710642</v>
      </c>
      <c r="AF125" s="193" t="n">
        <f aca="false">SUM(AF123:AF124)</f>
        <v>123045.449584855</v>
      </c>
      <c r="AG125" s="193" t="n">
        <f aca="false">SUM(AG123:AG124)</f>
        <v>125506.358576552</v>
      </c>
      <c r="AH125" s="193" t="n">
        <f aca="false">SUM(AH123:AH124)</f>
        <v>128016.485748083</v>
      </c>
      <c r="AI125" s="193" t="n">
        <f aca="false">SUM(AI123:AI124)</f>
        <v>130576.815463045</v>
      </c>
      <c r="AJ125" s="193" t="n">
        <f aca="false">SUM(AJ123:AJ124)</f>
        <v>133188.351772306</v>
      </c>
      <c r="AK125" s="193" t="n">
        <f aca="false">SUM(AK123:AK124)</f>
        <v>135852.118807752</v>
      </c>
      <c r="AL125" s="193" t="n">
        <f aca="false">SUM(AL123:AL124)</f>
        <v>138569.161183907</v>
      </c>
    </row>
    <row r="127" customFormat="false" ht="15" hidden="false" customHeight="false" outlineLevel="0" collapsed="false">
      <c r="B127" s="83" t="s">
        <v>634</v>
      </c>
      <c r="C127" s="83"/>
      <c r="D127" s="83"/>
      <c r="E127" s="410" t="s">
        <v>138</v>
      </c>
      <c r="F127" s="83"/>
      <c r="G127" s="395"/>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row>
    <row r="128" customFormat="false" ht="15" hidden="false" customHeight="false" outlineLevel="0" collapsed="false">
      <c r="C128" s="14" t="s">
        <v>619</v>
      </c>
      <c r="E128" s="21" t="n">
        <f aca="false">SUM(H128:AL128)</f>
        <v>8115482.09237982</v>
      </c>
      <c r="F128" s="95"/>
      <c r="G128" s="151" t="s">
        <v>112</v>
      </c>
      <c r="H128" s="21" t="n">
        <f aca="false">H34</f>
        <v>0</v>
      </c>
      <c r="I128" s="21" t="n">
        <f aca="false">I34</f>
        <v>735993.72</v>
      </c>
      <c r="J128" s="21" t="n">
        <f aca="false">J34</f>
        <v>772793.406</v>
      </c>
      <c r="K128" s="21" t="n">
        <f aca="false">K34</f>
        <v>811433.0763</v>
      </c>
      <c r="L128" s="21" t="n">
        <f aca="false">L34</f>
        <v>852004.730115</v>
      </c>
      <c r="M128" s="21" t="n">
        <f aca="false">M34</f>
        <v>894604.96662075</v>
      </c>
      <c r="N128" s="21" t="n">
        <f aca="false">N34</f>
        <v>939335.214951788</v>
      </c>
      <c r="O128" s="21" t="n">
        <f aca="false">O34</f>
        <v>986301.975699377</v>
      </c>
      <c r="P128" s="21" t="n">
        <f aca="false">P34</f>
        <v>1035617.07448435</v>
      </c>
      <c r="Q128" s="21" t="n">
        <f aca="false">Q34</f>
        <v>1087397.92820856</v>
      </c>
      <c r="R128" s="21" t="n">
        <f aca="false">R34</f>
        <v>0</v>
      </c>
      <c r="S128" s="21" t="n">
        <f aca="false">S34</f>
        <v>0</v>
      </c>
      <c r="T128" s="21" t="n">
        <f aca="false">T34</f>
        <v>0</v>
      </c>
      <c r="U128" s="21" t="n">
        <f aca="false">U34</f>
        <v>0</v>
      </c>
      <c r="V128" s="21" t="n">
        <f aca="false">V34</f>
        <v>0</v>
      </c>
      <c r="W128" s="21" t="n">
        <f aca="false">W34</f>
        <v>0</v>
      </c>
      <c r="X128" s="21" t="n">
        <f aca="false">X34</f>
        <v>0</v>
      </c>
      <c r="Y128" s="21" t="n">
        <f aca="false">Y34</f>
        <v>0</v>
      </c>
      <c r="Z128" s="21" t="n">
        <f aca="false">Z34</f>
        <v>0</v>
      </c>
      <c r="AA128" s="21" t="n">
        <f aca="false">AA34</f>
        <v>0</v>
      </c>
      <c r="AB128" s="21" t="n">
        <f aca="false">AB34</f>
        <v>0</v>
      </c>
      <c r="AC128" s="21" t="n">
        <f aca="false">AC34</f>
        <v>0</v>
      </c>
      <c r="AD128" s="21" t="n">
        <f aca="false">AD34</f>
        <v>0</v>
      </c>
      <c r="AE128" s="21" t="n">
        <f aca="false">AE34</f>
        <v>0</v>
      </c>
      <c r="AF128" s="21" t="n">
        <f aca="false">AF34</f>
        <v>0</v>
      </c>
      <c r="AG128" s="21" t="n">
        <f aca="false">AG34</f>
        <v>0</v>
      </c>
      <c r="AH128" s="21" t="n">
        <f aca="false">AH34</f>
        <v>0</v>
      </c>
      <c r="AI128" s="21" t="n">
        <f aca="false">AI34</f>
        <v>0</v>
      </c>
      <c r="AJ128" s="21" t="n">
        <f aca="false">AJ34</f>
        <v>0</v>
      </c>
      <c r="AK128" s="21" t="n">
        <f aca="false">AK34</f>
        <v>0</v>
      </c>
      <c r="AL128" s="21" t="n">
        <f aca="false">AL34</f>
        <v>0</v>
      </c>
    </row>
    <row r="129" customFormat="false" ht="15" hidden="false" customHeight="false" outlineLevel="0" collapsed="false">
      <c r="C129" s="14" t="s">
        <v>635</v>
      </c>
      <c r="E129" s="21" t="n">
        <f aca="false">SUM(H129:AL129)</f>
        <v>15426527.5071055</v>
      </c>
      <c r="F129" s="95"/>
      <c r="G129" s="151" t="s">
        <v>112</v>
      </c>
      <c r="H129" s="21" t="n">
        <f aca="false">H48</f>
        <v>0</v>
      </c>
      <c r="I129" s="21" t="n">
        <f aca="false">I48</f>
        <v>27674.955</v>
      </c>
      <c r="J129" s="21" t="n">
        <f aca="false">J48</f>
        <v>58117.4055</v>
      </c>
      <c r="K129" s="21" t="n">
        <f aca="false">K48</f>
        <v>91534.9136625</v>
      </c>
      <c r="L129" s="21" t="n">
        <f aca="false">L48</f>
        <v>128148.8791275</v>
      </c>
      <c r="M129" s="21" t="n">
        <f aca="false">M48</f>
        <v>168195.403854844</v>
      </c>
      <c r="N129" s="21" t="n">
        <f aca="false">N48</f>
        <v>211926.208857103</v>
      </c>
      <c r="O129" s="21" t="n">
        <f aca="false">O48</f>
        <v>259609.605849951</v>
      </c>
      <c r="P129" s="21" t="n">
        <f aca="false">P48</f>
        <v>311531.527019942</v>
      </c>
      <c r="Q129" s="21" t="n">
        <f aca="false">Q48</f>
        <v>367996.616292306</v>
      </c>
      <c r="R129" s="21" t="n">
        <f aca="false">R48</f>
        <v>386396.447106921</v>
      </c>
      <c r="S129" s="21" t="n">
        <f aca="false">S48</f>
        <v>405716.269462268</v>
      </c>
      <c r="T129" s="21" t="n">
        <f aca="false">T48</f>
        <v>426002.082935381</v>
      </c>
      <c r="U129" s="21" t="n">
        <f aca="false">U48</f>
        <v>447302.18708215</v>
      </c>
      <c r="V129" s="21" t="n">
        <f aca="false">V48</f>
        <v>469667.296436258</v>
      </c>
      <c r="W129" s="21" t="n">
        <f aca="false">W48</f>
        <v>493150.66125807</v>
      </c>
      <c r="X129" s="21" t="n">
        <f aca="false">X48</f>
        <v>517808.194320974</v>
      </c>
      <c r="Y129" s="21" t="n">
        <f aca="false">Y48</f>
        <v>543698.604037023</v>
      </c>
      <c r="Z129" s="21" t="n">
        <f aca="false">Z48</f>
        <v>570883.534238874</v>
      </c>
      <c r="AA129" s="21" t="n">
        <f aca="false">AA48</f>
        <v>599427.710950818</v>
      </c>
      <c r="AB129" s="21" t="n">
        <f aca="false">AB48</f>
        <v>629399.096498359</v>
      </c>
      <c r="AC129" s="21" t="n">
        <f aca="false">AC48</f>
        <v>660869.051323277</v>
      </c>
      <c r="AD129" s="21" t="n">
        <f aca="false">AD48</f>
        <v>693912.50388944</v>
      </c>
      <c r="AE129" s="21" t="n">
        <f aca="false">AE48</f>
        <v>728608.129083912</v>
      </c>
      <c r="AF129" s="21" t="n">
        <f aca="false">AF48</f>
        <v>765038.535538108</v>
      </c>
      <c r="AG129" s="21" t="n">
        <f aca="false">AG48</f>
        <v>803290.462315013</v>
      </c>
      <c r="AH129" s="21" t="n">
        <f aca="false">AH48</f>
        <v>843454.985430764</v>
      </c>
      <c r="AI129" s="21" t="n">
        <f aca="false">AI48</f>
        <v>885627.734702302</v>
      </c>
      <c r="AJ129" s="21" t="n">
        <f aca="false">AJ48</f>
        <v>929909.121437418</v>
      </c>
      <c r="AK129" s="21" t="n">
        <f aca="false">AK48</f>
        <v>976404.577509289</v>
      </c>
      <c r="AL129" s="21" t="n">
        <f aca="false">AL48</f>
        <v>1025224.80638475</v>
      </c>
    </row>
    <row r="130" customFormat="false" ht="15" hidden="false" customHeight="false" outlineLevel="0" collapsed="false">
      <c r="C130" s="14" t="s">
        <v>627</v>
      </c>
      <c r="E130" s="21" t="n">
        <f aca="false">SUM(H130:AL130)</f>
        <v>50604090.591896</v>
      </c>
      <c r="F130" s="95"/>
      <c r="G130" s="151" t="s">
        <v>112</v>
      </c>
      <c r="H130" s="21" t="n">
        <f aca="false">H54</f>
        <v>0</v>
      </c>
      <c r="I130" s="21" t="n">
        <f aca="false">I54</f>
        <v>97100.681</v>
      </c>
      <c r="J130" s="21" t="n">
        <f aca="false">J54</f>
        <v>407826.795659375</v>
      </c>
      <c r="K130" s="21" t="n">
        <f aca="false">K54</f>
        <v>691635.298285312</v>
      </c>
      <c r="L130" s="21" t="n">
        <f aca="false">L54</f>
        <v>814380.431080838</v>
      </c>
      <c r="M130" s="21" t="n">
        <f aca="false">M54</f>
        <v>1168019.25776554</v>
      </c>
      <c r="N130" s="21" t="n">
        <f aca="false">N54</f>
        <v>1251339.05110874</v>
      </c>
      <c r="O130" s="21" t="n">
        <f aca="false">O54</f>
        <v>1338590.57195517</v>
      </c>
      <c r="P130" s="21" t="n">
        <f aca="false">P54</f>
        <v>1429948.63821446</v>
      </c>
      <c r="Q130" s="21" t="n">
        <f aca="false">Q54</f>
        <v>1525596.14262787</v>
      </c>
      <c r="R130" s="21" t="n">
        <f aca="false">R54</f>
        <v>1510306.8812247</v>
      </c>
      <c r="S130" s="21" t="n">
        <f aca="false">S54</f>
        <v>1550479.53104974</v>
      </c>
      <c r="T130" s="21" t="n">
        <f aca="false">T54</f>
        <v>1591777.24601012</v>
      </c>
      <c r="U130" s="21" t="n">
        <f aca="false">U54</f>
        <v>1634234.19017872</v>
      </c>
      <c r="V130" s="21" t="n">
        <f aca="false">V54</f>
        <v>1677885.68360245</v>
      </c>
      <c r="W130" s="21" t="n">
        <f aca="false">W54</f>
        <v>1722768.24629524</v>
      </c>
      <c r="X130" s="21" t="n">
        <f aca="false">X54</f>
        <v>1768919.64408548</v>
      </c>
      <c r="Y130" s="21" t="n">
        <f aca="false">Y54</f>
        <v>1816378.93640213</v>
      </c>
      <c r="Z130" s="21" t="n">
        <f aca="false">Z54</f>
        <v>1865186.52608741</v>
      </c>
      <c r="AA130" s="21" t="n">
        <f aca="false">AA54</f>
        <v>1915384.21132859</v>
      </c>
      <c r="AB130" s="21" t="n">
        <f aca="false">AB54</f>
        <v>1967015.23980525</v>
      </c>
      <c r="AC130" s="21" t="n">
        <f aca="false">AC54</f>
        <v>2020124.36515349</v>
      </c>
      <c r="AD130" s="21" t="n">
        <f aca="false">AD54</f>
        <v>2074757.9058531</v>
      </c>
      <c r="AE130" s="21" t="n">
        <f aca="false">AE54</f>
        <v>2130963.80664874</v>
      </c>
      <c r="AF130" s="21" t="n">
        <f aca="false">AF54</f>
        <v>2188791.70262173</v>
      </c>
      <c r="AG130" s="21" t="n">
        <f aca="false">AG54</f>
        <v>2248292.98603439</v>
      </c>
      <c r="AH130" s="21" t="n">
        <f aca="false">AH54</f>
        <v>2309520.87607471</v>
      </c>
      <c r="AI130" s="21" t="n">
        <f aca="false">AI54</f>
        <v>2372530.49163552</v>
      </c>
      <c r="AJ130" s="21" t="n">
        <f aca="false">AJ54</f>
        <v>2437378.9272683</v>
      </c>
      <c r="AK130" s="21" t="n">
        <f aca="false">AK54</f>
        <v>2504125.33245899</v>
      </c>
      <c r="AL130" s="21" t="n">
        <f aca="false">AL54</f>
        <v>2572830.9943799</v>
      </c>
    </row>
    <row r="131" customFormat="false" ht="15" hidden="false" customHeight="false" outlineLevel="0" collapsed="false">
      <c r="C131" s="14" t="s">
        <v>496</v>
      </c>
      <c r="E131" s="21" t="n">
        <f aca="false">SUM(H131:AL131)</f>
        <v>57052659.9447363</v>
      </c>
      <c r="F131" s="95"/>
      <c r="G131" s="151" t="s">
        <v>112</v>
      </c>
      <c r="H131" s="21" t="n">
        <f aca="false">SUM(H132:H135)</f>
        <v>22740</v>
      </c>
      <c r="I131" s="21" t="n">
        <f aca="false">SUM(I132:I135)</f>
        <v>181609.8</v>
      </c>
      <c r="J131" s="21" t="n">
        <f aca="false">SUM(J132:J135)</f>
        <v>392907.975</v>
      </c>
      <c r="K131" s="21" t="n">
        <f aca="false">SUM(K132:K135)</f>
        <v>568939.18623</v>
      </c>
      <c r="L131" s="21" t="n">
        <f aca="false">SUM(L132:L135)</f>
        <v>762870.1186887</v>
      </c>
      <c r="M131" s="21" t="n">
        <f aca="false">SUM(M132:M135)</f>
        <v>959745.176116116</v>
      </c>
      <c r="N131" s="21" t="n">
        <f aca="false">SUM(N132:N135)</f>
        <v>1163276.4725114</v>
      </c>
      <c r="O131" s="21" t="n">
        <f aca="false">SUM(O132:O135)</f>
        <v>1373376.78503258</v>
      </c>
      <c r="P131" s="21" t="n">
        <f aca="false">SUM(P132:P135)</f>
        <v>1591400.32727321</v>
      </c>
      <c r="Q131" s="21" t="n">
        <f aca="false">SUM(Q132:Q135)</f>
        <v>1817581.25468743</v>
      </c>
      <c r="R131" s="21" t="n">
        <f aca="false">SUM(R132:R135)</f>
        <v>1856950.21655725</v>
      </c>
      <c r="S131" s="21" t="n">
        <f aca="false">SUM(S132:S135)</f>
        <v>1895115.42450326</v>
      </c>
      <c r="T131" s="21" t="n">
        <f aca="false">SUM(T132:T135)</f>
        <v>1934095.24678894</v>
      </c>
      <c r="U131" s="21" t="n">
        <f aca="false">SUM(U132:U135)</f>
        <v>1973908.54121011</v>
      </c>
      <c r="V131" s="21" t="n">
        <f aca="false">SUM(V132:V135)</f>
        <v>2014574.67099398</v>
      </c>
      <c r="W131" s="21" t="n">
        <f aca="false">SUM(W132:W135)</f>
        <v>2056113.52132151</v>
      </c>
      <c r="X131" s="21" t="n">
        <f aca="false">SUM(X132:X135)</f>
        <v>2098545.51650097</v>
      </c>
      <c r="Y131" s="21" t="n">
        <f aca="false">SUM(Y132:Y135)</f>
        <v>2141891.63782167</v>
      </c>
      <c r="Z131" s="21" t="n">
        <f aca="false">SUM(Z132:Z135)</f>
        <v>2186173.44211831</v>
      </c>
      <c r="AA131" s="21" t="n">
        <f aca="false">SUM(AA132:AA135)</f>
        <v>2231413.08107791</v>
      </c>
      <c r="AB131" s="21" t="n">
        <f aca="false">SUM(AB132:AB135)</f>
        <v>2277633.32132255</v>
      </c>
      <c r="AC131" s="21" t="n">
        <f aca="false">SUM(AC132:AC135)</f>
        <v>2324857.56530324</v>
      </c>
      <c r="AD131" s="21" t="n">
        <f aca="false">SUM(AD132:AD135)</f>
        <v>2373109.87304126</v>
      </c>
      <c r="AE131" s="21" t="n">
        <f aca="false">SUM(AE132:AE135)</f>
        <v>2422414.98475564</v>
      </c>
      <c r="AF131" s="21" t="n">
        <f aca="false">SUM(AF132:AF135)</f>
        <v>2472798.34441698</v>
      </c>
      <c r="AG131" s="21" t="n">
        <f aca="false">SUM(AG132:AG135)</f>
        <v>2524286.12426986</v>
      </c>
      <c r="AH131" s="21" t="n">
        <f aca="false">SUM(AH132:AH135)</f>
        <v>2576905.25036802</v>
      </c>
      <c r="AI131" s="21" t="n">
        <f aca="false">SUM(AI132:AI135)</f>
        <v>2630683.42916879</v>
      </c>
      <c r="AJ131" s="21" t="n">
        <f aca="false">SUM(AJ132:AJ135)</f>
        <v>2685649.17523524</v>
      </c>
      <c r="AK131" s="21" t="n">
        <f aca="false">SUM(AK132:AK135)</f>
        <v>2741831.84009717</v>
      </c>
      <c r="AL131" s="21" t="n">
        <f aca="false">SUM(AL132:AL135)</f>
        <v>2799261.6423242</v>
      </c>
    </row>
    <row r="132" customFormat="false" ht="15" hidden="false" customHeight="false" outlineLevel="0" collapsed="false">
      <c r="C132" s="396" t="s">
        <v>326</v>
      </c>
      <c r="D132" s="30"/>
      <c r="E132" s="397" t="n">
        <f aca="false">SUM(H132:AL132)</f>
        <v>51311440.712117</v>
      </c>
      <c r="F132" s="398"/>
      <c r="G132" s="151" t="s">
        <v>112</v>
      </c>
      <c r="H132" s="397" t="n">
        <f aca="false">H97</f>
        <v>7140</v>
      </c>
      <c r="I132" s="397" t="n">
        <f aca="false">I97</f>
        <v>152938.8</v>
      </c>
      <c r="J132" s="397" t="n">
        <f aca="false">J97</f>
        <v>344892.6</v>
      </c>
      <c r="K132" s="397" t="n">
        <f aca="false">K97</f>
        <v>506578.25088</v>
      </c>
      <c r="L132" s="397" t="n">
        <f aca="false">L97</f>
        <v>685634.1787872</v>
      </c>
      <c r="M132" s="397" t="n">
        <f aca="false">M97</f>
        <v>860388.088317696</v>
      </c>
      <c r="N132" s="397" t="n">
        <f aca="false">N97</f>
        <v>1047601.32889614</v>
      </c>
      <c r="O132" s="397" t="n">
        <f aca="false">O97</f>
        <v>1240787.2844814</v>
      </c>
      <c r="P132" s="397" t="n">
        <f aca="false">P97</f>
        <v>1441281.63775851</v>
      </c>
      <c r="Q132" s="397" t="n">
        <f aca="false">Q97</f>
        <v>1649299.45025291</v>
      </c>
      <c r="R132" s="397" t="n">
        <f aca="false">R97</f>
        <v>1682285.43925796</v>
      </c>
      <c r="S132" s="397" t="n">
        <f aca="false">S97</f>
        <v>1715931.14804312</v>
      </c>
      <c r="T132" s="397" t="n">
        <f aca="false">T97</f>
        <v>1750249.77100399</v>
      </c>
      <c r="U132" s="397" t="n">
        <f aca="false">U97</f>
        <v>1785254.76642407</v>
      </c>
      <c r="V132" s="397" t="n">
        <f aca="false">V97</f>
        <v>1820959.86175255</v>
      </c>
      <c r="W132" s="397" t="n">
        <f aca="false">W97</f>
        <v>1857379.0589876</v>
      </c>
      <c r="X132" s="397" t="n">
        <f aca="false">X97</f>
        <v>1894526.64016735</v>
      </c>
      <c r="Y132" s="397" t="n">
        <f aca="false">Y97</f>
        <v>1932417.1729707</v>
      </c>
      <c r="Z132" s="397" t="n">
        <f aca="false">Z97</f>
        <v>1971065.51643011</v>
      </c>
      <c r="AA132" s="397" t="n">
        <f aca="false">AA97</f>
        <v>2010486.82675871</v>
      </c>
      <c r="AB132" s="397" t="n">
        <f aca="false">AB97</f>
        <v>2050696.56329389</v>
      </c>
      <c r="AC132" s="397" t="n">
        <f aca="false">AC97</f>
        <v>2091710.49455977</v>
      </c>
      <c r="AD132" s="397" t="n">
        <f aca="false">AD97</f>
        <v>2133544.70445096</v>
      </c>
      <c r="AE132" s="397" t="n">
        <f aca="false">AE97</f>
        <v>2176215.59853998</v>
      </c>
      <c r="AF132" s="397" t="n">
        <f aca="false">AF97</f>
        <v>2219739.91051078</v>
      </c>
      <c r="AG132" s="397" t="n">
        <f aca="false">AG97</f>
        <v>2264134.708721</v>
      </c>
      <c r="AH132" s="397" t="n">
        <f aca="false">AH97</f>
        <v>2309417.40289542</v>
      </c>
      <c r="AI132" s="397" t="n">
        <f aca="false">AI97</f>
        <v>2355605.75095332</v>
      </c>
      <c r="AJ132" s="397" t="n">
        <f aca="false">AJ97</f>
        <v>2402717.86597239</v>
      </c>
      <c r="AK132" s="397" t="n">
        <f aca="false">AK97</f>
        <v>2450772.22329184</v>
      </c>
      <c r="AL132" s="397" t="n">
        <f aca="false">AL97</f>
        <v>2499787.66775768</v>
      </c>
    </row>
    <row r="133" customFormat="false" ht="15" hidden="false" customHeight="false" outlineLevel="0" collapsed="false">
      <c r="C133" s="396" t="s">
        <v>353</v>
      </c>
      <c r="D133" s="30"/>
      <c r="E133" s="397" t="n">
        <f aca="false">SUM(H133:AL133)</f>
        <v>1446204.52337894</v>
      </c>
      <c r="F133" s="398"/>
      <c r="G133" s="151" t="s">
        <v>112</v>
      </c>
      <c r="H133" s="397" t="n">
        <f aca="false">H102</f>
        <v>10500</v>
      </c>
      <c r="I133" s="397" t="n">
        <f aca="false">I102</f>
        <v>11025</v>
      </c>
      <c r="J133" s="397" t="n">
        <f aca="false">J102</f>
        <v>17364.375</v>
      </c>
      <c r="K133" s="397" t="n">
        <f aca="false">K102</f>
        <v>18232.59375</v>
      </c>
      <c r="L133" s="397" t="n">
        <f aca="false">L102</f>
        <v>19144.2234375</v>
      </c>
      <c r="M133" s="397" t="n">
        <f aca="false">M102</f>
        <v>26801.9128125</v>
      </c>
      <c r="N133" s="397" t="n">
        <f aca="false">N102</f>
        <v>28142.008453125</v>
      </c>
      <c r="O133" s="397" t="n">
        <f aca="false">O102</f>
        <v>29549.1088757813</v>
      </c>
      <c r="P133" s="397" t="n">
        <f aca="false">P102</f>
        <v>31026.5643195703</v>
      </c>
      <c r="Q133" s="397" t="n">
        <f aca="false">Q102</f>
        <v>32577.8925355488</v>
      </c>
      <c r="R133" s="397" t="n">
        <f aca="false">R102</f>
        <v>34206.7871623263</v>
      </c>
      <c r="S133" s="397" t="n">
        <f aca="false">S102</f>
        <v>35917.1265204426</v>
      </c>
      <c r="T133" s="397" t="n">
        <f aca="false">T102</f>
        <v>37712.9828464647</v>
      </c>
      <c r="U133" s="397" t="n">
        <f aca="false">U102</f>
        <v>39598.631988788</v>
      </c>
      <c r="V133" s="397" t="n">
        <f aca="false">V102</f>
        <v>41578.5635882274</v>
      </c>
      <c r="W133" s="397" t="n">
        <f aca="false">W102</f>
        <v>43657.4917676387</v>
      </c>
      <c r="X133" s="397" t="n">
        <f aca="false">X102</f>
        <v>45840.3663560207</v>
      </c>
      <c r="Y133" s="397" t="n">
        <f aca="false">Y102</f>
        <v>48132.3846738217</v>
      </c>
      <c r="Z133" s="397" t="n">
        <f aca="false">Z102</f>
        <v>50539.0039075128</v>
      </c>
      <c r="AA133" s="397" t="n">
        <f aca="false">AA102</f>
        <v>53065.9541028884</v>
      </c>
      <c r="AB133" s="397" t="n">
        <f aca="false">AB102</f>
        <v>55719.2518080329</v>
      </c>
      <c r="AC133" s="397" t="n">
        <f aca="false">AC102</f>
        <v>58505.2143984345</v>
      </c>
      <c r="AD133" s="397" t="n">
        <f aca="false">AD102</f>
        <v>61430.4751183563</v>
      </c>
      <c r="AE133" s="397" t="n">
        <f aca="false">AE102</f>
        <v>64501.9988742741</v>
      </c>
      <c r="AF133" s="397" t="n">
        <f aca="false">AF102</f>
        <v>67727.0988179878</v>
      </c>
      <c r="AG133" s="397" t="n">
        <f aca="false">AG102</f>
        <v>71113.4537588872</v>
      </c>
      <c r="AH133" s="397" t="n">
        <f aca="false">AH102</f>
        <v>74669.1264468315</v>
      </c>
      <c r="AI133" s="397" t="n">
        <f aca="false">AI102</f>
        <v>78402.5827691731</v>
      </c>
      <c r="AJ133" s="397" t="n">
        <f aca="false">AJ102</f>
        <v>82322.7119076318</v>
      </c>
      <c r="AK133" s="397" t="n">
        <f aca="false">AK102</f>
        <v>86438.8475030134</v>
      </c>
      <c r="AL133" s="397" t="n">
        <f aca="false">AL102</f>
        <v>90760.789878164</v>
      </c>
    </row>
    <row r="134" customFormat="false" ht="15" hidden="false" customHeight="false" outlineLevel="0" collapsed="false">
      <c r="C134" s="396" t="s">
        <v>361</v>
      </c>
      <c r="D134" s="30"/>
      <c r="E134" s="397" t="n">
        <f aca="false">SUM(H134:AL134)</f>
        <v>888939.754651529</v>
      </c>
      <c r="F134" s="398"/>
      <c r="G134" s="151" t="s">
        <v>112</v>
      </c>
      <c r="H134" s="397" t="n">
        <f aca="false">H106</f>
        <v>5100</v>
      </c>
      <c r="I134" s="397" t="n">
        <f aca="false">I106</f>
        <v>7242</v>
      </c>
      <c r="J134" s="397" t="n">
        <f aca="false">J106</f>
        <v>9426.84</v>
      </c>
      <c r="K134" s="397" t="n">
        <f aca="false">K106</f>
        <v>11655.3768</v>
      </c>
      <c r="L134" s="397" t="n">
        <f aca="false">L106</f>
        <v>13928.484336</v>
      </c>
      <c r="M134" s="397" t="n">
        <f aca="false">M106</f>
        <v>16247.05402272</v>
      </c>
      <c r="N134" s="397" t="n">
        <f aca="false">N106</f>
        <v>18611.9951031744</v>
      </c>
      <c r="O134" s="397" t="n">
        <f aca="false">O106</f>
        <v>21024.2350052379</v>
      </c>
      <c r="P134" s="397" t="n">
        <f aca="false">P106</f>
        <v>23484.7197053426</v>
      </c>
      <c r="Q134" s="397" t="n">
        <f aca="false">Q106</f>
        <v>25994.4140994495</v>
      </c>
      <c r="R134" s="397" t="n">
        <f aca="false">R106</f>
        <v>28554.3023814385</v>
      </c>
      <c r="S134" s="397" t="n">
        <f aca="false">S106</f>
        <v>29125.3884290673</v>
      </c>
      <c r="T134" s="397" t="n">
        <f aca="false">T106</f>
        <v>29707.8961976486</v>
      </c>
      <c r="U134" s="397" t="n">
        <f aca="false">U106</f>
        <v>30302.0541216016</v>
      </c>
      <c r="V134" s="397" t="n">
        <f aca="false">V106</f>
        <v>30908.0952040336</v>
      </c>
      <c r="W134" s="397" t="n">
        <f aca="false">W106</f>
        <v>31526.2571081143</v>
      </c>
      <c r="X134" s="397" t="n">
        <f aca="false">X106</f>
        <v>32156.7822502766</v>
      </c>
      <c r="Y134" s="397" t="n">
        <f aca="false">Y106</f>
        <v>32799.9178952821</v>
      </c>
      <c r="Z134" s="397" t="n">
        <f aca="false">Z106</f>
        <v>33455.9162531877</v>
      </c>
      <c r="AA134" s="397" t="n">
        <f aca="false">AA106</f>
        <v>34125.0345782515</v>
      </c>
      <c r="AB134" s="397" t="n">
        <f aca="false">AB106</f>
        <v>34807.5352698165</v>
      </c>
      <c r="AC134" s="397" t="n">
        <f aca="false">AC106</f>
        <v>35503.6859752129</v>
      </c>
      <c r="AD134" s="397" t="n">
        <f aca="false">AD106</f>
        <v>36213.7596947171</v>
      </c>
      <c r="AE134" s="397" t="n">
        <f aca="false">AE106</f>
        <v>36938.0348886115</v>
      </c>
      <c r="AF134" s="397" t="n">
        <f aca="false">AF106</f>
        <v>37676.7955863837</v>
      </c>
      <c r="AG134" s="397" t="n">
        <f aca="false">AG106</f>
        <v>38430.3314981114</v>
      </c>
      <c r="AH134" s="397" t="n">
        <f aca="false">AH106</f>
        <v>39198.9381280736</v>
      </c>
      <c r="AI134" s="397" t="n">
        <f aca="false">AI106</f>
        <v>39982.9168906351</v>
      </c>
      <c r="AJ134" s="397" t="n">
        <f aca="false">AJ106</f>
        <v>40782.5752284478</v>
      </c>
      <c r="AK134" s="397" t="n">
        <f aca="false">AK106</f>
        <v>41598.2267330167</v>
      </c>
      <c r="AL134" s="397" t="n">
        <f aca="false">AL106</f>
        <v>42430.1912676771</v>
      </c>
    </row>
    <row r="135" customFormat="false" ht="15" hidden="false" customHeight="false" outlineLevel="0" collapsed="false">
      <c r="C135" s="396" t="s">
        <v>364</v>
      </c>
      <c r="D135" s="30"/>
      <c r="E135" s="397" t="n">
        <f aca="false">SUM(H135:AL135)</f>
        <v>3406074.95458878</v>
      </c>
      <c r="F135" s="398"/>
      <c r="G135" s="151" t="s">
        <v>112</v>
      </c>
      <c r="H135" s="397" t="n">
        <f aca="false">H112</f>
        <v>0</v>
      </c>
      <c r="I135" s="397" t="n">
        <f aca="false">I112</f>
        <v>10404</v>
      </c>
      <c r="J135" s="397" t="n">
        <f aca="false">J112</f>
        <v>21224.16</v>
      </c>
      <c r="K135" s="397" t="n">
        <f aca="false">K112</f>
        <v>32472.9648</v>
      </c>
      <c r="L135" s="397" t="n">
        <f aca="false">L112</f>
        <v>44163.232128</v>
      </c>
      <c r="M135" s="397" t="n">
        <f aca="false">M112</f>
        <v>56308.1209632</v>
      </c>
      <c r="N135" s="397" t="n">
        <f aca="false">N112</f>
        <v>68921.1400589568</v>
      </c>
      <c r="O135" s="397" t="n">
        <f aca="false">O112</f>
        <v>82016.1566701586</v>
      </c>
      <c r="P135" s="397" t="n">
        <f aca="false">P112</f>
        <v>95607.4054897849</v>
      </c>
      <c r="Q135" s="397" t="n">
        <f aca="false">Q112</f>
        <v>109709.497799528</v>
      </c>
      <c r="R135" s="397" t="n">
        <f aca="false">R112</f>
        <v>111903.687755519</v>
      </c>
      <c r="S135" s="397" t="n">
        <f aca="false">S112</f>
        <v>114141.761510629</v>
      </c>
      <c r="T135" s="397" t="n">
        <f aca="false">T112</f>
        <v>116424.596740842</v>
      </c>
      <c r="U135" s="397" t="n">
        <f aca="false">U112</f>
        <v>118753.088675659</v>
      </c>
      <c r="V135" s="397" t="n">
        <f aca="false">V112</f>
        <v>121128.150449172</v>
      </c>
      <c r="W135" s="397" t="n">
        <f aca="false">W112</f>
        <v>123550.713458155</v>
      </c>
      <c r="X135" s="397" t="n">
        <f aca="false">X112</f>
        <v>126021.727727318</v>
      </c>
      <c r="Y135" s="397" t="n">
        <f aca="false">Y112</f>
        <v>128542.162281865</v>
      </c>
      <c r="Z135" s="397" t="n">
        <f aca="false">Z112</f>
        <v>131113.005527502</v>
      </c>
      <c r="AA135" s="397" t="n">
        <f aca="false">AA112</f>
        <v>133735.265638052</v>
      </c>
      <c r="AB135" s="397" t="n">
        <f aca="false">AB112</f>
        <v>136409.970950813</v>
      </c>
      <c r="AC135" s="397" t="n">
        <f aca="false">AC112</f>
        <v>139138.170369829</v>
      </c>
      <c r="AD135" s="397" t="n">
        <f aca="false">AD112</f>
        <v>141920.933777226</v>
      </c>
      <c r="AE135" s="397" t="n">
        <f aca="false">AE112</f>
        <v>144759.35245277</v>
      </c>
      <c r="AF135" s="397" t="n">
        <f aca="false">AF112</f>
        <v>147654.539501826</v>
      </c>
      <c r="AG135" s="397" t="n">
        <f aca="false">AG112</f>
        <v>150607.630291862</v>
      </c>
      <c r="AH135" s="397" t="n">
        <f aca="false">AH112</f>
        <v>153619.7828977</v>
      </c>
      <c r="AI135" s="397" t="n">
        <f aca="false">AI112</f>
        <v>156692.178555654</v>
      </c>
      <c r="AJ135" s="397" t="n">
        <f aca="false">AJ112</f>
        <v>159826.022126767</v>
      </c>
      <c r="AK135" s="397" t="n">
        <f aca="false">AK112</f>
        <v>163022.542569302</v>
      </c>
      <c r="AL135" s="397" t="n">
        <f aca="false">AL112</f>
        <v>166282.993420688</v>
      </c>
    </row>
    <row r="136" customFormat="false" ht="15" hidden="false" customHeight="false" outlineLevel="0" collapsed="false">
      <c r="B136" s="56"/>
      <c r="C136" s="368" t="s">
        <v>616</v>
      </c>
      <c r="D136" s="208"/>
      <c r="E136" s="58" t="n">
        <f aca="false">SUM(H136:AL136)</f>
        <v>11525666.6455184</v>
      </c>
      <c r="F136" s="411"/>
      <c r="G136" s="393" t="s">
        <v>112</v>
      </c>
      <c r="H136" s="58" t="n">
        <f aca="false">H120+H125</f>
        <v>206162</v>
      </c>
      <c r="I136" s="58" t="n">
        <f aca="false">I120+I125</f>
        <v>196747.2</v>
      </c>
      <c r="J136" s="58" t="n">
        <f aca="false">J120+J125</f>
        <v>219663.225</v>
      </c>
      <c r="K136" s="58" t="n">
        <f aca="false">K120+K125</f>
        <v>212068.125</v>
      </c>
      <c r="L136" s="58" t="n">
        <f aca="false">L120+L125</f>
        <v>231569.439165</v>
      </c>
      <c r="M136" s="58" t="n">
        <f aca="false">M120+M125</f>
        <v>228763.6800273</v>
      </c>
      <c r="N136" s="58" t="n">
        <f aca="false">N120+N125</f>
        <v>243915.524461915</v>
      </c>
      <c r="O136" s="58" t="n">
        <f aca="false">O120+O125</f>
        <v>252214.777498715</v>
      </c>
      <c r="P136" s="58" t="n">
        <f aca="false">P120+P125</f>
        <v>262189.282766396</v>
      </c>
      <c r="Q136" s="58" t="n">
        <f aca="false">Q120+Q125</f>
        <v>272609.788625315</v>
      </c>
      <c r="R136" s="58" t="n">
        <f aca="false">R120+R125</f>
        <v>283497.540611593</v>
      </c>
      <c r="S136" s="58" t="n">
        <f aca="false">S120+S125</f>
        <v>294874.825448285</v>
      </c>
      <c r="T136" s="58" t="n">
        <f aca="false">T120+T125</f>
        <v>306765.022682933</v>
      </c>
      <c r="U136" s="58" t="n">
        <f aca="false">U120+U125</f>
        <v>319192.658898559</v>
      </c>
      <c r="V136" s="58" t="n">
        <f aca="false">V120+V125</f>
        <v>332183.464626595</v>
      </c>
      <c r="W136" s="58" t="n">
        <f aca="false">W120+W125</f>
        <v>345764.434096696</v>
      </c>
      <c r="X136" s="58" t="n">
        <f aca="false">X120+X125</f>
        <v>359963.887965077</v>
      </c>
      <c r="Y136" s="58" t="n">
        <f aca="false">Y120+Y125</f>
        <v>374811.539170147</v>
      </c>
      <c r="Z136" s="58" t="n">
        <f aca="false">Z120+Z125</f>
        <v>390338.562071608</v>
      </c>
      <c r="AA136" s="58" t="n">
        <f aca="false">AA120+AA125</f>
        <v>406577.665037001</v>
      </c>
      <c r="AB136" s="58" t="n">
        <f aca="false">AB120+AB125</f>
        <v>423563.1666479</v>
      </c>
      <c r="AC136" s="58" t="n">
        <f aca="false">AC120+AC125</f>
        <v>441331.075706525</v>
      </c>
      <c r="AD136" s="58" t="n">
        <f aca="false">AD120+AD125</f>
        <v>459919.175232605</v>
      </c>
      <c r="AE136" s="58" t="n">
        <f aca="false">AE120+AE125</f>
        <v>479367.110649805</v>
      </c>
      <c r="AF136" s="58" t="n">
        <f aca="false">AF120+AF125</f>
        <v>499716.482370976</v>
      </c>
      <c r="AG136" s="58" t="n">
        <f aca="false">AG120+AG125</f>
        <v>521010.943001979</v>
      </c>
      <c r="AH136" s="58" t="n">
        <f aca="false">AH120+AH125</f>
        <v>543296.299394781</v>
      </c>
      <c r="AI136" s="58" t="n">
        <f aca="false">AI120+AI125</f>
        <v>566620.619792078</v>
      </c>
      <c r="AJ136" s="58" t="n">
        <f aca="false">AJ120+AJ125</f>
        <v>591034.34631779</v>
      </c>
      <c r="AK136" s="58" t="n">
        <f aca="false">AK120+AK125</f>
        <v>616590.413080511</v>
      </c>
      <c r="AL136" s="58" t="n">
        <f aca="false">AL120+AL125</f>
        <v>643344.370170304</v>
      </c>
    </row>
    <row r="137" customFormat="false" ht="15" hidden="false" customHeight="false" outlineLevel="0" collapsed="false">
      <c r="B137" s="13" t="s">
        <v>617</v>
      </c>
      <c r="E137" s="21" t="n">
        <f aca="false">SUM(H137:AL137)</f>
        <v>142724426.781636</v>
      </c>
      <c r="G137" s="367" t="s">
        <v>112</v>
      </c>
      <c r="H137" s="60" t="n">
        <f aca="false">SUM(H128:H131,H136)</f>
        <v>228902</v>
      </c>
      <c r="I137" s="60" t="n">
        <f aca="false">SUM(I128:I131,I136)</f>
        <v>1239126.356</v>
      </c>
      <c r="J137" s="60" t="n">
        <f aca="false">SUM(J128:J131,J136)</f>
        <v>1851308.80715938</v>
      </c>
      <c r="K137" s="60" t="n">
        <f aca="false">SUM(K128:K131,K136)</f>
        <v>2375610.59947781</v>
      </c>
      <c r="L137" s="60" t="n">
        <f aca="false">SUM(L128:L131,L136)</f>
        <v>2788973.59817704</v>
      </c>
      <c r="M137" s="60" t="n">
        <f aca="false">SUM(M128:M131,M136)</f>
        <v>3419328.48438455</v>
      </c>
      <c r="N137" s="60" t="n">
        <f aca="false">SUM(N128:N131,N136)</f>
        <v>3809792.47189094</v>
      </c>
      <c r="O137" s="60" t="n">
        <f aca="false">SUM(O128:O131,O136)</f>
        <v>4210093.71603579</v>
      </c>
      <c r="P137" s="60" t="n">
        <f aca="false">SUM(P128:P131,P136)</f>
        <v>4630686.84975835</v>
      </c>
      <c r="Q137" s="60" t="n">
        <f aca="false">SUM(Q128:Q131,Q136)</f>
        <v>5071181.73044149</v>
      </c>
      <c r="R137" s="60" t="n">
        <f aca="false">SUM(R128:R131,R136)</f>
        <v>4037151.08550047</v>
      </c>
      <c r="S137" s="60" t="n">
        <f aca="false">SUM(S128:S131,S136)</f>
        <v>4146186.05046356</v>
      </c>
      <c r="T137" s="60" t="n">
        <f aca="false">SUM(T128:T131,T136)</f>
        <v>4258639.59841738</v>
      </c>
      <c r="U137" s="60" t="n">
        <f aca="false">SUM(U128:U131,U136)</f>
        <v>4374637.57736955</v>
      </c>
      <c r="V137" s="60" t="n">
        <f aca="false">SUM(V128:V131,V136)</f>
        <v>4494311.11565929</v>
      </c>
      <c r="W137" s="60" t="n">
        <f aca="false">SUM(W128:W131,W136)</f>
        <v>4617796.86297151</v>
      </c>
      <c r="X137" s="60" t="n">
        <f aca="false">SUM(X128:X131,X136)</f>
        <v>4745237.2428725</v>
      </c>
      <c r="Y137" s="60" t="n">
        <f aca="false">SUM(Y128:Y131,Y136)</f>
        <v>4876780.71743096</v>
      </c>
      <c r="Z137" s="60" t="n">
        <f aca="false">SUM(Z128:Z131,Z136)</f>
        <v>5012582.06451621</v>
      </c>
      <c r="AA137" s="60" t="n">
        <f aca="false">SUM(AA128:AA131,AA136)</f>
        <v>5152802.66839431</v>
      </c>
      <c r="AB137" s="60" t="n">
        <f aca="false">SUM(AB128:AB131,AB136)</f>
        <v>5297610.82427406</v>
      </c>
      <c r="AC137" s="60" t="n">
        <f aca="false">SUM(AC128:AC131,AC136)</f>
        <v>5447182.05748654</v>
      </c>
      <c r="AD137" s="60" t="n">
        <f aca="false">SUM(AD128:AD131,AD136)</f>
        <v>5601699.45801641</v>
      </c>
      <c r="AE137" s="60" t="n">
        <f aca="false">SUM(AE128:AE131,AE136)</f>
        <v>5761354.03113809</v>
      </c>
      <c r="AF137" s="60" t="n">
        <f aca="false">SUM(AF128:AF131,AF136)</f>
        <v>5926345.06494779</v>
      </c>
      <c r="AG137" s="60" t="n">
        <f aca="false">SUM(AG128:AG131,AG136)</f>
        <v>6096880.51562124</v>
      </c>
      <c r="AH137" s="60" t="n">
        <f aca="false">SUM(AH128:AH131,AH136)</f>
        <v>6273177.41126828</v>
      </c>
      <c r="AI137" s="60" t="n">
        <f aca="false">SUM(AI128:AI131,AI136)</f>
        <v>6455462.27529869</v>
      </c>
      <c r="AJ137" s="60" t="n">
        <f aca="false">SUM(AJ128:AJ131,AJ136)</f>
        <v>6643971.57025875</v>
      </c>
      <c r="AK137" s="60" t="n">
        <f aca="false">SUM(AK128:AK131,AK136)</f>
        <v>6838952.16314596</v>
      </c>
      <c r="AL137" s="60" t="n">
        <f aca="false">SUM(AL128:AL131,AL136)</f>
        <v>7040661.81325916</v>
      </c>
    </row>
    <row r="139" customFormat="false" ht="15" hidden="false" customHeight="false" outlineLevel="0" collapsed="false">
      <c r="B139" s="83" t="s">
        <v>636</v>
      </c>
      <c r="C139" s="83"/>
      <c r="D139" s="83"/>
      <c r="E139" s="83"/>
      <c r="F139" s="83"/>
      <c r="G139" s="395"/>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row>
    <row r="140" customFormat="false" ht="15" hidden="false" customHeight="false" outlineLevel="0" collapsed="false">
      <c r="C140" s="0" t="s">
        <v>292</v>
      </c>
      <c r="H140" s="21" t="n">
        <f aca="false">H20+H25+H30</f>
        <v>0</v>
      </c>
      <c r="I140" s="21" t="n">
        <f aca="false">I20+I25+I30</f>
        <v>22050</v>
      </c>
      <c r="J140" s="21" t="n">
        <f aca="false">J20+J25+J30</f>
        <v>23152.5</v>
      </c>
      <c r="K140" s="21" t="n">
        <f aca="false">K20+K25+K30</f>
        <v>24310.125</v>
      </c>
      <c r="L140" s="21" t="n">
        <f aca="false">L20+L25+L30</f>
        <v>25525.63125</v>
      </c>
      <c r="M140" s="21" t="n">
        <f aca="false">M20+M25+M30</f>
        <v>26801.9128125</v>
      </c>
      <c r="N140" s="21" t="n">
        <f aca="false">N20+N25+N30</f>
        <v>28142.008453125</v>
      </c>
      <c r="O140" s="21" t="n">
        <f aca="false">O20+O25+O30</f>
        <v>29549.1088757813</v>
      </c>
      <c r="P140" s="21" t="n">
        <f aca="false">P20+P25+P30</f>
        <v>31026.5643195703</v>
      </c>
      <c r="Q140" s="21" t="n">
        <f aca="false">Q20+Q25+Q30</f>
        <v>32577.8925355488</v>
      </c>
      <c r="R140" s="21" t="n">
        <f aca="false">R20+R25+R30</f>
        <v>0</v>
      </c>
      <c r="S140" s="21" t="n">
        <f aca="false">S20+S25+S30</f>
        <v>0</v>
      </c>
      <c r="T140" s="21" t="n">
        <f aca="false">T20+T25+T30</f>
        <v>0</v>
      </c>
      <c r="U140" s="21" t="n">
        <f aca="false">U20+U25+U30</f>
        <v>0</v>
      </c>
      <c r="V140" s="21" t="n">
        <f aca="false">V20+V25+V30</f>
        <v>0</v>
      </c>
      <c r="W140" s="21" t="n">
        <f aca="false">W20+W25+W30</f>
        <v>0</v>
      </c>
      <c r="X140" s="21" t="n">
        <f aca="false">X20+X25+X30</f>
        <v>0</v>
      </c>
      <c r="Y140" s="21" t="n">
        <f aca="false">Y20+Y25+Y30</f>
        <v>0</v>
      </c>
      <c r="Z140" s="21" t="n">
        <f aca="false">Z20+Z25+Z30</f>
        <v>0</v>
      </c>
      <c r="AA140" s="21" t="n">
        <f aca="false">AA20+AA25+AA30</f>
        <v>0</v>
      </c>
      <c r="AB140" s="21" t="n">
        <f aca="false">AB20+AB25+AB30</f>
        <v>0</v>
      </c>
      <c r="AC140" s="21" t="n">
        <f aca="false">AC20+AC25+AC30</f>
        <v>0</v>
      </c>
      <c r="AD140" s="21" t="n">
        <f aca="false">AD20+AD25+AD30</f>
        <v>0</v>
      </c>
      <c r="AE140" s="21" t="n">
        <f aca="false">AE20+AE25+AE30</f>
        <v>0</v>
      </c>
      <c r="AF140" s="21" t="n">
        <f aca="false">AF20+AF25+AF30</f>
        <v>0</v>
      </c>
      <c r="AG140" s="21" t="n">
        <f aca="false">AG20+AG25+AG30</f>
        <v>0</v>
      </c>
      <c r="AH140" s="21" t="n">
        <f aca="false">AH20+AH25+AH30</f>
        <v>0</v>
      </c>
      <c r="AI140" s="21" t="n">
        <f aca="false">AI20+AI25+AI30</f>
        <v>0</v>
      </c>
      <c r="AJ140" s="21" t="n">
        <f aca="false">AJ20+AJ25+AJ30</f>
        <v>0</v>
      </c>
      <c r="AK140" s="21" t="n">
        <f aca="false">AK20+AK25+AK30</f>
        <v>0</v>
      </c>
      <c r="AL140" s="21" t="n">
        <f aca="false">AL20+AL25+AL30</f>
        <v>0</v>
      </c>
    </row>
    <row r="141" customFormat="false" ht="15" hidden="false" customHeight="false" outlineLevel="0" collapsed="false">
      <c r="C141" s="0" t="s">
        <v>403</v>
      </c>
      <c r="H141" s="21" t="n">
        <f aca="false">H21+H26+H31</f>
        <v>0</v>
      </c>
      <c r="I141" s="21" t="n">
        <f aca="false">I21+I26+I31</f>
        <v>385875</v>
      </c>
      <c r="J141" s="21" t="n">
        <f aca="false">J21+J26+J31</f>
        <v>405168.75</v>
      </c>
      <c r="K141" s="21" t="n">
        <f aca="false">K21+K26+K31</f>
        <v>425427.1875</v>
      </c>
      <c r="L141" s="21" t="n">
        <f aca="false">L21+L26+L31</f>
        <v>446698.546875</v>
      </c>
      <c r="M141" s="21" t="n">
        <f aca="false">M21+M26+M31</f>
        <v>469033.47421875</v>
      </c>
      <c r="N141" s="21" t="n">
        <f aca="false">N21+N26+N31</f>
        <v>492485.147929688</v>
      </c>
      <c r="O141" s="21" t="n">
        <f aca="false">O21+O26+O31</f>
        <v>517109.405326172</v>
      </c>
      <c r="P141" s="21" t="n">
        <f aca="false">P21+P26+P31</f>
        <v>542964.875592481</v>
      </c>
      <c r="Q141" s="21" t="n">
        <f aca="false">Q21+Q26+Q31</f>
        <v>570113.119372105</v>
      </c>
      <c r="R141" s="21" t="n">
        <f aca="false">R21+R26+R31</f>
        <v>0</v>
      </c>
      <c r="S141" s="21" t="n">
        <f aca="false">S21+S26+S31</f>
        <v>0</v>
      </c>
      <c r="T141" s="21" t="n">
        <f aca="false">T21+T26+T31</f>
        <v>0</v>
      </c>
      <c r="U141" s="21" t="n">
        <f aca="false">U21+U26+U31</f>
        <v>0</v>
      </c>
      <c r="V141" s="21" t="n">
        <f aca="false">V21+V26+V31</f>
        <v>0</v>
      </c>
      <c r="W141" s="21" t="n">
        <f aca="false">W21+W26+W31</f>
        <v>0</v>
      </c>
      <c r="X141" s="21" t="n">
        <f aca="false">X21+X26+X31</f>
        <v>0</v>
      </c>
      <c r="Y141" s="21" t="n">
        <f aca="false">Y21+Y26+Y31</f>
        <v>0</v>
      </c>
      <c r="Z141" s="21" t="n">
        <f aca="false">Z21+Z26+Z31</f>
        <v>0</v>
      </c>
      <c r="AA141" s="21" t="n">
        <f aca="false">AA21+AA26+AA31</f>
        <v>0</v>
      </c>
      <c r="AB141" s="21" t="n">
        <f aca="false">AB21+AB26+AB31</f>
        <v>0</v>
      </c>
      <c r="AC141" s="21" t="n">
        <f aca="false">AC21+AC26+AC31</f>
        <v>0</v>
      </c>
      <c r="AD141" s="21" t="n">
        <f aca="false">AD21+AD26+AD31</f>
        <v>0</v>
      </c>
      <c r="AE141" s="21" t="n">
        <f aca="false">AE21+AE26+AE31</f>
        <v>0</v>
      </c>
      <c r="AF141" s="21" t="n">
        <f aca="false">AF21+AF26+AF31</f>
        <v>0</v>
      </c>
      <c r="AG141" s="21" t="n">
        <f aca="false">AG21+AG26+AG31</f>
        <v>0</v>
      </c>
      <c r="AH141" s="21" t="n">
        <f aca="false">AH21+AH26+AH31</f>
        <v>0</v>
      </c>
      <c r="AI141" s="21" t="n">
        <f aca="false">AI21+AI26+AI31</f>
        <v>0</v>
      </c>
      <c r="AJ141" s="21" t="n">
        <f aca="false">AJ21+AJ26+AJ31</f>
        <v>0</v>
      </c>
      <c r="AK141" s="21" t="n">
        <f aca="false">AK21+AK26+AK31</f>
        <v>0</v>
      </c>
      <c r="AL141" s="21" t="n">
        <f aca="false">AL21+AL26+AL31</f>
        <v>0</v>
      </c>
    </row>
    <row r="142" customFormat="false" ht="15" hidden="false" customHeight="false" outlineLevel="0" collapsed="false">
      <c r="C142" s="0" t="s">
        <v>637</v>
      </c>
      <c r="H142" s="21" t="n">
        <f aca="false">H22+H27+H32</f>
        <v>0</v>
      </c>
      <c r="I142" s="21" t="n">
        <f aca="false">I22+I27+I32</f>
        <v>228843.72</v>
      </c>
      <c r="J142" s="21" t="n">
        <f aca="false">J22+J27+J32</f>
        <v>240285.906</v>
      </c>
      <c r="K142" s="21" t="n">
        <f aca="false">K22+K27+K32</f>
        <v>252300.2013</v>
      </c>
      <c r="L142" s="21" t="n">
        <f aca="false">L22+L27+L32</f>
        <v>264915.211365</v>
      </c>
      <c r="M142" s="21" t="n">
        <f aca="false">M22+M27+M32</f>
        <v>278160.97193325</v>
      </c>
      <c r="N142" s="21" t="n">
        <f aca="false">N22+N27+N32</f>
        <v>292069.020529913</v>
      </c>
      <c r="O142" s="21" t="n">
        <f aca="false">O22+O27+O32</f>
        <v>306672.471556408</v>
      </c>
      <c r="P142" s="21" t="n">
        <f aca="false">P22+P27+P32</f>
        <v>322006.095134229</v>
      </c>
      <c r="Q142" s="21" t="n">
        <f aca="false">Q22+Q27+Q32</f>
        <v>338106.39989094</v>
      </c>
      <c r="R142" s="21" t="n">
        <f aca="false">R22+R27+R32</f>
        <v>0</v>
      </c>
      <c r="S142" s="21" t="n">
        <f aca="false">S22+S27+S32</f>
        <v>0</v>
      </c>
      <c r="T142" s="21" t="n">
        <f aca="false">T22+T27+T32</f>
        <v>0</v>
      </c>
      <c r="U142" s="21" t="n">
        <f aca="false">U22+U27+U32</f>
        <v>0</v>
      </c>
      <c r="V142" s="21" t="n">
        <f aca="false">V22+V27+V32</f>
        <v>0</v>
      </c>
      <c r="W142" s="21" t="n">
        <f aca="false">W22+W27+W32</f>
        <v>0</v>
      </c>
      <c r="X142" s="21" t="n">
        <f aca="false">X22+X27+X32</f>
        <v>0</v>
      </c>
      <c r="Y142" s="21" t="n">
        <f aca="false">Y22+Y27+Y32</f>
        <v>0</v>
      </c>
      <c r="Z142" s="21" t="n">
        <f aca="false">Z22+Z27+Z32</f>
        <v>0</v>
      </c>
      <c r="AA142" s="21" t="n">
        <f aca="false">AA22+AA27+AA32</f>
        <v>0</v>
      </c>
      <c r="AB142" s="21" t="n">
        <f aca="false">AB22+AB27+AB32</f>
        <v>0</v>
      </c>
      <c r="AC142" s="21" t="n">
        <f aca="false">AC22+AC27+AC32</f>
        <v>0</v>
      </c>
      <c r="AD142" s="21" t="n">
        <f aca="false">AD22+AD27+AD32</f>
        <v>0</v>
      </c>
      <c r="AE142" s="21" t="n">
        <f aca="false">AE22+AE27+AE32</f>
        <v>0</v>
      </c>
      <c r="AF142" s="21" t="n">
        <f aca="false">AF22+AF27+AF32</f>
        <v>0</v>
      </c>
      <c r="AG142" s="21" t="n">
        <f aca="false">AG22+AG27+AG32</f>
        <v>0</v>
      </c>
      <c r="AH142" s="21" t="n">
        <f aca="false">AH22+AH27+AH32</f>
        <v>0</v>
      </c>
      <c r="AI142" s="21" t="n">
        <f aca="false">AI22+AI27+AI32</f>
        <v>0</v>
      </c>
      <c r="AJ142" s="21" t="n">
        <f aca="false">AJ22+AJ27+AJ32</f>
        <v>0</v>
      </c>
      <c r="AK142" s="21" t="n">
        <f aca="false">AK22+AK27+AK32</f>
        <v>0</v>
      </c>
      <c r="AL142" s="21" t="n">
        <f aca="false">AL22+AL27+AL32</f>
        <v>0</v>
      </c>
    </row>
    <row r="143" customFormat="false" ht="15" hidden="false" customHeight="false" outlineLevel="0" collapsed="false">
      <c r="B143" s="56"/>
      <c r="C143" s="56" t="s">
        <v>310</v>
      </c>
      <c r="D143" s="56"/>
      <c r="E143" s="56"/>
      <c r="F143" s="56"/>
      <c r="G143" s="393"/>
      <c r="H143" s="58" t="n">
        <f aca="false">H23+H28+H33</f>
        <v>0</v>
      </c>
      <c r="I143" s="58" t="n">
        <f aca="false">I23+I28+I33</f>
        <v>99225</v>
      </c>
      <c r="J143" s="58" t="n">
        <f aca="false">J23+J28+J33</f>
        <v>104186.25</v>
      </c>
      <c r="K143" s="58" t="n">
        <f aca="false">K23+K28+K33</f>
        <v>109395.5625</v>
      </c>
      <c r="L143" s="58" t="n">
        <f aca="false">L23+L28+L33</f>
        <v>114865.340625</v>
      </c>
      <c r="M143" s="58" t="n">
        <f aca="false">M23+M28+M33</f>
        <v>120608.60765625</v>
      </c>
      <c r="N143" s="58" t="n">
        <f aca="false">N23+N28+N33</f>
        <v>126639.038039063</v>
      </c>
      <c r="O143" s="58" t="n">
        <f aca="false">O23+O28+O33</f>
        <v>132970.989941016</v>
      </c>
      <c r="P143" s="58" t="n">
        <f aca="false">P23+P28+P33</f>
        <v>139619.539438066</v>
      </c>
      <c r="Q143" s="58" t="n">
        <f aca="false">Q23+Q28+Q33</f>
        <v>146600.51640997</v>
      </c>
      <c r="R143" s="58" t="n">
        <f aca="false">R23+R28+R33</f>
        <v>0</v>
      </c>
      <c r="S143" s="58" t="n">
        <f aca="false">S23+S28+S33</f>
        <v>0</v>
      </c>
      <c r="T143" s="58" t="n">
        <f aca="false">T23+T28+T33</f>
        <v>0</v>
      </c>
      <c r="U143" s="58" t="n">
        <f aca="false">U23+U28+U33</f>
        <v>0</v>
      </c>
      <c r="V143" s="58" t="n">
        <f aca="false">V23+V28+V33</f>
        <v>0</v>
      </c>
      <c r="W143" s="58" t="n">
        <f aca="false">W23+W28+W33</f>
        <v>0</v>
      </c>
      <c r="X143" s="58" t="n">
        <f aca="false">X23+X28+X33</f>
        <v>0</v>
      </c>
      <c r="Y143" s="58" t="n">
        <f aca="false">Y23+Y28+Y33</f>
        <v>0</v>
      </c>
      <c r="Z143" s="58" t="n">
        <f aca="false">Z23+Z28+Z33</f>
        <v>0</v>
      </c>
      <c r="AA143" s="58" t="n">
        <f aca="false">AA23+AA28+AA33</f>
        <v>0</v>
      </c>
      <c r="AB143" s="58" t="n">
        <f aca="false">AB23+AB28+AB33</f>
        <v>0</v>
      </c>
      <c r="AC143" s="58" t="n">
        <f aca="false">AC23+AC28+AC33</f>
        <v>0</v>
      </c>
      <c r="AD143" s="58" t="n">
        <f aca="false">AD23+AD28+AD33</f>
        <v>0</v>
      </c>
      <c r="AE143" s="58" t="n">
        <f aca="false">AE23+AE28+AE33</f>
        <v>0</v>
      </c>
      <c r="AF143" s="58" t="n">
        <f aca="false">AF23+AF28+AF33</f>
        <v>0</v>
      </c>
      <c r="AG143" s="58" t="n">
        <f aca="false">AG23+AG28+AG33</f>
        <v>0</v>
      </c>
      <c r="AH143" s="58" t="n">
        <f aca="false">AH23+AH28+AH33</f>
        <v>0</v>
      </c>
      <c r="AI143" s="58" t="n">
        <f aca="false">AI23+AI28+AI33</f>
        <v>0</v>
      </c>
      <c r="AJ143" s="58" t="n">
        <f aca="false">AJ23+AJ28+AJ33</f>
        <v>0</v>
      </c>
      <c r="AK143" s="58" t="n">
        <f aca="false">AK23+AK28+AK33</f>
        <v>0</v>
      </c>
      <c r="AL143" s="58" t="n">
        <f aca="false">AL23+AL28+AL33</f>
        <v>0</v>
      </c>
    </row>
    <row r="144" customFormat="false" ht="15" hidden="false" customHeight="false" outlineLevel="0" collapsed="false">
      <c r="B144" s="13" t="s">
        <v>638</v>
      </c>
      <c r="H144" s="60" t="n">
        <f aca="false">SUM(H140:H143)</f>
        <v>0</v>
      </c>
      <c r="I144" s="60" t="n">
        <f aca="false">SUM(I140:I143)</f>
        <v>735993.72</v>
      </c>
      <c r="J144" s="60" t="n">
        <f aca="false">SUM(J140:J143)</f>
        <v>772793.406</v>
      </c>
      <c r="K144" s="60" t="n">
        <f aca="false">SUM(K140:K143)</f>
        <v>811433.0763</v>
      </c>
      <c r="L144" s="60" t="n">
        <f aca="false">SUM(L140:L143)</f>
        <v>852004.730115</v>
      </c>
      <c r="M144" s="60" t="n">
        <f aca="false">SUM(M140:M143)</f>
        <v>894604.96662075</v>
      </c>
      <c r="N144" s="60" t="n">
        <f aca="false">SUM(N140:N143)</f>
        <v>939335.214951788</v>
      </c>
      <c r="O144" s="60" t="n">
        <f aca="false">SUM(O140:O143)</f>
        <v>986301.975699377</v>
      </c>
      <c r="P144" s="60" t="n">
        <f aca="false">SUM(P140:P143)</f>
        <v>1035617.07448435</v>
      </c>
      <c r="Q144" s="60" t="n">
        <f aca="false">SUM(Q140:Q143)</f>
        <v>1087397.92820856</v>
      </c>
      <c r="R144" s="60" t="n">
        <f aca="false">SUM(R140:R143)</f>
        <v>0</v>
      </c>
      <c r="S144" s="60" t="n">
        <f aca="false">SUM(S140:S143)</f>
        <v>0</v>
      </c>
      <c r="T144" s="60" t="n">
        <f aca="false">SUM(T140:T143)</f>
        <v>0</v>
      </c>
      <c r="U144" s="60" t="n">
        <f aca="false">SUM(U140:U143)</f>
        <v>0</v>
      </c>
      <c r="V144" s="60" t="n">
        <f aca="false">SUM(V140:V143)</f>
        <v>0</v>
      </c>
      <c r="W144" s="60" t="n">
        <f aca="false">SUM(W140:W143)</f>
        <v>0</v>
      </c>
      <c r="X144" s="60" t="n">
        <f aca="false">SUM(X140:X143)</f>
        <v>0</v>
      </c>
      <c r="Y144" s="60" t="n">
        <f aca="false">SUM(Y140:Y143)</f>
        <v>0</v>
      </c>
      <c r="Z144" s="60" t="n">
        <f aca="false">SUM(Z140:Z143)</f>
        <v>0</v>
      </c>
      <c r="AA144" s="60" t="n">
        <f aca="false">SUM(AA140:AA143)</f>
        <v>0</v>
      </c>
      <c r="AB144" s="60" t="n">
        <f aca="false">SUM(AB140:AB143)</f>
        <v>0</v>
      </c>
      <c r="AC144" s="60" t="n">
        <f aca="false">SUM(AC140:AC143)</f>
        <v>0</v>
      </c>
      <c r="AD144" s="60" t="n">
        <f aca="false">SUM(AD140:AD143)</f>
        <v>0</v>
      </c>
      <c r="AE144" s="60" t="n">
        <f aca="false">SUM(AE140:AE143)</f>
        <v>0</v>
      </c>
      <c r="AF144" s="60" t="n">
        <f aca="false">SUM(AF140:AF143)</f>
        <v>0</v>
      </c>
      <c r="AG144" s="60" t="n">
        <f aca="false">SUM(AG140:AG143)</f>
        <v>0</v>
      </c>
      <c r="AH144" s="60" t="n">
        <f aca="false">SUM(AH140:AH143)</f>
        <v>0</v>
      </c>
      <c r="AI144" s="60" t="n">
        <f aca="false">SUM(AI140:AI143)</f>
        <v>0</v>
      </c>
      <c r="AJ144" s="60" t="n">
        <f aca="false">SUM(AJ140:AJ143)</f>
        <v>0</v>
      </c>
      <c r="AK144" s="60" t="n">
        <f aca="false">SUM(AK140:AK143)</f>
        <v>0</v>
      </c>
      <c r="AL144" s="60" t="n">
        <f aca="false">SUM(AL140:AL143)</f>
        <v>0</v>
      </c>
    </row>
    <row r="151" customFormat="false" ht="15" hidden="false" customHeight="false" outlineLevel="0" collapsed="false">
      <c r="H151" s="55"/>
      <c r="I151" s="55"/>
      <c r="J151" s="55"/>
      <c r="K151" s="55"/>
      <c r="L151" s="55"/>
      <c r="M151" s="55"/>
      <c r="N151" s="55"/>
    </row>
    <row r="152" customFormat="false" ht="15" hidden="false" customHeight="false" outlineLevel="0" collapsed="false">
      <c r="H152" s="55"/>
      <c r="I152" s="55"/>
      <c r="J152" s="55"/>
      <c r="K152" s="55"/>
      <c r="L152" s="55"/>
      <c r="M152" s="55"/>
      <c r="N152" s="55"/>
    </row>
    <row r="153" customFormat="false" ht="15" hidden="false" customHeight="false" outlineLevel="0" collapsed="false">
      <c r="H153" s="55"/>
      <c r="I153" s="55"/>
      <c r="J153" s="55"/>
      <c r="K153" s="55"/>
      <c r="L153" s="55"/>
      <c r="M153" s="55"/>
      <c r="N153" s="55"/>
    </row>
    <row r="154" customFormat="false" ht="15" hidden="false" customHeight="false" outlineLevel="0" collapsed="false">
      <c r="H154" s="55"/>
      <c r="I154" s="55"/>
      <c r="J154" s="55"/>
      <c r="K154" s="55"/>
      <c r="L154" s="55"/>
      <c r="M154" s="55"/>
      <c r="N154" s="55"/>
    </row>
    <row r="155" customFormat="false" ht="15" hidden="false" customHeight="false" outlineLevel="0" collapsed="false">
      <c r="H155" s="55"/>
      <c r="I155" s="55"/>
      <c r="J155" s="55"/>
      <c r="K155" s="55"/>
      <c r="L155" s="55"/>
      <c r="M155" s="55"/>
      <c r="N155" s="55"/>
    </row>
    <row r="156" customFormat="false" ht="15" hidden="false" customHeight="false" outlineLevel="0" collapsed="false">
      <c r="H156" s="55"/>
      <c r="I156" s="55"/>
      <c r="J156" s="55"/>
      <c r="K156" s="55"/>
      <c r="L156" s="55"/>
      <c r="M156" s="55"/>
      <c r="N156" s="55"/>
    </row>
    <row r="157" customFormat="false" ht="15" hidden="false" customHeight="false" outlineLevel="0" collapsed="false">
      <c r="H157" s="55"/>
      <c r="I157" s="55"/>
      <c r="J157" s="55"/>
      <c r="K157" s="55"/>
      <c r="L157" s="55"/>
      <c r="M157" s="55"/>
      <c r="N157" s="55"/>
    </row>
    <row r="159" customFormat="false" ht="15" hidden="false" customHeight="false" outlineLevel="0" collapsed="false">
      <c r="H159" s="21"/>
      <c r="I159" s="21"/>
      <c r="J159" s="21"/>
      <c r="K159" s="21"/>
      <c r="L159" s="21"/>
      <c r="M159" s="21"/>
      <c r="N159" s="21"/>
    </row>
    <row r="160" customFormat="false" ht="15" hidden="false" customHeight="false" outlineLevel="0" collapsed="false">
      <c r="H160" s="21"/>
      <c r="I160" s="21"/>
      <c r="J160" s="21"/>
      <c r="K160" s="21"/>
      <c r="L160" s="21"/>
      <c r="M160" s="21"/>
      <c r="N160" s="21"/>
    </row>
    <row r="161" customFormat="false" ht="15" hidden="false" customHeight="false" outlineLevel="0" collapsed="false">
      <c r="H161" s="21"/>
      <c r="I161" s="21"/>
      <c r="J161" s="21"/>
      <c r="K161" s="21"/>
      <c r="L161" s="21"/>
      <c r="M161" s="21"/>
      <c r="N161" s="21"/>
    </row>
  </sheetData>
  <printOptions headings="false" gridLines="false" gridLinesSet="true" horizontalCentered="false" verticalCentered="false"/>
  <pageMargins left="0.7" right="0.7" top="0.75" bottom="0.75" header="0.511811023622047" footer="0.511811023622047"/>
  <pageSetup paperSize="1" scale="34"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38"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66796875" defaultRowHeight="15" zeroHeight="false" outlineLevelRow="0" outlineLevelCol="1"/>
  <cols>
    <col collapsed="false" customWidth="true" hidden="false" outlineLevel="0" max="2" min="1" style="1" width="3"/>
    <col collapsed="false" customWidth="true" hidden="false" outlineLevel="0" max="3" min="3" style="1" width="57.67"/>
    <col collapsed="false" customWidth="true" hidden="false" outlineLevel="0" max="4" min="4" style="25" width="4.67"/>
    <col collapsed="false" customWidth="true" hidden="false" outlineLevel="0" max="5" min="5" style="1" width="9.83"/>
    <col collapsed="false" customWidth="true" hidden="false" outlineLevel="0" max="6" min="6" style="1" width="1.51"/>
    <col collapsed="false" customWidth="true" hidden="false" outlineLevel="0" max="7" min="7" style="1" width="9.67"/>
    <col collapsed="false" customWidth="true" hidden="false" outlineLevel="0" max="8" min="8" style="1" width="17.5"/>
    <col collapsed="false" customWidth="true" hidden="false" outlineLevel="0" max="9" min="9" style="1" width="12"/>
    <col collapsed="false" customWidth="true" hidden="false" outlineLevel="0" max="17" min="10" style="1" width="12.5"/>
    <col collapsed="false" customWidth="true" hidden="true" outlineLevel="1" max="31" min="18" style="1" width="11.67"/>
    <col collapsed="false" customWidth="true" hidden="true" outlineLevel="1" max="36" min="32" style="1" width="12.83"/>
    <col collapsed="false" customWidth="true" hidden="false" outlineLevel="0" max="38" min="37" style="1" width="13.5"/>
    <col collapsed="false" customWidth="false" hidden="false" outlineLevel="0" max="16384" min="39" style="1" width="8.67"/>
  </cols>
  <sheetData>
    <row r="1" customFormat="false" ht="15" hidden="false" customHeight="false" outlineLevel="0" collapsed="false">
      <c r="A1" s="0"/>
      <c r="B1" s="0"/>
      <c r="C1" s="0"/>
      <c r="D1" s="30"/>
      <c r="E1" s="0"/>
      <c r="F1" s="0"/>
      <c r="G1" s="0"/>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639</v>
      </c>
      <c r="C5" s="7"/>
      <c r="D5" s="97" t="s">
        <v>87</v>
      </c>
      <c r="E5" s="7"/>
      <c r="F5" s="7"/>
      <c r="G5" s="7"/>
      <c r="H5" s="412" t="n">
        <f aca="false">'2. NPV'!H5</f>
        <v>2024</v>
      </c>
      <c r="I5" s="412" t="n">
        <f aca="false">'2. NPV'!I5</f>
        <v>2025</v>
      </c>
      <c r="J5" s="412" t="n">
        <f aca="false">'2. NPV'!J5</f>
        <v>2026</v>
      </c>
      <c r="K5" s="412" t="n">
        <f aca="false">'2. NPV'!K5</f>
        <v>2027</v>
      </c>
      <c r="L5" s="412" t="n">
        <f aca="false">'2. NPV'!L5</f>
        <v>2028</v>
      </c>
      <c r="M5" s="412" t="n">
        <f aca="false">'2. NPV'!M5</f>
        <v>2029</v>
      </c>
      <c r="N5" s="412" t="n">
        <f aca="false">'2. NPV'!N5</f>
        <v>2030</v>
      </c>
      <c r="O5" s="412" t="n">
        <f aca="false">'2. NPV'!O5</f>
        <v>2031</v>
      </c>
      <c r="P5" s="412" t="n">
        <f aca="false">'2. NPV'!P5</f>
        <v>2032</v>
      </c>
      <c r="Q5" s="412" t="n">
        <f aca="false">'2. NPV'!Q5</f>
        <v>2033</v>
      </c>
      <c r="R5" s="412" t="n">
        <f aca="false">'2. NPV'!R5</f>
        <v>2034</v>
      </c>
      <c r="S5" s="412" t="n">
        <f aca="false">'2. NPV'!S5</f>
        <v>2035</v>
      </c>
      <c r="T5" s="412" t="n">
        <f aca="false">'2. NPV'!T5</f>
        <v>2036</v>
      </c>
      <c r="U5" s="412" t="n">
        <f aca="false">'2. NPV'!U5</f>
        <v>2037</v>
      </c>
      <c r="V5" s="412" t="n">
        <f aca="false">'2. NPV'!V5</f>
        <v>2038</v>
      </c>
      <c r="W5" s="412" t="n">
        <f aca="false">'2. NPV'!W5</f>
        <v>2039</v>
      </c>
      <c r="X5" s="412" t="n">
        <f aca="false">'2. NPV'!X5</f>
        <v>2040</v>
      </c>
      <c r="Y5" s="412" t="n">
        <f aca="false">'2. NPV'!Y5</f>
        <v>2041</v>
      </c>
      <c r="Z5" s="412" t="n">
        <f aca="false">'2. NPV'!Z5</f>
        <v>2042</v>
      </c>
      <c r="AA5" s="412" t="n">
        <f aca="false">'2. NPV'!AA5</f>
        <v>2043</v>
      </c>
      <c r="AB5" s="412" t="n">
        <f aca="false">'2. NPV'!AB5</f>
        <v>2044</v>
      </c>
      <c r="AC5" s="412" t="n">
        <f aca="false">'2. NPV'!AC5</f>
        <v>2045</v>
      </c>
      <c r="AD5" s="412" t="n">
        <f aca="false">'2. NPV'!AD5</f>
        <v>2046</v>
      </c>
      <c r="AE5" s="412" t="n">
        <f aca="false">'2. NPV'!AE5</f>
        <v>2047</v>
      </c>
      <c r="AF5" s="412" t="n">
        <f aca="false">'2. NPV'!AF5</f>
        <v>2048</v>
      </c>
      <c r="AG5" s="412" t="n">
        <f aca="false">'2. NPV'!AG5</f>
        <v>2049</v>
      </c>
      <c r="AH5" s="412" t="n">
        <f aca="false">'2. NPV'!AH5</f>
        <v>2050</v>
      </c>
      <c r="AI5" s="412" t="n">
        <f aca="false">'2. NPV'!AI5</f>
        <v>2051</v>
      </c>
      <c r="AJ5" s="412" t="n">
        <f aca="false">'2. NPV'!AJ5</f>
        <v>2052</v>
      </c>
      <c r="AK5" s="412" t="n">
        <f aca="false">'2. NPV'!AK5</f>
        <v>2053</v>
      </c>
      <c r="AL5" s="412" t="n">
        <f aca="false">'2. NPV'!AL5</f>
        <v>2054</v>
      </c>
    </row>
    <row r="6" customFormat="false" ht="15" hidden="false" customHeight="false" outlineLevel="0" collapsed="false">
      <c r="B6" s="6"/>
      <c r="C6" s="6"/>
      <c r="D6" s="97"/>
      <c r="E6" s="6"/>
      <c r="F6" s="6"/>
      <c r="G6" s="6"/>
      <c r="H6" s="6" t="n">
        <f aca="false">+'4.1 Revenue Build - VCU'!H$7</f>
        <v>1</v>
      </c>
      <c r="I6" s="6" t="n">
        <f aca="false">+'4.1 Revenue Build - VCU'!I$7</f>
        <v>2</v>
      </c>
      <c r="J6" s="6" t="n">
        <f aca="false">+'4.1 Revenue Build - VCU'!J$7</f>
        <v>3</v>
      </c>
      <c r="K6" s="6" t="n">
        <f aca="false">+'4.1 Revenue Build - VCU'!K$7</f>
        <v>4</v>
      </c>
      <c r="L6" s="6" t="n">
        <f aca="false">+'4.1 Revenue Build - VCU'!L$7</f>
        <v>5</v>
      </c>
      <c r="M6" s="6" t="n">
        <f aca="false">+'4.1 Revenue Build - VCU'!M$7</f>
        <v>6</v>
      </c>
      <c r="N6" s="6" t="n">
        <f aca="false">+'4.1 Revenue Build - VCU'!N$7</f>
        <v>7</v>
      </c>
      <c r="O6" s="6" t="n">
        <f aca="false">+'4.1 Revenue Build - VCU'!O$7</f>
        <v>8</v>
      </c>
      <c r="P6" s="6" t="n">
        <f aca="false">+'4.1 Revenue Build - VCU'!P$7</f>
        <v>9</v>
      </c>
      <c r="Q6" s="6" t="n">
        <f aca="false">+'4.1 Revenue Build - VCU'!Q$7</f>
        <v>10</v>
      </c>
      <c r="R6" s="6" t="n">
        <f aca="false">+'4.1 Revenue Build - VCU'!R$7</f>
        <v>11</v>
      </c>
      <c r="S6" s="6" t="n">
        <f aca="false">+'4.1 Revenue Build - VCU'!S$7</f>
        <v>12</v>
      </c>
      <c r="T6" s="6" t="n">
        <f aca="false">+'4.1 Revenue Build - VCU'!T$7</f>
        <v>13</v>
      </c>
      <c r="U6" s="6" t="n">
        <f aca="false">+'4.1 Revenue Build - VCU'!U$7</f>
        <v>14</v>
      </c>
      <c r="V6" s="6" t="n">
        <f aca="false">+'4.1 Revenue Build - VCU'!V$7</f>
        <v>15</v>
      </c>
      <c r="W6" s="6" t="n">
        <f aca="false">+'4.1 Revenue Build - VCU'!W$7</f>
        <v>16</v>
      </c>
      <c r="X6" s="6" t="n">
        <f aca="false">+'4.1 Revenue Build - VCU'!X$7</f>
        <v>17</v>
      </c>
      <c r="Y6" s="6" t="n">
        <f aca="false">+'4.1 Revenue Build - VCU'!Y$7</f>
        <v>18</v>
      </c>
      <c r="Z6" s="6" t="n">
        <f aca="false">+'4.1 Revenue Build - VCU'!Z$7</f>
        <v>19</v>
      </c>
      <c r="AA6" s="6" t="n">
        <f aca="false">+'4.1 Revenue Build - VCU'!AA$7</f>
        <v>20</v>
      </c>
      <c r="AB6" s="6" t="n">
        <f aca="false">+'4.1 Revenue Build - VCU'!AB$7</f>
        <v>21</v>
      </c>
      <c r="AC6" s="6" t="n">
        <f aca="false">+'4.1 Revenue Build - VCU'!AC$7</f>
        <v>22</v>
      </c>
      <c r="AD6" s="6" t="n">
        <f aca="false">+'4.1 Revenue Build - VCU'!AD$7</f>
        <v>23</v>
      </c>
      <c r="AE6" s="6" t="n">
        <f aca="false">+'4.1 Revenue Build - VCU'!AE$7</f>
        <v>24</v>
      </c>
      <c r="AF6" s="6" t="n">
        <f aca="false">+'4.1 Revenue Build - VCU'!AF$7</f>
        <v>25</v>
      </c>
      <c r="AG6" s="6" t="n">
        <f aca="false">+'4.1 Revenue Build - VCU'!AG$7</f>
        <v>26</v>
      </c>
      <c r="AH6" s="6" t="n">
        <f aca="false">+'4.1 Revenue Build - VCU'!AH$7</f>
        <v>27</v>
      </c>
      <c r="AI6" s="6" t="n">
        <f aca="false">+'4.1 Revenue Build - VCU'!AI$7</f>
        <v>28</v>
      </c>
      <c r="AJ6" s="6" t="n">
        <f aca="false">+'4.1 Revenue Build - VCU'!AJ$7</f>
        <v>29</v>
      </c>
      <c r="AK6" s="6" t="n">
        <f aca="false">+'4.1 Revenue Build - VCU'!AK$7</f>
        <v>30</v>
      </c>
      <c r="AL6" s="6" t="n">
        <f aca="false">+'4.1 Revenue Build - VCU'!AL$7</f>
        <v>31</v>
      </c>
    </row>
    <row r="7" customFormat="false" ht="15" hidden="false" customHeight="false" outlineLevel="0" collapsed="false">
      <c r="C7" s="8"/>
    </row>
    <row r="8" s="100" customFormat="true" ht="15" hidden="false" customHeight="false" outlineLevel="0" collapsed="false">
      <c r="A8" s="1"/>
      <c r="B8" s="1"/>
      <c r="C8" s="19" t="s">
        <v>640</v>
      </c>
      <c r="D8" s="25"/>
      <c r="E8" s="413" t="s">
        <v>641</v>
      </c>
      <c r="F8" s="413"/>
      <c r="G8" s="1"/>
      <c r="H8" s="100" t="n">
        <f aca="false">H50+H53</f>
        <v>0</v>
      </c>
      <c r="I8" s="100" t="n">
        <f aca="false">I50+I53</f>
        <v>0</v>
      </c>
      <c r="J8" s="100" t="n">
        <f aca="false">J50+J53</f>
        <v>463550.88</v>
      </c>
      <c r="K8" s="100" t="n">
        <f aca="false">K50+K53</f>
        <v>859898.70048</v>
      </c>
      <c r="L8" s="100" t="n">
        <f aca="false">L50+L53</f>
        <v>1282538.0131456</v>
      </c>
      <c r="M8" s="100" t="n">
        <f aca="false">M50+M53</f>
        <v>1766908.13251942</v>
      </c>
      <c r="N8" s="100" t="n">
        <f aca="false">N50+N53</f>
        <v>2292190.27047158</v>
      </c>
      <c r="O8" s="100" t="n">
        <f aca="false">O50+O53</f>
        <v>2754272.95680522</v>
      </c>
      <c r="P8" s="100" t="n">
        <f aca="false">P50+P53</f>
        <v>3137476.54065305</v>
      </c>
      <c r="Q8" s="100" t="n">
        <f aca="false">Q50+Q53</f>
        <v>3727254.70301926</v>
      </c>
      <c r="R8" s="100" t="n">
        <f aca="false">R50+R53</f>
        <v>3801799.79707965</v>
      </c>
      <c r="S8" s="100" t="n">
        <f aca="false">S50+S53</f>
        <v>3877835.79302124</v>
      </c>
      <c r="T8" s="100" t="n">
        <f aca="false">T50+T53</f>
        <v>3955392.50888167</v>
      </c>
      <c r="U8" s="100" t="n">
        <f aca="false">U50+U53</f>
        <v>4034500.3590593</v>
      </c>
      <c r="V8" s="100" t="n">
        <f aca="false">V50+V53</f>
        <v>4115190.36624049</v>
      </c>
      <c r="W8" s="100" t="n">
        <f aca="false">W50+W53</f>
        <v>4197494.1735653</v>
      </c>
      <c r="X8" s="100" t="n">
        <f aca="false">X50+X53</f>
        <v>4281444.0570366</v>
      </c>
      <c r="Y8" s="100" t="n">
        <f aca="false">Y50+Y53</f>
        <v>4367072.93817733</v>
      </c>
      <c r="Z8" s="100" t="n">
        <f aca="false">Z50+Z53</f>
        <v>4454414.39694088</v>
      </c>
      <c r="AA8" s="100" t="n">
        <f aca="false">AA50+AA53</f>
        <v>4543502.6848797</v>
      </c>
      <c r="AB8" s="100" t="n">
        <f aca="false">AB50+AB53</f>
        <v>4634372.73857729</v>
      </c>
      <c r="AC8" s="100" t="n">
        <f aca="false">AC50+AC53</f>
        <v>4727060.19334884</v>
      </c>
      <c r="AD8" s="100" t="n">
        <f aca="false">AD50+AD53</f>
        <v>4821601.39721581</v>
      </c>
      <c r="AE8" s="100" t="n">
        <f aca="false">AE50+AE53</f>
        <v>4918033.42516013</v>
      </c>
      <c r="AF8" s="100" t="n">
        <f aca="false">AF50+AF53</f>
        <v>5016394.09366334</v>
      </c>
      <c r="AG8" s="100" t="n">
        <f aca="false">AG50+AG53</f>
        <v>5116721.9755366</v>
      </c>
      <c r="AH8" s="100" t="n">
        <f aca="false">AH50+AH53</f>
        <v>5219056.41504733</v>
      </c>
      <c r="AI8" s="100" t="n">
        <f aca="false">AI50+AI53</f>
        <v>5323437.54334828</v>
      </c>
      <c r="AJ8" s="100" t="n">
        <f aca="false">AJ50+AJ53</f>
        <v>5429906.29421525</v>
      </c>
      <c r="AK8" s="100" t="n">
        <f aca="false">AK50+AK53</f>
        <v>5538504.42009956</v>
      </c>
      <c r="AL8" s="100" t="n">
        <f aca="false">AL50+AL53</f>
        <v>5649274.50850155</v>
      </c>
    </row>
    <row r="9" s="100" customFormat="true" ht="15" hidden="false" customHeight="false" outlineLevel="0" collapsed="false">
      <c r="A9" s="1"/>
      <c r="B9" s="133"/>
      <c r="C9" s="66" t="s">
        <v>642</v>
      </c>
      <c r="D9" s="116"/>
      <c r="E9" s="414"/>
      <c r="F9" s="414"/>
      <c r="G9" s="133"/>
      <c r="H9" s="113" t="n">
        <f aca="false">'2. NPV'!H10</f>
        <v>0</v>
      </c>
      <c r="I9" s="113" t="n">
        <f aca="false">'2. NPV'!I10</f>
        <v>640513.53125</v>
      </c>
      <c r="J9" s="113" t="n">
        <f aca="false">'2. NPV'!J10</f>
        <v>6217535.7125</v>
      </c>
      <c r="K9" s="113" t="n">
        <f aca="false">'2. NPV'!K10</f>
        <v>11217332.929043</v>
      </c>
      <c r="L9" s="113" t="n">
        <f aca="false">'2. NPV'!L10</f>
        <v>12954963.4600615</v>
      </c>
      <c r="M9" s="113" t="n">
        <f aca="false">'2. NPV'!M10</f>
        <v>19267436.3735435</v>
      </c>
      <c r="N9" s="113" t="n">
        <f aca="false">'2. NPV'!N10</f>
        <v>20128253.6040146</v>
      </c>
      <c r="O9" s="113" t="n">
        <f aca="false">'2. NPV'!O10</f>
        <v>21020069.5482757</v>
      </c>
      <c r="P9" s="113" t="n">
        <f aca="false">'2. NPV'!P10</f>
        <v>21943896.1312474</v>
      </c>
      <c r="Q9" s="113" t="n">
        <f aca="false">'2. NPV'!Q10</f>
        <v>22900776.4999</v>
      </c>
      <c r="R9" s="113" t="n">
        <f aca="false">'2. NPV'!R10</f>
        <v>23473295.9123975</v>
      </c>
      <c r="S9" s="113" t="n">
        <f aca="false">'2. NPV'!S10</f>
        <v>24060128.3102075</v>
      </c>
      <c r="T9" s="113" t="n">
        <f aca="false">'2. NPV'!T10</f>
        <v>24661631.5179627</v>
      </c>
      <c r="U9" s="113" t="n">
        <f aca="false">'2. NPV'!U10</f>
        <v>25278172.3059117</v>
      </c>
      <c r="V9" s="113" t="n">
        <f aca="false">'2. NPV'!V10</f>
        <v>25910126.6135595</v>
      </c>
      <c r="W9" s="113" t="n">
        <f aca="false">'2. NPV'!W10</f>
        <v>26557879.7788985</v>
      </c>
      <c r="X9" s="113" t="n">
        <f aca="false">'2. NPV'!X10</f>
        <v>27221826.773371</v>
      </c>
      <c r="Y9" s="113" t="n">
        <f aca="false">'2. NPV'!Y10</f>
        <v>27902372.4427052</v>
      </c>
      <c r="Z9" s="113" t="n">
        <f aca="false">'2. NPV'!Z10</f>
        <v>28599931.7537729</v>
      </c>
      <c r="AA9" s="113" t="n">
        <f aca="false">'2. NPV'!AA10</f>
        <v>29314930.0476172</v>
      </c>
      <c r="AB9" s="113" t="n">
        <f aca="false">'2. NPV'!AB10</f>
        <v>30047803.2988076</v>
      </c>
      <c r="AC9" s="113" t="n">
        <f aca="false">'2. NPV'!AC10</f>
        <v>30798998.3812778</v>
      </c>
      <c r="AD9" s="113" t="n">
        <f aca="false">'2. NPV'!AD10</f>
        <v>31568973.3408098</v>
      </c>
      <c r="AE9" s="113" t="n">
        <f aca="false">'2. NPV'!AE10</f>
        <v>32358197.67433</v>
      </c>
      <c r="AF9" s="113" t="n">
        <f aca="false">'2. NPV'!AF10</f>
        <v>33167152.6161882</v>
      </c>
      <c r="AG9" s="113" t="n">
        <f aca="false">'2. NPV'!AG10</f>
        <v>33996331.4315929</v>
      </c>
      <c r="AH9" s="113" t="n">
        <f aca="false">'2. NPV'!AH10</f>
        <v>34846239.7173828</v>
      </c>
      <c r="AI9" s="113" t="n">
        <f aca="false">'2. NPV'!AI10</f>
        <v>35717395.7103173</v>
      </c>
      <c r="AJ9" s="113" t="n">
        <f aca="false">'2. NPV'!AJ10</f>
        <v>36610330.6030753</v>
      </c>
      <c r="AK9" s="113" t="n">
        <f aca="false">'2. NPV'!AK10</f>
        <v>37525588.8681521</v>
      </c>
      <c r="AL9" s="113" t="n">
        <f aca="false">'2. NPV'!AL10</f>
        <v>38463728.589856</v>
      </c>
    </row>
    <row r="10" s="107" customFormat="true" ht="15" hidden="false" customHeight="false" outlineLevel="0" collapsed="false">
      <c r="A10" s="8"/>
      <c r="B10" s="8"/>
      <c r="C10" s="10" t="s">
        <v>181</v>
      </c>
      <c r="D10" s="356"/>
      <c r="E10" s="415"/>
      <c r="F10" s="415"/>
      <c r="G10" s="8"/>
      <c r="H10" s="107" t="n">
        <f aca="false">SUM(H8:H9)</f>
        <v>0</v>
      </c>
      <c r="I10" s="107" t="n">
        <f aca="false">SUM(I8:I9)</f>
        <v>640513.53125</v>
      </c>
      <c r="J10" s="107" t="n">
        <f aca="false">SUM(J8:J9)</f>
        <v>6681086.5925</v>
      </c>
      <c r="K10" s="107" t="n">
        <f aca="false">SUM(K8:K9)</f>
        <v>12077231.629523</v>
      </c>
      <c r="L10" s="107" t="n">
        <f aca="false">SUM(L8:L9)</f>
        <v>14237501.4732071</v>
      </c>
      <c r="M10" s="107" t="n">
        <f aca="false">SUM(M8:M9)</f>
        <v>21034344.5060629</v>
      </c>
      <c r="N10" s="107" t="n">
        <f aca="false">SUM(N8:N9)</f>
        <v>22420443.8744862</v>
      </c>
      <c r="O10" s="107" t="n">
        <f aca="false">SUM(O8:O9)</f>
        <v>23774342.505081</v>
      </c>
      <c r="P10" s="107" t="n">
        <f aca="false">SUM(P8:P9)</f>
        <v>25081372.6719005</v>
      </c>
      <c r="Q10" s="107" t="n">
        <f aca="false">SUM(Q8:Q9)</f>
        <v>26628031.2029193</v>
      </c>
      <c r="R10" s="107" t="n">
        <f aca="false">SUM(R8:R9)</f>
        <v>27275095.7094772</v>
      </c>
      <c r="S10" s="107" t="n">
        <f aca="false">SUM(S8:S9)</f>
        <v>27937964.1032287</v>
      </c>
      <c r="T10" s="107" t="n">
        <f aca="false">SUM(T8:T9)</f>
        <v>28617024.0268443</v>
      </c>
      <c r="U10" s="107" t="n">
        <f aca="false">SUM(U8:U9)</f>
        <v>29312672.664971</v>
      </c>
      <c r="V10" s="107" t="n">
        <f aca="false">SUM(V8:V9)</f>
        <v>30025316.9798</v>
      </c>
      <c r="W10" s="107" t="n">
        <f aca="false">SUM(W8:W9)</f>
        <v>30755373.9524638</v>
      </c>
      <c r="X10" s="107" t="n">
        <f aca="false">SUM(X8:X9)</f>
        <v>31503270.8304076</v>
      </c>
      <c r="Y10" s="107" t="n">
        <f aca="false">SUM(Y8:Y9)</f>
        <v>32269445.3808826</v>
      </c>
      <c r="Z10" s="107" t="n">
        <f aca="false">SUM(Z8:Z9)</f>
        <v>33054346.1507138</v>
      </c>
      <c r="AA10" s="107" t="n">
        <f aca="false">SUM(AA8:AA9)</f>
        <v>33858432.7324969</v>
      </c>
      <c r="AB10" s="107" t="n">
        <f aca="false">SUM(AB8:AB9)</f>
        <v>34682176.0373849</v>
      </c>
      <c r="AC10" s="107" t="n">
        <f aca="false">SUM(AC8:AC9)</f>
        <v>35526058.5746267</v>
      </c>
      <c r="AD10" s="107" t="n">
        <f aca="false">SUM(AD8:AD9)</f>
        <v>36390574.7380256</v>
      </c>
      <c r="AE10" s="107" t="n">
        <f aca="false">SUM(AE8:AE9)</f>
        <v>37276231.0994901</v>
      </c>
      <c r="AF10" s="107" t="n">
        <f aca="false">SUM(AF8:AF9)</f>
        <v>38183546.7098516</v>
      </c>
      <c r="AG10" s="107" t="n">
        <f aca="false">SUM(AG8:AG9)</f>
        <v>39113053.4071295</v>
      </c>
      <c r="AH10" s="107" t="n">
        <f aca="false">SUM(AH8:AH9)</f>
        <v>40065296.1324301</v>
      </c>
      <c r="AI10" s="107" t="n">
        <f aca="false">SUM(AI8:AI9)</f>
        <v>41040833.2536656</v>
      </c>
      <c r="AJ10" s="107" t="n">
        <f aca="false">SUM(AJ8:AJ9)</f>
        <v>42040236.8972905</v>
      </c>
      <c r="AK10" s="107" t="n">
        <f aca="false">SUM(AK8:AK9)</f>
        <v>43064093.2882517</v>
      </c>
      <c r="AL10" s="107" t="n">
        <f aca="false">SUM(AL8:AL9)</f>
        <v>44113003.0983575</v>
      </c>
    </row>
    <row r="11" s="107" customFormat="true" ht="15" hidden="false" customHeight="false" outlineLevel="0" collapsed="false">
      <c r="A11" s="8"/>
      <c r="B11" s="8"/>
      <c r="C11" s="43" t="s">
        <v>643</v>
      </c>
      <c r="D11" s="356"/>
      <c r="E11" s="415"/>
      <c r="F11" s="415"/>
      <c r="G11" s="8"/>
      <c r="H11" s="416" t="str">
        <f aca="false">IFERROR(H10/#REF!-1,"")</f>
        <v/>
      </c>
      <c r="I11" s="416" t="str">
        <f aca="false">IFERROR(I10/H10-1,"")</f>
        <v/>
      </c>
      <c r="J11" s="416" t="n">
        <f aca="false">IFERROR(J10/I10-1,"")</f>
        <v>9.43082818166458</v>
      </c>
      <c r="K11" s="416" t="n">
        <f aca="false">IFERROR(K10/J10-1,"")</f>
        <v>0.807674764024242</v>
      </c>
      <c r="L11" s="416" t="n">
        <f aca="false">IFERROR(L10/K10-1,"")</f>
        <v>0.178871276957489</v>
      </c>
      <c r="M11" s="416" t="n">
        <f aca="false">IFERROR(M10/L10-1,"")</f>
        <v>0.477390154841878</v>
      </c>
      <c r="N11" s="416" t="n">
        <f aca="false">IFERROR(N10/M10-1,"")</f>
        <v>0.0658969604697544</v>
      </c>
      <c r="O11" s="416" t="n">
        <f aca="false">IFERROR(O10/N10-1,"")</f>
        <v>0.0603867897609065</v>
      </c>
      <c r="P11" s="416" t="n">
        <f aca="false">IFERROR(P10/O10-1,"")</f>
        <v>0.0549765010973566</v>
      </c>
      <c r="Q11" s="416" t="n">
        <f aca="false">IFERROR(Q10/P10-1,"")</f>
        <v>0.0616656253727137</v>
      </c>
      <c r="R11" s="416" t="n">
        <f aca="false">IFERROR(R10/Q10-1,"")</f>
        <v>0.0243001257444426</v>
      </c>
      <c r="S11" s="416" t="n">
        <f aca="false">IFERROR(S10/R10-1,"")</f>
        <v>0.0243030638943351</v>
      </c>
      <c r="T11" s="416" t="n">
        <f aca="false">IFERROR(T10/S10-1,"")</f>
        <v>0.0243059917002733</v>
      </c>
      <c r="U11" s="416" t="n">
        <f aca="false">IFERROR(U10/T10-1,"")</f>
        <v>0.0243089091819659</v>
      </c>
      <c r="V11" s="416" t="n">
        <f aca="false">IFERROR(V10/U10-1,"")</f>
        <v>0.0243118163592297</v>
      </c>
      <c r="W11" s="416" t="n">
        <f aca="false">IFERROR(W10/V10-1,"")</f>
        <v>0.0243147132519852</v>
      </c>
      <c r="X11" s="416" t="n">
        <f aca="false">IFERROR(X10/W10-1,"")</f>
        <v>0.0243175998802589</v>
      </c>
      <c r="Y11" s="416" t="n">
        <f aca="false">IFERROR(Y10/X10-1,"")</f>
        <v>0.0243204762641815</v>
      </c>
      <c r="Z11" s="416" t="n">
        <f aca="false">IFERROR(Z10/Y10-1,"")</f>
        <v>0.0243233424239815</v>
      </c>
      <c r="AA11" s="416" t="n">
        <f aca="false">IFERROR(AA10/Z10-1,"")</f>
        <v>0.0243261983799907</v>
      </c>
      <c r="AB11" s="416" t="n">
        <f aca="false">IFERROR(AB10/AA10-1,"")</f>
        <v>0.0243290441526371</v>
      </c>
      <c r="AC11" s="416" t="n">
        <f aca="false">IFERROR(AC10/AB10-1,"")</f>
        <v>0.0243318797624492</v>
      </c>
      <c r="AD11" s="416" t="n">
        <f aca="false">IFERROR(AD10/AC10-1,"")</f>
        <v>0.0243347052300464</v>
      </c>
      <c r="AE11" s="416" t="n">
        <f aca="false">IFERROR(AE10/AD10-1,"")</f>
        <v>0.0243375205761482</v>
      </c>
      <c r="AF11" s="416" t="n">
        <f aca="false">IFERROR(AF10/AE10-1,"")</f>
        <v>0.0243403258215626</v>
      </c>
      <c r="AG11" s="416" t="n">
        <f aca="false">IFERROR(AG10/AF10-1,"")</f>
        <v>0.0243431209871907</v>
      </c>
      <c r="AH11" s="416" t="n">
        <f aca="false">IFERROR(AH10/AG10-1,"")</f>
        <v>0.024345906094025</v>
      </c>
      <c r="AI11" s="416" t="n">
        <f aca="false">IFERROR(AI10/AH10-1,"")</f>
        <v>0.0243486811631448</v>
      </c>
      <c r="AJ11" s="416" t="n">
        <f aca="false">IFERROR(AJ10/AI10-1,"")</f>
        <v>0.0243514462157184</v>
      </c>
      <c r="AK11" s="416" t="n">
        <f aca="false">IFERROR(AK10/AJ10-1,"")</f>
        <v>0.0243542012729991</v>
      </c>
      <c r="AL11" s="416" t="n">
        <f aca="false">IFERROR(AL10/AK10-1,"")</f>
        <v>0.0243569463563269</v>
      </c>
    </row>
    <row r="12" s="100" customFormat="true" ht="15" hidden="false" customHeight="false" outlineLevel="0" collapsed="false">
      <c r="A12" s="1"/>
      <c r="B12" s="1"/>
      <c r="C12" s="10"/>
      <c r="D12" s="25"/>
      <c r="E12" s="413"/>
      <c r="F12" s="413"/>
      <c r="G12" s="1"/>
    </row>
    <row r="13" s="100" customFormat="true" ht="15" hidden="false" customHeight="false" outlineLevel="0" collapsed="false">
      <c r="A13" s="1"/>
      <c r="B13" s="1"/>
      <c r="C13" s="8" t="s">
        <v>644</v>
      </c>
      <c r="D13" s="25"/>
      <c r="E13" s="413"/>
      <c r="F13" s="413"/>
      <c r="G13" s="1"/>
    </row>
    <row r="14" s="100" customFormat="true" ht="15" hidden="false" customHeight="false" outlineLevel="0" collapsed="false">
      <c r="A14" s="1"/>
      <c r="B14" s="1"/>
      <c r="C14" s="19" t="s">
        <v>189</v>
      </c>
      <c r="D14" s="25"/>
      <c r="E14" s="413"/>
      <c r="F14" s="413"/>
      <c r="G14" s="1"/>
    </row>
    <row r="15" s="100" customFormat="true" ht="15" hidden="false" customHeight="false" outlineLevel="0" collapsed="false">
      <c r="A15" s="1"/>
      <c r="B15" s="1"/>
      <c r="C15" s="109" t="s">
        <v>190</v>
      </c>
      <c r="D15" s="25"/>
      <c r="E15" s="413" t="s">
        <v>645</v>
      </c>
      <c r="F15" s="413"/>
      <c r="G15" s="1"/>
      <c r="H15" s="100" t="n">
        <f aca="false">H56</f>
        <v>16521.7225777166</v>
      </c>
      <c r="I15" s="100" t="n">
        <f aca="false">I56</f>
        <v>16521.7225777166</v>
      </c>
      <c r="J15" s="100" t="n">
        <f aca="false">J56</f>
        <v>16521.7225777166</v>
      </c>
      <c r="K15" s="100" t="n">
        <f aca="false">K56</f>
        <v>16521.7225777166</v>
      </c>
      <c r="L15" s="100" t="n">
        <f aca="false">L56</f>
        <v>16521.7225777166</v>
      </c>
      <c r="M15" s="100" t="n">
        <f aca="false">M56</f>
        <v>16521.7225777166</v>
      </c>
      <c r="N15" s="100" t="n">
        <f aca="false">N56</f>
        <v>16521.7225777166</v>
      </c>
      <c r="O15" s="100" t="n">
        <f aca="false">O56</f>
        <v>16521.7225777166</v>
      </c>
      <c r="P15" s="100" t="n">
        <f aca="false">P56</f>
        <v>16521.7225777166</v>
      </c>
      <c r="Q15" s="100" t="n">
        <f aca="false">Q56</f>
        <v>16521.7225777166</v>
      </c>
      <c r="R15" s="100" t="n">
        <f aca="false">R56</f>
        <v>16521.7225777166</v>
      </c>
      <c r="S15" s="100" t="n">
        <f aca="false">S56</f>
        <v>16521.7225777166</v>
      </c>
      <c r="T15" s="100" t="n">
        <f aca="false">T56</f>
        <v>16521.7225777166</v>
      </c>
      <c r="U15" s="100" t="n">
        <f aca="false">U56</f>
        <v>16521.7225777166</v>
      </c>
      <c r="V15" s="100" t="n">
        <f aca="false">V56</f>
        <v>16521.7225777166</v>
      </c>
      <c r="W15" s="100" t="n">
        <f aca="false">W56</f>
        <v>16521.7225777166</v>
      </c>
      <c r="X15" s="100" t="n">
        <f aca="false">X56</f>
        <v>16521.7225777166</v>
      </c>
      <c r="Y15" s="100" t="n">
        <f aca="false">Y56</f>
        <v>16521.7225777166</v>
      </c>
      <c r="Z15" s="100" t="n">
        <f aca="false">Z56</f>
        <v>16521.7225777166</v>
      </c>
      <c r="AA15" s="100" t="n">
        <f aca="false">AA56</f>
        <v>16521.7225777166</v>
      </c>
      <c r="AB15" s="100" t="n">
        <f aca="false">AB56</f>
        <v>16521.7225777166</v>
      </c>
      <c r="AC15" s="100" t="n">
        <f aca="false">AC56</f>
        <v>16521.7225777166</v>
      </c>
      <c r="AD15" s="100" t="n">
        <f aca="false">AD56</f>
        <v>16521.7225777166</v>
      </c>
      <c r="AE15" s="100" t="n">
        <f aca="false">AE56</f>
        <v>16521.7225777166</v>
      </c>
      <c r="AF15" s="100" t="n">
        <f aca="false">AF56</f>
        <v>16521.7225777166</v>
      </c>
      <c r="AG15" s="100" t="n">
        <f aca="false">AG56</f>
        <v>16521.7225777166</v>
      </c>
      <c r="AH15" s="100" t="n">
        <f aca="false">AH56</f>
        <v>16521.7225777166</v>
      </c>
      <c r="AI15" s="100" t="n">
        <f aca="false">AI56</f>
        <v>16521.7225777166</v>
      </c>
      <c r="AJ15" s="100" t="n">
        <f aca="false">AJ56</f>
        <v>16521.7225777166</v>
      </c>
      <c r="AK15" s="100" t="n">
        <f aca="false">AK56</f>
        <v>16521.7225777166</v>
      </c>
      <c r="AL15" s="100" t="n">
        <f aca="false">AL56</f>
        <v>16521.7225777166</v>
      </c>
    </row>
    <row r="16" s="100" customFormat="true" ht="15" hidden="false" customHeight="false" outlineLevel="0" collapsed="false">
      <c r="A16" s="1"/>
      <c r="B16" s="1"/>
      <c r="C16" s="109" t="s">
        <v>191</v>
      </c>
      <c r="D16" s="25"/>
      <c r="E16" s="413"/>
      <c r="F16" s="413"/>
      <c r="G16" s="1"/>
      <c r="H16" s="100" t="n">
        <f aca="false">'2. NPV'!H19</f>
        <v>4167.04493871993</v>
      </c>
      <c r="I16" s="100" t="n">
        <f aca="false">'2. NPV'!I19</f>
        <v>66589.3781207444</v>
      </c>
      <c r="J16" s="100" t="n">
        <f aca="false">'2. NPV'!J19</f>
        <v>60545.6014845211</v>
      </c>
      <c r="K16" s="100" t="n">
        <f aca="false">'2. NPV'!K19</f>
        <v>91926.7623524459</v>
      </c>
      <c r="L16" s="100" t="n">
        <f aca="false">'2. NPV'!L19</f>
        <v>84992.9922218773</v>
      </c>
      <c r="M16" s="100" t="n">
        <f aca="false">'2. NPV'!M19</f>
        <v>119898.3567643</v>
      </c>
      <c r="N16" s="100" t="n">
        <f aca="false">'2. NPV'!N19</f>
        <v>114452.432830458</v>
      </c>
      <c r="O16" s="100" t="n">
        <f aca="false">'2. NPV'!O19</f>
        <v>170434.987765083</v>
      </c>
      <c r="P16" s="100" t="n">
        <f aca="false">'2. NPV'!P19</f>
        <v>146153.474078027</v>
      </c>
      <c r="Q16" s="100" t="n">
        <f aca="false">'2. NPV'!Q19</f>
        <v>171209.896623496</v>
      </c>
      <c r="R16" s="100" t="n">
        <f aca="false">'2. NPV'!R19</f>
        <v>152058.074430779</v>
      </c>
      <c r="S16" s="100" t="n">
        <f aca="false">'2. NPV'!S19</f>
        <v>178126.776447085</v>
      </c>
      <c r="T16" s="100" t="n">
        <f aca="false">'2. NPV'!T19</f>
        <v>158201.220637783</v>
      </c>
      <c r="U16" s="100" t="n">
        <f aca="false">'2. NPV'!U19</f>
        <v>206885.166064056</v>
      </c>
      <c r="V16" s="100" t="n">
        <f aca="false">'2. NPV'!V19</f>
        <v>164592.549951549</v>
      </c>
      <c r="W16" s="100" t="n">
        <f aca="false">'2. NPV'!W19</f>
        <v>192810.151383456</v>
      </c>
      <c r="X16" s="100" t="n">
        <f aca="false">'2. NPV'!X19</f>
        <v>171242.088969592</v>
      </c>
      <c r="Y16" s="100" t="n">
        <f aca="false">'2. NPV'!Y19</f>
        <v>200599.681499347</v>
      </c>
      <c r="Z16" s="100" t="n">
        <f aca="false">'2. NPV'!Z19</f>
        <v>178160.269363963</v>
      </c>
      <c r="AA16" s="100" t="n">
        <f aca="false">'2. NPV'!AA19</f>
        <v>232986.299124531</v>
      </c>
      <c r="AB16" s="100" t="n">
        <f aca="false">'2. NPV'!AB19</f>
        <v>185357.944246268</v>
      </c>
      <c r="AC16" s="100" t="n">
        <f aca="false">'2. NPV'!AC19</f>
        <v>217135.54654065</v>
      </c>
      <c r="AD16" s="100" t="n">
        <f aca="false">'2. NPV'!AD19</f>
        <v>192846.405193817</v>
      </c>
      <c r="AE16" s="100" t="n">
        <f aca="false">'2. NPV'!AE19</f>
        <v>225907.822620893</v>
      </c>
      <c r="AF16" s="100" t="n">
        <f aca="false">'2. NPV'!AF19</f>
        <v>200637.399963647</v>
      </c>
      <c r="AG16" s="100" t="n">
        <f aca="false">'2. NPV'!AG19</f>
        <v>262380.414277448</v>
      </c>
      <c r="AH16" s="100" t="n">
        <f aca="false">'2. NPV'!AH19</f>
        <v>208743.150922178</v>
      </c>
      <c r="AI16" s="100" t="n">
        <f aca="false">'2. NPV'!AI19</f>
        <v>244529.89240043</v>
      </c>
      <c r="AJ16" s="100" t="n">
        <f aca="false">'2. NPV'!AJ19</f>
        <v>217176.374219434</v>
      </c>
      <c r="AK16" s="100" t="n">
        <f aca="false">'2. NPV'!AK19</f>
        <v>254408.900053407</v>
      </c>
      <c r="AL16" s="100" t="n">
        <f aca="false">'2. NPV'!AL19</f>
        <v>225950.299737899</v>
      </c>
    </row>
    <row r="17" s="100" customFormat="true" ht="15" hidden="false" customHeight="false" outlineLevel="0" collapsed="false">
      <c r="A17" s="1"/>
      <c r="B17" s="1"/>
      <c r="C17" s="19" t="s">
        <v>646</v>
      </c>
      <c r="D17" s="25"/>
      <c r="E17" s="413"/>
      <c r="F17" s="413"/>
    </row>
    <row r="18" s="100" customFormat="true" ht="15" hidden="false" customHeight="false" outlineLevel="0" collapsed="false">
      <c r="A18" s="1"/>
      <c r="B18" s="1"/>
      <c r="C18" s="109" t="str">
        <f aca="false">'5.2 Cost Build - ARR'!C135</f>
        <v>Nursery - OPEX</v>
      </c>
      <c r="D18" s="25"/>
      <c r="E18" s="413"/>
      <c r="F18" s="413"/>
      <c r="H18" s="100" t="n">
        <f aca="false">'2. NPV'!H22</f>
        <v>816000</v>
      </c>
      <c r="I18" s="100" t="n">
        <f aca="false">'2. NPV'!I22</f>
        <v>1331712</v>
      </c>
      <c r="J18" s="100" t="n">
        <f aca="false">'2. NPV'!J22</f>
        <v>1358346.24</v>
      </c>
      <c r="K18" s="100" t="n">
        <f aca="false">'2. NPV'!K22</f>
        <v>1385513.1648</v>
      </c>
      <c r="L18" s="100" t="n">
        <f aca="false">'2. NPV'!L22</f>
        <v>1413223.428096</v>
      </c>
      <c r="M18" s="100" t="n">
        <f aca="false">'2. NPV'!M22</f>
        <v>1441487.89665792</v>
      </c>
      <c r="N18" s="100" t="n">
        <f aca="false">'2. NPV'!N22</f>
        <v>1470317.65459108</v>
      </c>
      <c r="O18" s="100" t="n">
        <f aca="false">'2. NPV'!O22</f>
        <v>1499724.0076829</v>
      </c>
      <c r="P18" s="100" t="n">
        <f aca="false">'2. NPV'!P22</f>
        <v>0</v>
      </c>
      <c r="Q18" s="100" t="n">
        <f aca="false">'2. NPV'!Q22</f>
        <v>0</v>
      </c>
      <c r="R18" s="100" t="n">
        <f aca="false">'2. NPV'!R22</f>
        <v>0</v>
      </c>
      <c r="S18" s="100" t="n">
        <f aca="false">'2. NPV'!S22</f>
        <v>0</v>
      </c>
      <c r="T18" s="100" t="n">
        <f aca="false">'2. NPV'!T22</f>
        <v>0</v>
      </c>
      <c r="U18" s="100" t="n">
        <f aca="false">'2. NPV'!U22</f>
        <v>0</v>
      </c>
      <c r="V18" s="100" t="n">
        <f aca="false">'2. NPV'!V22</f>
        <v>0</v>
      </c>
      <c r="W18" s="100" t="n">
        <f aca="false">'2. NPV'!W22</f>
        <v>0</v>
      </c>
      <c r="X18" s="100" t="n">
        <f aca="false">'2. NPV'!X22</f>
        <v>0</v>
      </c>
      <c r="Y18" s="100" t="n">
        <f aca="false">'2. NPV'!Y22</f>
        <v>0</v>
      </c>
      <c r="Z18" s="100" t="n">
        <f aca="false">'2. NPV'!Z22</f>
        <v>0</v>
      </c>
      <c r="AA18" s="100" t="n">
        <f aca="false">'2. NPV'!AA22</f>
        <v>0</v>
      </c>
      <c r="AB18" s="100" t="n">
        <f aca="false">'2. NPV'!AB22</f>
        <v>0</v>
      </c>
      <c r="AC18" s="100" t="n">
        <f aca="false">'2. NPV'!AC22</f>
        <v>0</v>
      </c>
      <c r="AD18" s="100" t="n">
        <f aca="false">'2. NPV'!AD22</f>
        <v>0</v>
      </c>
      <c r="AE18" s="100" t="n">
        <f aca="false">'2. NPV'!AE22</f>
        <v>0</v>
      </c>
      <c r="AF18" s="100" t="n">
        <f aca="false">'2. NPV'!AF22</f>
        <v>0</v>
      </c>
      <c r="AG18" s="100" t="n">
        <f aca="false">'2. NPV'!AG22</f>
        <v>0</v>
      </c>
      <c r="AH18" s="100" t="n">
        <f aca="false">'2. NPV'!AH22</f>
        <v>0</v>
      </c>
      <c r="AI18" s="100" t="n">
        <f aca="false">'2. NPV'!AI22</f>
        <v>0</v>
      </c>
      <c r="AJ18" s="100" t="n">
        <f aca="false">'2. NPV'!AJ22</f>
        <v>0</v>
      </c>
      <c r="AK18" s="100" t="n">
        <f aca="false">'2. NPV'!AK22</f>
        <v>0</v>
      </c>
      <c r="AL18" s="100" t="n">
        <f aca="false">'2. NPV'!AL22</f>
        <v>0</v>
      </c>
    </row>
    <row r="19" s="100" customFormat="true" ht="15" hidden="false" customHeight="false" outlineLevel="0" collapsed="false">
      <c r="A19" s="1"/>
      <c r="B19" s="1"/>
      <c r="C19" s="109" t="str">
        <f aca="false">'5.2 Cost Build - ARR'!C136</f>
        <v>Plantation &amp; Transportation Cost</v>
      </c>
      <c r="D19" s="25"/>
      <c r="E19" s="413"/>
      <c r="F19" s="413"/>
      <c r="H19" s="100" t="n">
        <f aca="false">'2. NPV'!H23</f>
        <v>0</v>
      </c>
      <c r="I19" s="100" t="n">
        <f aca="false">'2. NPV'!I23</f>
        <v>416160</v>
      </c>
      <c r="J19" s="100" t="n">
        <f aca="false">'2. NPV'!J23</f>
        <v>679173.12</v>
      </c>
      <c r="K19" s="100" t="n">
        <f aca="false">'2. NPV'!K23</f>
        <v>692756.5824</v>
      </c>
      <c r="L19" s="100" t="n">
        <f aca="false">'2. NPV'!L23</f>
        <v>706611.714048</v>
      </c>
      <c r="M19" s="100" t="n">
        <f aca="false">'2. NPV'!M23</f>
        <v>720743.94832896</v>
      </c>
      <c r="N19" s="100" t="n">
        <f aca="false">'2. NPV'!N23</f>
        <v>735158.827295539</v>
      </c>
      <c r="O19" s="100" t="n">
        <f aca="false">'2. NPV'!O23</f>
        <v>749862.00384145</v>
      </c>
      <c r="P19" s="100" t="n">
        <f aca="false">'2. NPV'!P23</f>
        <v>764859.243918279</v>
      </c>
      <c r="Q19" s="100" t="n">
        <f aca="false">'2. NPV'!Q23</f>
        <v>0</v>
      </c>
      <c r="R19" s="100" t="n">
        <f aca="false">'2. NPV'!R23</f>
        <v>0</v>
      </c>
      <c r="S19" s="100" t="n">
        <f aca="false">'2. NPV'!S23</f>
        <v>0</v>
      </c>
      <c r="T19" s="100" t="n">
        <f aca="false">'2. NPV'!T23</f>
        <v>0</v>
      </c>
      <c r="U19" s="100" t="n">
        <f aca="false">'2. NPV'!U23</f>
        <v>0</v>
      </c>
      <c r="V19" s="100" t="n">
        <f aca="false">'2. NPV'!V23</f>
        <v>0</v>
      </c>
      <c r="W19" s="100" t="n">
        <f aca="false">'2. NPV'!W23</f>
        <v>0</v>
      </c>
      <c r="X19" s="100" t="n">
        <f aca="false">'2. NPV'!X23</f>
        <v>0</v>
      </c>
      <c r="Y19" s="100" t="n">
        <f aca="false">'2. NPV'!Y23</f>
        <v>0</v>
      </c>
      <c r="Z19" s="100" t="n">
        <f aca="false">'2. NPV'!Z23</f>
        <v>0</v>
      </c>
      <c r="AA19" s="100" t="n">
        <f aca="false">'2. NPV'!AA23</f>
        <v>0</v>
      </c>
      <c r="AB19" s="100" t="n">
        <f aca="false">'2. NPV'!AB23</f>
        <v>0</v>
      </c>
      <c r="AC19" s="100" t="n">
        <f aca="false">'2. NPV'!AC23</f>
        <v>0</v>
      </c>
      <c r="AD19" s="100" t="n">
        <f aca="false">'2. NPV'!AD23</f>
        <v>0</v>
      </c>
      <c r="AE19" s="100" t="n">
        <f aca="false">'2. NPV'!AE23</f>
        <v>0</v>
      </c>
      <c r="AF19" s="100" t="n">
        <f aca="false">'2. NPV'!AF23</f>
        <v>0</v>
      </c>
      <c r="AG19" s="100" t="n">
        <f aca="false">'2. NPV'!AG23</f>
        <v>0</v>
      </c>
      <c r="AH19" s="100" t="n">
        <f aca="false">'2. NPV'!AH23</f>
        <v>0</v>
      </c>
      <c r="AI19" s="100" t="n">
        <f aca="false">'2. NPV'!AI23</f>
        <v>0</v>
      </c>
      <c r="AJ19" s="100" t="n">
        <f aca="false">'2. NPV'!AJ23</f>
        <v>0</v>
      </c>
      <c r="AK19" s="100" t="n">
        <f aca="false">'2. NPV'!AK23</f>
        <v>0</v>
      </c>
      <c r="AL19" s="100" t="n">
        <f aca="false">'2. NPV'!AL23</f>
        <v>0</v>
      </c>
    </row>
    <row r="20" s="100" customFormat="true" ht="15" hidden="false" customHeight="false" outlineLevel="0" collapsed="false">
      <c r="A20" s="1"/>
      <c r="B20" s="1"/>
      <c r="C20" s="109" t="str">
        <f aca="false">'5.2 Cost Build - ARR'!C137</f>
        <v>Maintenance cost</v>
      </c>
      <c r="D20" s="25"/>
      <c r="E20" s="413"/>
      <c r="F20" s="413"/>
      <c r="H20" s="100" t="n">
        <f aca="false">'2. NPV'!H24</f>
        <v>0</v>
      </c>
      <c r="I20" s="100" t="n">
        <f aca="false">'2. NPV'!I24</f>
        <v>0</v>
      </c>
      <c r="J20" s="100" t="n">
        <f aca="false">'2. NPV'!J24</f>
        <v>90202.68</v>
      </c>
      <c r="K20" s="100" t="n">
        <f aca="false">'2. NPV'!K24</f>
        <v>239217.50736</v>
      </c>
      <c r="L20" s="100" t="n">
        <f aca="false">'2. NPV'!L24</f>
        <v>394156.8467424</v>
      </c>
      <c r="M20" s="100" t="n">
        <f aca="false">'2. NPV'!M24</f>
        <v>459474.267059712</v>
      </c>
      <c r="N20" s="100" t="n">
        <f aca="false">'2. NPV'!N24</f>
        <v>468663.752400906</v>
      </c>
      <c r="O20" s="100" t="n">
        <f aca="false">'2. NPV'!O24</f>
        <v>478037.027448924</v>
      </c>
      <c r="P20" s="100" t="n">
        <f aca="false">'2. NPV'!P24</f>
        <v>487597.767997903</v>
      </c>
      <c r="Q20" s="100" t="n">
        <f aca="false">'2. NPV'!Q24</f>
        <v>497349.723357861</v>
      </c>
      <c r="R20" s="100" t="n">
        <f aca="false">'2. NPV'!R24</f>
        <v>338197.811883345</v>
      </c>
      <c r="S20" s="100" t="n">
        <f aca="false">'2. NPV'!S24</f>
        <v>172480.884060506</v>
      </c>
      <c r="T20" s="100" t="n">
        <f aca="false">'2. NPV'!T24</f>
        <v>0</v>
      </c>
      <c r="U20" s="100" t="n">
        <f aca="false">'2. NPV'!U24</f>
        <v>0</v>
      </c>
      <c r="V20" s="100" t="n">
        <f aca="false">'2. NPV'!V24</f>
        <v>0</v>
      </c>
      <c r="W20" s="100" t="n">
        <f aca="false">'2. NPV'!W24</f>
        <v>0</v>
      </c>
      <c r="X20" s="100" t="n">
        <f aca="false">'2. NPV'!X24</f>
        <v>0</v>
      </c>
      <c r="Y20" s="100" t="n">
        <f aca="false">'2. NPV'!Y24</f>
        <v>0</v>
      </c>
      <c r="Z20" s="100" t="n">
        <f aca="false">'2. NPV'!Z24</f>
        <v>0</v>
      </c>
      <c r="AA20" s="100" t="n">
        <f aca="false">'2. NPV'!AA24</f>
        <v>0</v>
      </c>
      <c r="AB20" s="100" t="n">
        <f aca="false">'2. NPV'!AB24</f>
        <v>0</v>
      </c>
      <c r="AC20" s="100" t="n">
        <f aca="false">'2. NPV'!AC24</f>
        <v>0</v>
      </c>
      <c r="AD20" s="100" t="n">
        <f aca="false">'2. NPV'!AD24</f>
        <v>0</v>
      </c>
      <c r="AE20" s="100" t="n">
        <f aca="false">'2. NPV'!AE24</f>
        <v>0</v>
      </c>
      <c r="AF20" s="100" t="n">
        <f aca="false">'2. NPV'!AF24</f>
        <v>0</v>
      </c>
      <c r="AG20" s="100" t="n">
        <f aca="false">'2. NPV'!AG24</f>
        <v>0</v>
      </c>
      <c r="AH20" s="100" t="n">
        <f aca="false">'2. NPV'!AH24</f>
        <v>0</v>
      </c>
      <c r="AI20" s="100" t="n">
        <f aca="false">'2. NPV'!AI24</f>
        <v>0</v>
      </c>
      <c r="AJ20" s="100" t="n">
        <f aca="false">'2. NPV'!AJ24</f>
        <v>0</v>
      </c>
      <c r="AK20" s="100" t="n">
        <f aca="false">'2. NPV'!AK24</f>
        <v>0</v>
      </c>
      <c r="AL20" s="100" t="n">
        <f aca="false">'2. NPV'!AL24</f>
        <v>0</v>
      </c>
    </row>
    <row r="21" s="100" customFormat="true" ht="15" hidden="false" customHeight="false" outlineLevel="0" collapsed="false">
      <c r="A21" s="1"/>
      <c r="B21" s="1"/>
      <c r="C21" s="109" t="str">
        <f aca="false">'5.2 Cost Build - ARR'!C138</f>
        <v>Plantation Overhead</v>
      </c>
      <c r="D21" s="25"/>
      <c r="E21" s="413"/>
      <c r="F21" s="413"/>
      <c r="H21" s="100" t="n">
        <f aca="false">'2. NPV'!H25</f>
        <v>396060</v>
      </c>
      <c r="I21" s="100" t="n">
        <f aca="false">'2. NPV'!I25</f>
        <v>674967.48</v>
      </c>
      <c r="J21" s="100" t="n">
        <f aca="false">'2. NPV'!J25</f>
        <v>701931.7446</v>
      </c>
      <c r="K21" s="100" t="n">
        <f aca="false">'2. NPV'!K25</f>
        <v>928306.66335</v>
      </c>
      <c r="L21" s="100" t="n">
        <f aca="false">'2. NPV'!L25</f>
        <v>1044410.7235047</v>
      </c>
      <c r="M21" s="100" t="n">
        <f aca="false">'2. NPV'!M25</f>
        <v>1074613.74288104</v>
      </c>
      <c r="N21" s="100" t="n">
        <f aca="false">'2. NPV'!N25</f>
        <v>1188547.55719968</v>
      </c>
      <c r="O21" s="100" t="n">
        <f aca="false">'2. NPV'!O25</f>
        <v>1215202.76859727</v>
      </c>
      <c r="P21" s="100" t="n">
        <f aca="false">'2. NPV'!P25</f>
        <v>1242433.29723549</v>
      </c>
      <c r="Q21" s="100" t="n">
        <f aca="false">'2. NPV'!Q25</f>
        <v>1270252.76010979</v>
      </c>
      <c r="R21" s="100" t="n">
        <f aca="false">'2. NPV'!R25</f>
        <v>1298675.15208805</v>
      </c>
      <c r="S21" s="100" t="n">
        <f aca="false">'2. NPV'!S25</f>
        <v>1325674.85874468</v>
      </c>
      <c r="T21" s="100" t="n">
        <f aca="false">'2. NPV'!T25</f>
        <v>1353265.86971519</v>
      </c>
      <c r="U21" s="100" t="n">
        <f aca="false">'2. NPV'!U25</f>
        <v>1381462.57659488</v>
      </c>
      <c r="V21" s="100" t="n">
        <f aca="false">'2. NPV'!V25</f>
        <v>1410279.78708645</v>
      </c>
      <c r="W21" s="100" t="n">
        <f aca="false">'2. NPV'!W25</f>
        <v>1439732.73973582</v>
      </c>
      <c r="X21" s="100" t="n">
        <f aca="false">'2. NPV'!X25</f>
        <v>1469837.11928357</v>
      </c>
      <c r="Y21" s="100" t="n">
        <f aca="false">'2. NPV'!Y25</f>
        <v>1500609.07265992</v>
      </c>
      <c r="Z21" s="100" t="n">
        <f aca="false">'2. NPV'!Z25</f>
        <v>1532065.22565333</v>
      </c>
      <c r="AA21" s="100" t="n">
        <f aca="false">'2. NPV'!AA25</f>
        <v>1564222.70028362</v>
      </c>
      <c r="AB21" s="100" t="n">
        <f aca="false">'2. NPV'!AB25</f>
        <v>1597099.13291238</v>
      </c>
      <c r="AC21" s="100" t="n">
        <f aca="false">'2. NPV'!AC25</f>
        <v>1630712.69312487</v>
      </c>
      <c r="AD21" s="100" t="n">
        <f aca="false">'2. NPV'!AD25</f>
        <v>1665082.10341932</v>
      </c>
      <c r="AE21" s="100" t="n">
        <f aca="false">'2. NPV'!AE25</f>
        <v>1700226.65974126</v>
      </c>
      <c r="AF21" s="100" t="n">
        <f aca="false">'2. NPV'!AF25</f>
        <v>1736166.25290231</v>
      </c>
      <c r="AG21" s="100" t="n">
        <f aca="false">'2. NPV'!AG25</f>
        <v>1772921.3909249</v>
      </c>
      <c r="AH21" s="100" t="n">
        <f aca="false">'2. NPV'!AH25</f>
        <v>1810513.22235616</v>
      </c>
      <c r="AI21" s="100" t="n">
        <f aca="false">'2. NPV'!AI25</f>
        <v>1848963.56059669</v>
      </c>
      <c r="AJ21" s="100" t="n">
        <f aca="false">'2. NPV'!AJ25</f>
        <v>1888294.9092917</v>
      </c>
      <c r="AK21" s="100" t="n">
        <f aca="false">'2. NPV'!AK25</f>
        <v>1928530.48883476</v>
      </c>
      <c r="AL21" s="100" t="n">
        <f aca="false">'2. NPV'!AL25</f>
        <v>1969694.26403655</v>
      </c>
    </row>
    <row r="22" s="100" customFormat="true" ht="15" hidden="false" customHeight="false" outlineLevel="0" collapsed="false">
      <c r="A22" s="1"/>
      <c r="B22" s="1"/>
      <c r="C22" s="19" t="s">
        <v>618</v>
      </c>
      <c r="D22" s="25"/>
      <c r="E22" s="413"/>
      <c r="F22" s="413"/>
    </row>
    <row r="23" s="100" customFormat="true" ht="15" hidden="false" customHeight="false" outlineLevel="0" collapsed="false">
      <c r="A23" s="1"/>
      <c r="B23" s="1"/>
      <c r="C23" s="109" t="str">
        <f aca="false">'2. NPV'!C29</f>
        <v>Processing Centers - OPEX</v>
      </c>
      <c r="D23" s="25"/>
      <c r="E23" s="413"/>
      <c r="F23" s="413"/>
      <c r="H23" s="417" t="n">
        <f aca="false">'2. NPV'!H29</f>
        <v>0</v>
      </c>
      <c r="I23" s="418" t="n">
        <f aca="false">'2. NPV'!I29</f>
        <v>97100.681</v>
      </c>
      <c r="J23" s="418" t="n">
        <f aca="false">'2. NPV'!J29</f>
        <v>407826.795659375</v>
      </c>
      <c r="K23" s="418" t="n">
        <f aca="false">'2. NPV'!K29</f>
        <v>691635.298285312</v>
      </c>
      <c r="L23" s="418" t="n">
        <f aca="false">'2. NPV'!L29</f>
        <v>814380.431080838</v>
      </c>
      <c r="M23" s="418" t="n">
        <f aca="false">'2. NPV'!M29</f>
        <v>1168019.25776554</v>
      </c>
      <c r="N23" s="418" t="n">
        <f aca="false">'2. NPV'!N29</f>
        <v>1251339.05110874</v>
      </c>
      <c r="O23" s="418" t="n">
        <f aca="false">'2. NPV'!O29</f>
        <v>1338590.57195517</v>
      </c>
      <c r="P23" s="418" t="n">
        <f aca="false">'2. NPV'!P29</f>
        <v>1429948.63821446</v>
      </c>
      <c r="Q23" s="418" t="n">
        <f aca="false">'2. NPV'!Q29</f>
        <v>1525596.14262787</v>
      </c>
      <c r="R23" s="418" t="n">
        <f aca="false">'2. NPV'!R29</f>
        <v>1510306.8812247</v>
      </c>
      <c r="S23" s="418" t="n">
        <f aca="false">'2. NPV'!S29</f>
        <v>1550479.53104974</v>
      </c>
      <c r="T23" s="418" t="n">
        <f aca="false">'2. NPV'!T29</f>
        <v>1591777.24601012</v>
      </c>
      <c r="U23" s="418" t="n">
        <f aca="false">'2. NPV'!U29</f>
        <v>1634234.19017872</v>
      </c>
      <c r="V23" s="418" t="n">
        <f aca="false">'2. NPV'!V29</f>
        <v>1677885.68360245</v>
      </c>
      <c r="W23" s="418" t="n">
        <f aca="false">'2. NPV'!W29</f>
        <v>1722768.24629524</v>
      </c>
      <c r="X23" s="418" t="n">
        <f aca="false">'2. NPV'!X29</f>
        <v>1768919.64408548</v>
      </c>
      <c r="Y23" s="418" t="n">
        <f aca="false">'2. NPV'!Y29</f>
        <v>1816378.93640213</v>
      </c>
      <c r="Z23" s="418" t="n">
        <f aca="false">'2. NPV'!Z29</f>
        <v>1865186.52608741</v>
      </c>
      <c r="AA23" s="418" t="n">
        <f aca="false">'2. NPV'!AA29</f>
        <v>1915384.21132859</v>
      </c>
      <c r="AB23" s="418" t="n">
        <f aca="false">'2. NPV'!AB29</f>
        <v>1967015.23980525</v>
      </c>
      <c r="AC23" s="418" t="n">
        <f aca="false">'2. NPV'!AC29</f>
        <v>2020124.36515349</v>
      </c>
      <c r="AD23" s="418" t="n">
        <f aca="false">'2. NPV'!AD29</f>
        <v>2074757.9058531</v>
      </c>
      <c r="AE23" s="418" t="n">
        <f aca="false">'2. NPV'!AE29</f>
        <v>2130963.80664874</v>
      </c>
      <c r="AF23" s="418" t="n">
        <f aca="false">'2. NPV'!AF29</f>
        <v>2188791.70262173</v>
      </c>
      <c r="AG23" s="418" t="n">
        <f aca="false">'2. NPV'!AG29</f>
        <v>2248292.98603439</v>
      </c>
      <c r="AH23" s="418" t="n">
        <f aca="false">'2. NPV'!AH29</f>
        <v>2309520.87607471</v>
      </c>
      <c r="AI23" s="418" t="n">
        <f aca="false">'2. NPV'!AI29</f>
        <v>2372530.49163552</v>
      </c>
      <c r="AJ23" s="418" t="n">
        <f aca="false">'2. NPV'!AJ29</f>
        <v>2437378.9272683</v>
      </c>
      <c r="AK23" s="418" t="n">
        <f aca="false">'2. NPV'!AK29</f>
        <v>2504125.33245899</v>
      </c>
      <c r="AL23" s="418" t="n">
        <f aca="false">'2. NPV'!AL29</f>
        <v>2572830.9943799</v>
      </c>
    </row>
    <row r="24" s="100" customFormat="true" ht="15" hidden="false" customHeight="false" outlineLevel="0" collapsed="false">
      <c r="A24" s="1"/>
      <c r="B24" s="1"/>
      <c r="C24" s="109" t="str">
        <f aca="false">'2. NPV'!C30</f>
        <v>Productive Activities' Overhead</v>
      </c>
      <c r="D24" s="25"/>
      <c r="E24" s="413"/>
      <c r="F24" s="413"/>
      <c r="H24" s="417" t="n">
        <f aca="false">'2. NPV'!H30</f>
        <v>22740</v>
      </c>
      <c r="I24" s="418" t="n">
        <f aca="false">'2. NPV'!I30</f>
        <v>181609.8</v>
      </c>
      <c r="J24" s="418" t="n">
        <f aca="false">'2. NPV'!J30</f>
        <v>392907.975</v>
      </c>
      <c r="K24" s="418" t="n">
        <f aca="false">'2. NPV'!K30</f>
        <v>568939.18623</v>
      </c>
      <c r="L24" s="418" t="n">
        <f aca="false">'2. NPV'!L30</f>
        <v>762870.1186887</v>
      </c>
      <c r="M24" s="418" t="n">
        <f aca="false">'2. NPV'!M30</f>
        <v>959745.176116116</v>
      </c>
      <c r="N24" s="418" t="n">
        <f aca="false">'2. NPV'!N30</f>
        <v>1163276.4725114</v>
      </c>
      <c r="O24" s="418" t="n">
        <f aca="false">'2. NPV'!O30</f>
        <v>1373376.78503258</v>
      </c>
      <c r="P24" s="418" t="n">
        <f aca="false">'2. NPV'!P30</f>
        <v>1591400.3272732</v>
      </c>
      <c r="Q24" s="418" t="n">
        <f aca="false">'2. NPV'!Q30</f>
        <v>1817581.25468743</v>
      </c>
      <c r="R24" s="418" t="n">
        <f aca="false">'2. NPV'!R30</f>
        <v>1856950.21655725</v>
      </c>
      <c r="S24" s="418" t="n">
        <f aca="false">'2. NPV'!S30</f>
        <v>1895115.42450326</v>
      </c>
      <c r="T24" s="418" t="n">
        <f aca="false">'2. NPV'!T30</f>
        <v>1934095.24678894</v>
      </c>
      <c r="U24" s="418" t="n">
        <f aca="false">'2. NPV'!U30</f>
        <v>1973908.54121011</v>
      </c>
      <c r="V24" s="418" t="n">
        <f aca="false">'2. NPV'!V30</f>
        <v>2014574.67099398</v>
      </c>
      <c r="W24" s="418" t="n">
        <f aca="false">'2. NPV'!W30</f>
        <v>2056113.52132151</v>
      </c>
      <c r="X24" s="418" t="n">
        <f aca="false">'2. NPV'!X30</f>
        <v>2098545.51650097</v>
      </c>
      <c r="Y24" s="418" t="n">
        <f aca="false">'2. NPV'!Y30</f>
        <v>2141891.63782167</v>
      </c>
      <c r="Z24" s="418" t="n">
        <f aca="false">'2. NPV'!Z30</f>
        <v>2186173.44211831</v>
      </c>
      <c r="AA24" s="418" t="n">
        <f aca="false">'2. NPV'!AA30</f>
        <v>2231413.08107791</v>
      </c>
      <c r="AB24" s="418" t="n">
        <f aca="false">'2. NPV'!AB30</f>
        <v>2277633.32132255</v>
      </c>
      <c r="AC24" s="418" t="n">
        <f aca="false">'2. NPV'!AC30</f>
        <v>2324857.56530324</v>
      </c>
      <c r="AD24" s="418" t="n">
        <f aca="false">'2. NPV'!AD30</f>
        <v>2373109.87304126</v>
      </c>
      <c r="AE24" s="418" t="n">
        <f aca="false">'2. NPV'!AE30</f>
        <v>2422414.98475564</v>
      </c>
      <c r="AF24" s="418" t="n">
        <f aca="false">'2. NPV'!AF30</f>
        <v>2472798.34441698</v>
      </c>
      <c r="AG24" s="418" t="n">
        <f aca="false">'2. NPV'!AG30</f>
        <v>2524286.12426986</v>
      </c>
      <c r="AH24" s="418" t="n">
        <f aca="false">'2. NPV'!AH30</f>
        <v>2576905.25036802</v>
      </c>
      <c r="AI24" s="418" t="n">
        <f aca="false">'2. NPV'!AI30</f>
        <v>2630683.42916879</v>
      </c>
      <c r="AJ24" s="418" t="n">
        <f aca="false">'2. NPV'!AJ30</f>
        <v>2685649.17523523</v>
      </c>
      <c r="AK24" s="418" t="n">
        <f aca="false">'2. NPV'!AK30</f>
        <v>2741831.84009717</v>
      </c>
      <c r="AL24" s="418" t="n">
        <f aca="false">'2. NPV'!AL30</f>
        <v>2799261.6423242</v>
      </c>
    </row>
    <row r="25" s="100" customFormat="true" ht="15" hidden="false" customHeight="false" outlineLevel="0" collapsed="false">
      <c r="A25" s="1"/>
      <c r="B25" s="1"/>
      <c r="C25" s="19" t="s">
        <v>193</v>
      </c>
      <c r="D25" s="25"/>
      <c r="E25" s="110"/>
      <c r="F25" s="110"/>
      <c r="G25" s="1"/>
      <c r="H25" s="419" t="n">
        <f aca="false">'2. NPV'!H33</f>
        <v>0</v>
      </c>
      <c r="I25" s="419" t="n">
        <f aca="false">'2. NPV'!I33</f>
        <v>0</v>
      </c>
      <c r="J25" s="419" t="n">
        <f aca="false">'2. NPV'!J33</f>
        <v>0</v>
      </c>
      <c r="K25" s="419" t="n">
        <f aca="false">'2. NPV'!K33</f>
        <v>0</v>
      </c>
      <c r="L25" s="419" t="n">
        <f aca="false">'2. NPV'!L33</f>
        <v>0</v>
      </c>
      <c r="M25" s="419" t="n">
        <f aca="false">'2. NPV'!M33</f>
        <v>0</v>
      </c>
      <c r="N25" s="419" t="n">
        <f aca="false">'2. NPV'!N33</f>
        <v>0</v>
      </c>
      <c r="O25" s="419" t="n">
        <f aca="false">'2. NPV'!O33</f>
        <v>0</v>
      </c>
      <c r="P25" s="419" t="n">
        <f aca="false">'2. NPV'!P33</f>
        <v>0</v>
      </c>
      <c r="Q25" s="419" t="n">
        <f aca="false">'2. NPV'!Q33</f>
        <v>0</v>
      </c>
      <c r="R25" s="419" t="n">
        <f aca="false">'2. NPV'!R33</f>
        <v>0</v>
      </c>
      <c r="S25" s="419" t="n">
        <f aca="false">'2. NPV'!S33</f>
        <v>0</v>
      </c>
      <c r="T25" s="419" t="n">
        <f aca="false">'2. NPV'!T33</f>
        <v>0</v>
      </c>
      <c r="U25" s="419" t="n">
        <f aca="false">'2. NPV'!U33</f>
        <v>0</v>
      </c>
      <c r="V25" s="419" t="n">
        <f aca="false">'2. NPV'!V33</f>
        <v>0</v>
      </c>
      <c r="W25" s="419" t="n">
        <f aca="false">'2. NPV'!W33</f>
        <v>0</v>
      </c>
      <c r="X25" s="419" t="n">
        <f aca="false">'2. NPV'!X33</f>
        <v>0</v>
      </c>
      <c r="Y25" s="419" t="n">
        <f aca="false">'2. NPV'!Y33</f>
        <v>0</v>
      </c>
      <c r="Z25" s="419" t="n">
        <f aca="false">'2. NPV'!Z33</f>
        <v>0</v>
      </c>
      <c r="AA25" s="419" t="n">
        <f aca="false">'2. NPV'!AA33</f>
        <v>0</v>
      </c>
      <c r="AB25" s="419" t="n">
        <f aca="false">'2. NPV'!AB33</f>
        <v>0</v>
      </c>
      <c r="AC25" s="419" t="n">
        <f aca="false">'2. NPV'!AC33</f>
        <v>0</v>
      </c>
      <c r="AD25" s="419" t="n">
        <f aca="false">'2. NPV'!AD33</f>
        <v>0</v>
      </c>
      <c r="AE25" s="419" t="n">
        <f aca="false">'2. NPV'!AE33</f>
        <v>0</v>
      </c>
      <c r="AF25" s="419" t="n">
        <f aca="false">'2. NPV'!AF33</f>
        <v>0</v>
      </c>
      <c r="AG25" s="419" t="n">
        <f aca="false">'2. NPV'!AG33</f>
        <v>0</v>
      </c>
      <c r="AH25" s="419" t="n">
        <f aca="false">'2. NPV'!AH33</f>
        <v>0</v>
      </c>
      <c r="AI25" s="419" t="n">
        <f aca="false">'2. NPV'!AI33</f>
        <v>0</v>
      </c>
      <c r="AJ25" s="419" t="n">
        <f aca="false">'2. NPV'!AJ33</f>
        <v>0</v>
      </c>
      <c r="AK25" s="419" t="n">
        <f aca="false">'2. NPV'!AK33</f>
        <v>0</v>
      </c>
      <c r="AL25" s="419" t="n">
        <f aca="false">'2. NPV'!AL33</f>
        <v>0</v>
      </c>
    </row>
    <row r="26" s="100" customFormat="true" ht="15" hidden="false" customHeight="false" outlineLevel="0" collapsed="false">
      <c r="A26" s="1"/>
      <c r="B26" s="1"/>
      <c r="C26" s="19" t="s">
        <v>194</v>
      </c>
      <c r="D26" s="25"/>
      <c r="E26" s="110"/>
      <c r="F26" s="110"/>
      <c r="G26" s="1"/>
      <c r="H26" s="419" t="n">
        <f aca="false">'2. NPV'!H34</f>
        <v>0</v>
      </c>
      <c r="I26" s="419" t="n">
        <f aca="false">'2. NPV'!I34</f>
        <v>0</v>
      </c>
      <c r="J26" s="419" t="n">
        <f aca="false">'2. NPV'!J34</f>
        <v>0</v>
      </c>
      <c r="K26" s="419" t="n">
        <f aca="false">'2. NPV'!K34</f>
        <v>0</v>
      </c>
      <c r="L26" s="419" t="n">
        <f aca="false">'2. NPV'!L34</f>
        <v>0</v>
      </c>
      <c r="M26" s="419" t="n">
        <f aca="false">'2. NPV'!M34</f>
        <v>0</v>
      </c>
      <c r="N26" s="419" t="n">
        <f aca="false">'2. NPV'!N34</f>
        <v>0</v>
      </c>
      <c r="O26" s="419" t="n">
        <f aca="false">'2. NPV'!O34</f>
        <v>0</v>
      </c>
      <c r="P26" s="419" t="n">
        <f aca="false">'2. NPV'!P34</f>
        <v>0</v>
      </c>
      <c r="Q26" s="419" t="n">
        <f aca="false">'2. NPV'!Q34</f>
        <v>0</v>
      </c>
      <c r="R26" s="419" t="n">
        <f aca="false">'2. NPV'!R34</f>
        <v>0</v>
      </c>
      <c r="S26" s="419" t="n">
        <f aca="false">'2. NPV'!S34</f>
        <v>0</v>
      </c>
      <c r="T26" s="419" t="n">
        <f aca="false">'2. NPV'!T34</f>
        <v>0</v>
      </c>
      <c r="U26" s="419" t="n">
        <f aca="false">'2. NPV'!U34</f>
        <v>0</v>
      </c>
      <c r="V26" s="419" t="n">
        <f aca="false">'2. NPV'!V34</f>
        <v>0</v>
      </c>
      <c r="W26" s="419" t="n">
        <f aca="false">'2. NPV'!W34</f>
        <v>0</v>
      </c>
      <c r="X26" s="419" t="n">
        <f aca="false">'2. NPV'!X34</f>
        <v>0</v>
      </c>
      <c r="Y26" s="419" t="n">
        <f aca="false">'2. NPV'!Y34</f>
        <v>0</v>
      </c>
      <c r="Z26" s="419" t="n">
        <f aca="false">'2. NPV'!Z34</f>
        <v>0</v>
      </c>
      <c r="AA26" s="419" t="n">
        <f aca="false">'2. NPV'!AA34</f>
        <v>0</v>
      </c>
      <c r="AB26" s="419" t="n">
        <f aca="false">'2. NPV'!AB34</f>
        <v>0</v>
      </c>
      <c r="AC26" s="419" t="n">
        <f aca="false">'2. NPV'!AC34</f>
        <v>0</v>
      </c>
      <c r="AD26" s="419" t="n">
        <f aca="false">'2. NPV'!AD34</f>
        <v>0</v>
      </c>
      <c r="AE26" s="419" t="n">
        <f aca="false">'2. NPV'!AE34</f>
        <v>0</v>
      </c>
      <c r="AF26" s="419" t="n">
        <f aca="false">'2. NPV'!AF34</f>
        <v>0</v>
      </c>
      <c r="AG26" s="419" t="n">
        <f aca="false">'2. NPV'!AG34</f>
        <v>0</v>
      </c>
      <c r="AH26" s="419" t="n">
        <f aca="false">'2. NPV'!AH34</f>
        <v>0</v>
      </c>
      <c r="AI26" s="419" t="n">
        <f aca="false">'2. NPV'!AI34</f>
        <v>0</v>
      </c>
      <c r="AJ26" s="419" t="n">
        <f aca="false">'2. NPV'!AJ34</f>
        <v>0</v>
      </c>
      <c r="AK26" s="419" t="n">
        <f aca="false">'2. NPV'!AK34</f>
        <v>0</v>
      </c>
      <c r="AL26" s="419" t="n">
        <f aca="false">'2. NPV'!AL34</f>
        <v>0</v>
      </c>
    </row>
    <row r="27" s="100" customFormat="true" ht="15" hidden="false" customHeight="false" outlineLevel="0" collapsed="false">
      <c r="A27" s="1"/>
      <c r="B27" s="1"/>
      <c r="C27" s="19" t="s">
        <v>195</v>
      </c>
      <c r="D27" s="25"/>
      <c r="E27" s="110"/>
      <c r="F27" s="110"/>
      <c r="G27" s="1"/>
      <c r="H27" s="419" t="n">
        <f aca="false">'2. NPV'!H35</f>
        <v>0</v>
      </c>
      <c r="I27" s="419" t="n">
        <f aca="false">'2. NPV'!I35</f>
        <v>0</v>
      </c>
      <c r="J27" s="419" t="n">
        <f aca="false">'2. NPV'!J35</f>
        <v>0</v>
      </c>
      <c r="K27" s="419" t="n">
        <f aca="false">'2. NPV'!K35</f>
        <v>0</v>
      </c>
      <c r="L27" s="419" t="n">
        <f aca="false">'2. NPV'!L35</f>
        <v>0</v>
      </c>
      <c r="M27" s="419" t="n">
        <f aca="false">'2. NPV'!M35</f>
        <v>0</v>
      </c>
      <c r="N27" s="419" t="n">
        <f aca="false">'2. NPV'!N35</f>
        <v>0</v>
      </c>
      <c r="O27" s="419" t="n">
        <f aca="false">'2. NPV'!O35</f>
        <v>0</v>
      </c>
      <c r="P27" s="419" t="n">
        <f aca="false">'2. NPV'!P35</f>
        <v>0</v>
      </c>
      <c r="Q27" s="419" t="n">
        <f aca="false">'2. NPV'!Q35</f>
        <v>0</v>
      </c>
      <c r="R27" s="419" t="n">
        <f aca="false">'2. NPV'!R35</f>
        <v>0</v>
      </c>
      <c r="S27" s="419" t="n">
        <f aca="false">'2. NPV'!S35</f>
        <v>0</v>
      </c>
      <c r="T27" s="419" t="n">
        <f aca="false">'2. NPV'!T35</f>
        <v>0</v>
      </c>
      <c r="U27" s="419" t="n">
        <f aca="false">'2. NPV'!U35</f>
        <v>0</v>
      </c>
      <c r="V27" s="419" t="n">
        <f aca="false">'2. NPV'!V35</f>
        <v>0</v>
      </c>
      <c r="W27" s="419" t="n">
        <f aca="false">'2. NPV'!W35</f>
        <v>0</v>
      </c>
      <c r="X27" s="419" t="n">
        <f aca="false">'2. NPV'!X35</f>
        <v>0</v>
      </c>
      <c r="Y27" s="419" t="n">
        <f aca="false">'2. NPV'!Y35</f>
        <v>0</v>
      </c>
      <c r="Z27" s="419" t="n">
        <f aca="false">'2. NPV'!Z35</f>
        <v>0</v>
      </c>
      <c r="AA27" s="419" t="n">
        <f aca="false">'2. NPV'!AA35</f>
        <v>0</v>
      </c>
      <c r="AB27" s="419" t="n">
        <f aca="false">'2. NPV'!AB35</f>
        <v>0</v>
      </c>
      <c r="AC27" s="419" t="n">
        <f aca="false">'2. NPV'!AC35</f>
        <v>0</v>
      </c>
      <c r="AD27" s="419" t="n">
        <f aca="false">'2. NPV'!AD35</f>
        <v>0</v>
      </c>
      <c r="AE27" s="419" t="n">
        <f aca="false">'2. NPV'!AE35</f>
        <v>0</v>
      </c>
      <c r="AF27" s="419" t="n">
        <f aca="false">'2. NPV'!AF35</f>
        <v>0</v>
      </c>
      <c r="AG27" s="419" t="n">
        <f aca="false">'2. NPV'!AG35</f>
        <v>0</v>
      </c>
      <c r="AH27" s="419" t="n">
        <f aca="false">'2. NPV'!AH35</f>
        <v>0</v>
      </c>
      <c r="AI27" s="419" t="n">
        <f aca="false">'2. NPV'!AI35</f>
        <v>0</v>
      </c>
      <c r="AJ27" s="419" t="n">
        <f aca="false">'2. NPV'!AJ35</f>
        <v>0</v>
      </c>
      <c r="AK27" s="419" t="n">
        <f aca="false">'2. NPV'!AK35</f>
        <v>0</v>
      </c>
      <c r="AL27" s="419" t="n">
        <f aca="false">'2. NPV'!AL35</f>
        <v>0</v>
      </c>
    </row>
    <row r="28" s="107" customFormat="true" ht="15" hidden="false" customHeight="false" outlineLevel="0" collapsed="false">
      <c r="A28" s="8"/>
      <c r="B28" s="8"/>
      <c r="C28" s="104" t="s">
        <v>647</v>
      </c>
      <c r="D28" s="105"/>
      <c r="E28" s="68"/>
      <c r="F28" s="68"/>
      <c r="G28" s="68"/>
      <c r="H28" s="106" t="n">
        <f aca="false">H10-SUM(H15:H27)</f>
        <v>-1255488.76751644</v>
      </c>
      <c r="I28" s="106" t="n">
        <f aca="false">I10-SUM(I15:I27)</f>
        <v>-2144147.53044846</v>
      </c>
      <c r="J28" s="106" t="n">
        <f aca="false">J10-SUM(J15:J27)</f>
        <v>2973630.71317839</v>
      </c>
      <c r="K28" s="106" t="n">
        <f aca="false">K10-SUM(K15:K27)</f>
        <v>7462414.74216749</v>
      </c>
      <c r="L28" s="106" t="n">
        <f aca="false">L10-SUM(L15:L27)</f>
        <v>9000333.49624689</v>
      </c>
      <c r="M28" s="106" t="n">
        <f aca="false">M10-SUM(M15:M27)</f>
        <v>15073840.1379116</v>
      </c>
      <c r="N28" s="106" t="n">
        <f aca="false">N10-SUM(N15:N27)</f>
        <v>16012166.4039706</v>
      </c>
      <c r="O28" s="106" t="n">
        <f aca="false">O10-SUM(O15:O27)</f>
        <v>16932592.6301799</v>
      </c>
      <c r="P28" s="106" t="n">
        <f aca="false">P10-SUM(P15:P27)</f>
        <v>19402458.2006054</v>
      </c>
      <c r="Q28" s="106" t="n">
        <f aca="false">Q10-SUM(Q15:Q27)</f>
        <v>21329519.7029351</v>
      </c>
      <c r="R28" s="106" t="n">
        <f aca="false">R10-SUM(R15:R27)</f>
        <v>22102385.8507153</v>
      </c>
      <c r="S28" s="106" t="n">
        <f aca="false">S10-SUM(S15:S27)</f>
        <v>22799564.9058457</v>
      </c>
      <c r="T28" s="106" t="n">
        <f aca="false">T10-SUM(T15:T27)</f>
        <v>23563162.7211146</v>
      </c>
      <c r="U28" s="106" t="n">
        <f aca="false">U10-SUM(U15:U27)</f>
        <v>24099660.4683455</v>
      </c>
      <c r="V28" s="106" t="n">
        <f aca="false">V10-SUM(V15:V27)</f>
        <v>24741462.5655879</v>
      </c>
      <c r="W28" s="106" t="n">
        <f aca="false">W10-SUM(W15:W27)</f>
        <v>25327427.5711501</v>
      </c>
      <c r="X28" s="106" t="n">
        <f aca="false">X10-SUM(X15:X27)</f>
        <v>25978204.7389902</v>
      </c>
      <c r="Y28" s="106" t="n">
        <f aca="false">Y10-SUM(Y15:Y27)</f>
        <v>26593444.3299218</v>
      </c>
      <c r="Z28" s="106" t="n">
        <f aca="false">Z10-SUM(Z15:Z27)</f>
        <v>27276238.964913</v>
      </c>
      <c r="AA28" s="106" t="n">
        <f aca="false">AA10-SUM(AA15:AA27)</f>
        <v>27897904.7181045</v>
      </c>
      <c r="AB28" s="106" t="n">
        <f aca="false">AB10-SUM(AB15:AB27)</f>
        <v>28638548.6765207</v>
      </c>
      <c r="AC28" s="106" t="n">
        <f aca="false">AC10-SUM(AC15:AC27)</f>
        <v>29316706.6819267</v>
      </c>
      <c r="AD28" s="106" t="n">
        <f aca="false">AD10-SUM(AD15:AD27)</f>
        <v>30068256.7279403</v>
      </c>
      <c r="AE28" s="106" t="n">
        <f aca="false">AE10-SUM(AE15:AE27)</f>
        <v>30780196.1031459</v>
      </c>
      <c r="AF28" s="106" t="n">
        <f aca="false">AF10-SUM(AF15:AF27)</f>
        <v>31568631.2873692</v>
      </c>
      <c r="AG28" s="106" t="n">
        <f aca="false">AG10-SUM(AG15:AG27)</f>
        <v>32288650.7690452</v>
      </c>
      <c r="AH28" s="106" t="n">
        <f aca="false">AH10-SUM(AH15:AH27)</f>
        <v>33143091.9101313</v>
      </c>
      <c r="AI28" s="106" t="n">
        <f aca="false">AI10-SUM(AI15:AI27)</f>
        <v>33927604.1572865</v>
      </c>
      <c r="AJ28" s="106" t="n">
        <f aca="false">AJ10-SUM(AJ15:AJ27)</f>
        <v>34795215.7886981</v>
      </c>
      <c r="AK28" s="106" t="n">
        <f aca="false">AK10-SUM(AK15:AK27)</f>
        <v>35618675.0042297</v>
      </c>
      <c r="AL28" s="106" t="n">
        <f aca="false">AL10-SUM(AL15:AL27)</f>
        <v>36528744.1753012</v>
      </c>
    </row>
    <row r="29" s="107" customFormat="true" ht="15" hidden="false" customHeight="false" outlineLevel="0" collapsed="false">
      <c r="A29" s="8"/>
      <c r="B29" s="8"/>
      <c r="C29" s="43" t="s">
        <v>648</v>
      </c>
      <c r="D29" s="356"/>
      <c r="E29" s="8"/>
      <c r="F29" s="8"/>
      <c r="G29" s="8"/>
      <c r="H29" s="416" t="str">
        <f aca="false">IFERROR(H28/H10,"")</f>
        <v/>
      </c>
      <c r="I29" s="416" t="n">
        <f aca="false">IFERROR(I28/I10,"")</f>
        <v>-3.34754447148686</v>
      </c>
      <c r="J29" s="416" t="n">
        <f aca="false">IFERROR(J28/J10,"")</f>
        <v>0.445081899779072</v>
      </c>
      <c r="K29" s="416" t="n">
        <f aca="false">IFERROR(K28/K10,"")</f>
        <v>0.6178911667079</v>
      </c>
      <c r="L29" s="416" t="n">
        <f aca="false">IFERROR(L28/L10,"")</f>
        <v>0.632156808776048</v>
      </c>
      <c r="M29" s="416" t="n">
        <f aca="false">IFERROR(M28/M10,"")</f>
        <v>0.716629897050833</v>
      </c>
      <c r="N29" s="416" t="n">
        <f aca="false">IFERROR(N28/N10,"")</f>
        <v>0.714177047234646</v>
      </c>
      <c r="O29" s="416" t="n">
        <f aca="false">IFERROR(O28/O10,"")</f>
        <v>0.712221279160974</v>
      </c>
      <c r="P29" s="416" t="n">
        <f aca="false">IFERROR(P28/P10,"")</f>
        <v>0.77358039587453</v>
      </c>
      <c r="Q29" s="416" t="n">
        <f aca="false">IFERROR(Q28/Q10,"")</f>
        <v>0.801017526996015</v>
      </c>
      <c r="R29" s="416" t="n">
        <f aca="false">IFERROR(R28/R10,"")</f>
        <v>0.810350441521476</v>
      </c>
      <c r="S29" s="416" t="n">
        <f aca="false">IFERROR(S28/S10,"")</f>
        <v>0.816078251858404</v>
      </c>
      <c r="T29" s="416" t="n">
        <f aca="false">IFERROR(T28/T10,"")</f>
        <v>0.823396685099438</v>
      </c>
      <c r="U29" s="416" t="n">
        <f aca="false">IFERROR(U28/U10,"")</f>
        <v>0.822158414000403</v>
      </c>
      <c r="V29" s="416" t="n">
        <f aca="false">IFERROR(V28/V10,"")</f>
        <v>0.824020028905376</v>
      </c>
      <c r="W29" s="416" t="n">
        <f aca="false">IFERROR(W28/W10,"")</f>
        <v>0.823512261964257</v>
      </c>
      <c r="X29" s="416" t="n">
        <f aca="false">IFERROR(X28/X10,"")</f>
        <v>0.824619287274627</v>
      </c>
      <c r="Y29" s="416" t="n">
        <f aca="false">IFERROR(Y28/Y10,"")</f>
        <v>0.824106024012318</v>
      </c>
      <c r="Z29" s="416" t="n">
        <f aca="false">IFERROR(Z28/Z10,"")</f>
        <v>0.825193723105124</v>
      </c>
      <c r="AA29" s="416" t="n">
        <f aca="false">IFERROR(AA28/AA10,"")</f>
        <v>0.823957356163402</v>
      </c>
      <c r="AB29" s="416" t="n">
        <f aca="false">IFERROR(AB28/AB10,"")</f>
        <v>0.825742555647328</v>
      </c>
      <c r="AC29" s="416" t="n">
        <f aca="false">IFERROR(AC28/AC10,"")</f>
        <v>0.825216977569958</v>
      </c>
      <c r="AD29" s="416" t="n">
        <f aca="false">IFERROR(AD28/AD10,"")</f>
        <v>0.826264958561404</v>
      </c>
      <c r="AE29" s="416" t="n">
        <f aca="false">IFERROR(AE28/AE10,"")</f>
        <v>0.825732516278098</v>
      </c>
      <c r="AF29" s="416" t="n">
        <f aca="false">IFERROR(AF28/AF10,"")</f>
        <v>0.826760057866084</v>
      </c>
      <c r="AG29" s="416" t="n">
        <f aca="false">IFERROR(AG28/AG10,"")</f>
        <v>0.825521097341883</v>
      </c>
      <c r="AH29" s="416" t="n">
        <f aca="false">IFERROR(AH28/AH10,"")</f>
        <v>0.827226929774375</v>
      </c>
      <c r="AI29" s="416" t="n">
        <f aca="false">IFERROR(AI28/AI10,"")</f>
        <v>0.826679223289312</v>
      </c>
      <c r="AJ29" s="416" t="n">
        <f aca="false">IFERROR(AJ28/AJ10,"")</f>
        <v>0.827664598410973</v>
      </c>
      <c r="AK29" s="416" t="n">
        <f aca="false">IFERROR(AK28/AK10,"")</f>
        <v>0.827108439641681</v>
      </c>
      <c r="AL29" s="416" t="n">
        <f aca="false">IFERROR(AL28/AL10,"")</f>
        <v>0.828072033405981</v>
      </c>
    </row>
    <row r="30" s="107" customFormat="true" ht="15" hidden="false" customHeight="false" outlineLevel="0" collapsed="false">
      <c r="A30" s="8"/>
      <c r="B30" s="8"/>
      <c r="C30" s="10"/>
      <c r="D30" s="356"/>
      <c r="E30" s="8"/>
      <c r="F30" s="8"/>
      <c r="G30" s="8"/>
    </row>
    <row r="31" customFormat="false" ht="15" hidden="false" customHeight="false" outlineLevel="0" collapsed="false">
      <c r="C31" s="19" t="s">
        <v>649</v>
      </c>
      <c r="H31" s="55" t="e">
        <f aca="false">-'10.Depn'!H116</f>
        <v>#VALUE!</v>
      </c>
      <c r="I31" s="55" t="e">
        <f aca="false">-'10.Depn'!I116</f>
        <v>#VALUE!</v>
      </c>
      <c r="J31" s="55" t="e">
        <f aca="false">-'10.Depn'!J116</f>
        <v>#VALUE!</v>
      </c>
      <c r="K31" s="55" t="e">
        <f aca="false">-'10.Depn'!K116</f>
        <v>#VALUE!</v>
      </c>
      <c r="L31" s="55" t="e">
        <f aca="false">-'10.Depn'!L116</f>
        <v>#VALUE!</v>
      </c>
      <c r="M31" s="55" t="e">
        <f aca="false">-'10.Depn'!M116</f>
        <v>#VALUE!</v>
      </c>
      <c r="N31" s="55" t="e">
        <f aca="false">-'10.Depn'!N116</f>
        <v>#VALUE!</v>
      </c>
      <c r="O31" s="55" t="e">
        <f aca="false">-'10.Depn'!O116</f>
        <v>#VALUE!</v>
      </c>
      <c r="P31" s="55" t="e">
        <f aca="false">-'10.Depn'!P116</f>
        <v>#VALUE!</v>
      </c>
      <c r="Q31" s="55" t="e">
        <f aca="false">-'10.Depn'!Q116</f>
        <v>#VALUE!</v>
      </c>
      <c r="R31" s="55" t="e">
        <f aca="false">-'10.Depn'!R116</f>
        <v>#VALUE!</v>
      </c>
      <c r="S31" s="55" t="e">
        <f aca="false">-'10.Depn'!S116</f>
        <v>#VALUE!</v>
      </c>
      <c r="T31" s="55" t="e">
        <f aca="false">-'10.Depn'!T116</f>
        <v>#VALUE!</v>
      </c>
      <c r="U31" s="55" t="e">
        <f aca="false">-'10.Depn'!U116</f>
        <v>#VALUE!</v>
      </c>
      <c r="V31" s="55" t="e">
        <f aca="false">-'10.Depn'!V116</f>
        <v>#VALUE!</v>
      </c>
      <c r="W31" s="55" t="e">
        <f aca="false">-'10.Depn'!W116</f>
        <v>#VALUE!</v>
      </c>
      <c r="X31" s="55" t="e">
        <f aca="false">-'10.Depn'!X116</f>
        <v>#VALUE!</v>
      </c>
      <c r="Y31" s="55" t="e">
        <f aca="false">-'10.Depn'!Y116</f>
        <v>#VALUE!</v>
      </c>
      <c r="Z31" s="55" t="e">
        <f aca="false">-'10.Depn'!Z116</f>
        <v>#VALUE!</v>
      </c>
      <c r="AA31" s="55" t="e">
        <f aca="false">-'10.Depn'!AA116</f>
        <v>#VALUE!</v>
      </c>
      <c r="AB31" s="55" t="e">
        <f aca="false">-'10.Depn'!AB116</f>
        <v>#VALUE!</v>
      </c>
      <c r="AC31" s="55" t="e">
        <f aca="false">-'10.Depn'!AC116</f>
        <v>#VALUE!</v>
      </c>
      <c r="AD31" s="55" t="e">
        <f aca="false">-'10.Depn'!AD116</f>
        <v>#VALUE!</v>
      </c>
      <c r="AE31" s="55" t="e">
        <f aca="false">-'10.Depn'!AE116</f>
        <v>#VALUE!</v>
      </c>
      <c r="AF31" s="55" t="e">
        <f aca="false">-'10.Depn'!AF116</f>
        <v>#VALUE!</v>
      </c>
      <c r="AG31" s="55" t="e">
        <f aca="false">-'10.Depn'!AG116</f>
        <v>#VALUE!</v>
      </c>
      <c r="AH31" s="55" t="e">
        <f aca="false">-'10.Depn'!AH116</f>
        <v>#VALUE!</v>
      </c>
      <c r="AI31" s="55" t="e">
        <f aca="false">-'10.Depn'!AI116</f>
        <v>#VALUE!</v>
      </c>
      <c r="AJ31" s="55" t="e">
        <f aca="false">-'10.Depn'!AJ116</f>
        <v>#VALUE!</v>
      </c>
      <c r="AK31" s="55" t="e">
        <f aca="false">-'10.Depn'!AK116</f>
        <v>#VALUE!</v>
      </c>
      <c r="AL31" s="55" t="e">
        <f aca="false">-'10.Depn'!AL116</f>
        <v>#VALUE!</v>
      </c>
    </row>
    <row r="32" customFormat="false" ht="15" hidden="false" customHeight="false" outlineLevel="0" collapsed="false">
      <c r="C32" s="68" t="s">
        <v>650</v>
      </c>
      <c r="D32" s="274"/>
      <c r="E32" s="276"/>
      <c r="F32" s="276"/>
      <c r="G32" s="276"/>
      <c r="H32" s="106" t="e">
        <f aca="false">H28-SUM(H31:H31)</f>
        <v>#VALUE!</v>
      </c>
      <c r="I32" s="106" t="e">
        <f aca="false">I28-SUM(I31:I31)</f>
        <v>#VALUE!</v>
      </c>
      <c r="J32" s="106" t="e">
        <f aca="false">J28-SUM(J31:J31)</f>
        <v>#VALUE!</v>
      </c>
      <c r="K32" s="106" t="e">
        <f aca="false">K28-SUM(K31:K31)</f>
        <v>#VALUE!</v>
      </c>
      <c r="L32" s="106" t="e">
        <f aca="false">L28-SUM(L31:L31)</f>
        <v>#VALUE!</v>
      </c>
      <c r="M32" s="106" t="e">
        <f aca="false">M28-SUM(M31:M31)</f>
        <v>#VALUE!</v>
      </c>
      <c r="N32" s="106" t="e">
        <f aca="false">N28-SUM(N31:N31)</f>
        <v>#VALUE!</v>
      </c>
      <c r="O32" s="106" t="e">
        <f aca="false">O28-SUM(O31:O31)</f>
        <v>#VALUE!</v>
      </c>
      <c r="P32" s="106" t="e">
        <f aca="false">P28-SUM(P31:P31)</f>
        <v>#VALUE!</v>
      </c>
      <c r="Q32" s="106" t="e">
        <f aca="false">Q28-SUM(Q31:Q31)</f>
        <v>#VALUE!</v>
      </c>
      <c r="R32" s="106" t="e">
        <f aca="false">R28-SUM(R31:R31)</f>
        <v>#VALUE!</v>
      </c>
      <c r="S32" s="106" t="e">
        <f aca="false">S28-SUM(S31:S31)</f>
        <v>#VALUE!</v>
      </c>
      <c r="T32" s="106" t="e">
        <f aca="false">T28-SUM(T31:T31)</f>
        <v>#VALUE!</v>
      </c>
      <c r="U32" s="106" t="e">
        <f aca="false">U28-SUM(U31:U31)</f>
        <v>#VALUE!</v>
      </c>
      <c r="V32" s="106" t="e">
        <f aca="false">V28-SUM(V31:V31)</f>
        <v>#VALUE!</v>
      </c>
      <c r="W32" s="106" t="e">
        <f aca="false">W28-SUM(W31:W31)</f>
        <v>#VALUE!</v>
      </c>
      <c r="X32" s="106" t="e">
        <f aca="false">X28-SUM(X31:X31)</f>
        <v>#VALUE!</v>
      </c>
      <c r="Y32" s="106" t="e">
        <f aca="false">Y28-SUM(Y31:Y31)</f>
        <v>#VALUE!</v>
      </c>
      <c r="Z32" s="106" t="e">
        <f aca="false">Z28-SUM(Z31:Z31)</f>
        <v>#VALUE!</v>
      </c>
      <c r="AA32" s="106" t="e">
        <f aca="false">AA28-SUM(AA31:AA31)</f>
        <v>#VALUE!</v>
      </c>
      <c r="AB32" s="106" t="e">
        <f aca="false">AB28-SUM(AB31:AB31)</f>
        <v>#VALUE!</v>
      </c>
      <c r="AC32" s="106" t="e">
        <f aca="false">AC28-SUM(AC31:AC31)</f>
        <v>#VALUE!</v>
      </c>
      <c r="AD32" s="106" t="e">
        <f aca="false">AD28-SUM(AD31:AD31)</f>
        <v>#VALUE!</v>
      </c>
      <c r="AE32" s="106" t="e">
        <f aca="false">AE28-SUM(AE31:AE31)</f>
        <v>#VALUE!</v>
      </c>
      <c r="AF32" s="106" t="e">
        <f aca="false">AF28-SUM(AF31:AF31)</f>
        <v>#VALUE!</v>
      </c>
      <c r="AG32" s="106" t="e">
        <f aca="false">AG28-SUM(AG31:AG31)</f>
        <v>#VALUE!</v>
      </c>
      <c r="AH32" s="106" t="e">
        <f aca="false">AH28-SUM(AH31:AH31)</f>
        <v>#VALUE!</v>
      </c>
      <c r="AI32" s="106" t="e">
        <f aca="false">AI28-SUM(AI31:AI31)</f>
        <v>#VALUE!</v>
      </c>
      <c r="AJ32" s="106" t="e">
        <f aca="false">AJ28-SUM(AJ31:AJ31)</f>
        <v>#VALUE!</v>
      </c>
      <c r="AK32" s="106" t="e">
        <f aca="false">AK28-SUM(AK31:AK31)</f>
        <v>#VALUE!</v>
      </c>
      <c r="AL32" s="106" t="e">
        <f aca="false">AL28-SUM(AL31:AL31)</f>
        <v>#VALUE!</v>
      </c>
    </row>
    <row r="33" customFormat="false" ht="15" hidden="false" customHeight="false" outlineLevel="0" collapsed="false">
      <c r="C33" s="25" t="s">
        <v>651</v>
      </c>
      <c r="H33" s="416" t="str">
        <f aca="false">IFERROR(H32/H10,"")</f>
        <v/>
      </c>
      <c r="I33" s="416" t="str">
        <f aca="false">IFERROR(I32/I10,"")</f>
        <v/>
      </c>
      <c r="J33" s="416" t="str">
        <f aca="false">IFERROR(J32/J10,"")</f>
        <v/>
      </c>
      <c r="K33" s="416" t="str">
        <f aca="false">IFERROR(K32/K10,"")</f>
        <v/>
      </c>
      <c r="L33" s="416" t="str">
        <f aca="false">IFERROR(L32/L10,"")</f>
        <v/>
      </c>
      <c r="M33" s="416" t="str">
        <f aca="false">IFERROR(M32/M10,"")</f>
        <v/>
      </c>
      <c r="N33" s="416" t="str">
        <f aca="false">IFERROR(N32/N10,"")</f>
        <v/>
      </c>
      <c r="O33" s="416" t="str">
        <f aca="false">IFERROR(O32/O10,"")</f>
        <v/>
      </c>
      <c r="P33" s="416" t="str">
        <f aca="false">IFERROR(P32/P10,"")</f>
        <v/>
      </c>
      <c r="Q33" s="416" t="str">
        <f aca="false">IFERROR(Q32/Q10,"")</f>
        <v/>
      </c>
      <c r="R33" s="416" t="str">
        <f aca="false">IFERROR(R32/R10,"")</f>
        <v/>
      </c>
      <c r="S33" s="416" t="str">
        <f aca="false">IFERROR(S32/S10,"")</f>
        <v/>
      </c>
      <c r="T33" s="416" t="str">
        <f aca="false">IFERROR(T32/T10,"")</f>
        <v/>
      </c>
      <c r="U33" s="416" t="str">
        <f aca="false">IFERROR(U32/U10,"")</f>
        <v/>
      </c>
      <c r="V33" s="416" t="str">
        <f aca="false">IFERROR(V32/V10,"")</f>
        <v/>
      </c>
      <c r="W33" s="416" t="str">
        <f aca="false">IFERROR(W32/W10,"")</f>
        <v/>
      </c>
      <c r="X33" s="416" t="str">
        <f aca="false">IFERROR(X32/X10,"")</f>
        <v/>
      </c>
      <c r="Y33" s="416" t="str">
        <f aca="false">IFERROR(Y32/Y10,"")</f>
        <v/>
      </c>
      <c r="Z33" s="416" t="str">
        <f aca="false">IFERROR(Z32/Z10,"")</f>
        <v/>
      </c>
      <c r="AA33" s="416" t="str">
        <f aca="false">IFERROR(AA32/AA10,"")</f>
        <v/>
      </c>
      <c r="AB33" s="416" t="str">
        <f aca="false">IFERROR(AB32/AB10,"")</f>
        <v/>
      </c>
      <c r="AC33" s="416" t="str">
        <f aca="false">IFERROR(AC32/AC10,"")</f>
        <v/>
      </c>
      <c r="AD33" s="416" t="str">
        <f aca="false">IFERROR(AD32/AD10,"")</f>
        <v/>
      </c>
      <c r="AE33" s="416" t="str">
        <f aca="false">IFERROR(AE32/AE10,"")</f>
        <v/>
      </c>
      <c r="AF33" s="416" t="str">
        <f aca="false">IFERROR(AF32/AF10,"")</f>
        <v/>
      </c>
      <c r="AG33" s="416" t="str">
        <f aca="false">IFERROR(AG32/AG10,"")</f>
        <v/>
      </c>
      <c r="AH33" s="416" t="str">
        <f aca="false">IFERROR(AH32/AH10,"")</f>
        <v/>
      </c>
      <c r="AI33" s="416" t="str">
        <f aca="false">IFERROR(AI32/AI10,"")</f>
        <v/>
      </c>
      <c r="AJ33" s="416" t="str">
        <f aca="false">IFERROR(AJ32/AJ10,"")</f>
        <v/>
      </c>
      <c r="AK33" s="416" t="str">
        <f aca="false">IFERROR(AK32/AK10,"")</f>
        <v/>
      </c>
      <c r="AL33" s="416" t="str">
        <f aca="false">IFERROR(AL32/AL10,"")</f>
        <v/>
      </c>
    </row>
    <row r="35" customFormat="false" ht="15" hidden="false" customHeight="false" outlineLevel="0" collapsed="false">
      <c r="C35" s="19" t="s">
        <v>652</v>
      </c>
      <c r="H35" s="130" t="n">
        <f aca="false">'9.BS Items'!H88</f>
        <v>0</v>
      </c>
      <c r="I35" s="130" t="n">
        <f aca="false">'9.BS Items'!I88</f>
        <v>175000</v>
      </c>
      <c r="J35" s="130" t="n">
        <f aca="false">'9.BS Items'!J88</f>
        <v>350000</v>
      </c>
      <c r="K35" s="130" t="n">
        <f aca="false">'9.BS Items'!K88</f>
        <v>332500</v>
      </c>
      <c r="L35" s="130" t="n">
        <f aca="false">'9.BS Items'!L88</f>
        <v>297500</v>
      </c>
      <c r="M35" s="130" t="n">
        <f aca="false">'9.BS Items'!M88</f>
        <v>262500</v>
      </c>
      <c r="N35" s="130" t="n">
        <f aca="false">'9.BS Items'!N88</f>
        <v>227500</v>
      </c>
      <c r="O35" s="130" t="n">
        <f aca="false">'9.BS Items'!O88</f>
        <v>192500</v>
      </c>
      <c r="P35" s="130" t="n">
        <f aca="false">'9.BS Items'!P88</f>
        <v>157500</v>
      </c>
      <c r="Q35" s="130" t="n">
        <f aca="false">'9.BS Items'!Q88</f>
        <v>122500</v>
      </c>
      <c r="R35" s="130" t="n">
        <f aca="false">'9.BS Items'!R88</f>
        <v>87500</v>
      </c>
      <c r="S35" s="130" t="n">
        <f aca="false">'9.BS Items'!S88</f>
        <v>52500</v>
      </c>
      <c r="T35" s="130" t="n">
        <f aca="false">'9.BS Items'!T88</f>
        <v>17500</v>
      </c>
      <c r="U35" s="130" t="n">
        <f aca="false">'9.BS Items'!U88</f>
        <v>0</v>
      </c>
      <c r="V35" s="130" t="n">
        <f aca="false">'9.BS Items'!V88</f>
        <v>0</v>
      </c>
      <c r="W35" s="130" t="n">
        <f aca="false">'9.BS Items'!W88</f>
        <v>0</v>
      </c>
      <c r="X35" s="130" t="n">
        <f aca="false">'9.BS Items'!X88</f>
        <v>0</v>
      </c>
      <c r="Y35" s="130" t="n">
        <f aca="false">'9.BS Items'!Y88</f>
        <v>0</v>
      </c>
      <c r="Z35" s="130" t="n">
        <f aca="false">'9.BS Items'!Z88</f>
        <v>0</v>
      </c>
      <c r="AA35" s="130" t="n">
        <f aca="false">'9.BS Items'!AA88</f>
        <v>0</v>
      </c>
      <c r="AB35" s="130" t="n">
        <f aca="false">'9.BS Items'!AB88</f>
        <v>0</v>
      </c>
      <c r="AC35" s="130" t="n">
        <f aca="false">'9.BS Items'!AC88</f>
        <v>0</v>
      </c>
      <c r="AD35" s="130" t="n">
        <f aca="false">'9.BS Items'!AD88</f>
        <v>0</v>
      </c>
      <c r="AE35" s="130" t="n">
        <f aca="false">'9.BS Items'!AE88</f>
        <v>0</v>
      </c>
      <c r="AF35" s="130" t="n">
        <f aca="false">'9.BS Items'!AF88</f>
        <v>0</v>
      </c>
      <c r="AG35" s="130" t="n">
        <f aca="false">'9.BS Items'!AG88</f>
        <v>0</v>
      </c>
      <c r="AH35" s="130" t="n">
        <f aca="false">'9.BS Items'!AH88</f>
        <v>0</v>
      </c>
      <c r="AI35" s="130" t="n">
        <f aca="false">'9.BS Items'!AI88</f>
        <v>0</v>
      </c>
      <c r="AJ35" s="130" t="n">
        <f aca="false">'9.BS Items'!AJ88</f>
        <v>0</v>
      </c>
      <c r="AK35" s="130" t="n">
        <f aca="false">'9.BS Items'!AK88</f>
        <v>0</v>
      </c>
      <c r="AL35" s="130" t="n">
        <f aca="false">'9.BS Items'!AL88</f>
        <v>0</v>
      </c>
    </row>
    <row r="36" customFormat="false" ht="15" hidden="false" customHeight="false" outlineLevel="0" collapsed="false">
      <c r="C36" s="68" t="s">
        <v>653</v>
      </c>
      <c r="D36" s="274"/>
      <c r="E36" s="276"/>
      <c r="F36" s="276"/>
      <c r="G36" s="276"/>
      <c r="H36" s="106" t="e">
        <f aca="false">H32-H35</f>
        <v>#VALUE!</v>
      </c>
      <c r="I36" s="106" t="e">
        <f aca="false">I32-I35</f>
        <v>#VALUE!</v>
      </c>
      <c r="J36" s="106" t="e">
        <f aca="false">J32-J35</f>
        <v>#VALUE!</v>
      </c>
      <c r="K36" s="106" t="e">
        <f aca="false">K32-K35</f>
        <v>#VALUE!</v>
      </c>
      <c r="L36" s="106" t="e">
        <f aca="false">L32-L35</f>
        <v>#VALUE!</v>
      </c>
      <c r="M36" s="106" t="e">
        <f aca="false">M32-M35</f>
        <v>#VALUE!</v>
      </c>
      <c r="N36" s="106" t="e">
        <f aca="false">N32-N35</f>
        <v>#VALUE!</v>
      </c>
      <c r="O36" s="106" t="e">
        <f aca="false">O32-O35</f>
        <v>#VALUE!</v>
      </c>
      <c r="P36" s="106" t="e">
        <f aca="false">P32-P35</f>
        <v>#VALUE!</v>
      </c>
      <c r="Q36" s="106" t="e">
        <f aca="false">Q32-Q35</f>
        <v>#VALUE!</v>
      </c>
      <c r="R36" s="106" t="e">
        <f aca="false">R32-R35</f>
        <v>#VALUE!</v>
      </c>
      <c r="S36" s="106" t="e">
        <f aca="false">S32-S35</f>
        <v>#VALUE!</v>
      </c>
      <c r="T36" s="106" t="e">
        <f aca="false">T32-T35</f>
        <v>#VALUE!</v>
      </c>
      <c r="U36" s="106" t="e">
        <f aca="false">U32-U35</f>
        <v>#VALUE!</v>
      </c>
      <c r="V36" s="106" t="e">
        <f aca="false">V32-V35</f>
        <v>#VALUE!</v>
      </c>
      <c r="W36" s="106" t="e">
        <f aca="false">W32-W35</f>
        <v>#VALUE!</v>
      </c>
      <c r="X36" s="106" t="e">
        <f aca="false">X32-X35</f>
        <v>#VALUE!</v>
      </c>
      <c r="Y36" s="106" t="e">
        <f aca="false">Y32-Y35</f>
        <v>#VALUE!</v>
      </c>
      <c r="Z36" s="106" t="e">
        <f aca="false">Z32-Z35</f>
        <v>#VALUE!</v>
      </c>
      <c r="AA36" s="106" t="e">
        <f aca="false">AA32-AA35</f>
        <v>#VALUE!</v>
      </c>
      <c r="AB36" s="106" t="e">
        <f aca="false">AB32-AB35</f>
        <v>#VALUE!</v>
      </c>
      <c r="AC36" s="106" t="e">
        <f aca="false">AC32-AC35</f>
        <v>#VALUE!</v>
      </c>
      <c r="AD36" s="106" t="e">
        <f aca="false">AD32-AD35</f>
        <v>#VALUE!</v>
      </c>
      <c r="AE36" s="106" t="e">
        <f aca="false">AE32-AE35</f>
        <v>#VALUE!</v>
      </c>
      <c r="AF36" s="106" t="e">
        <f aca="false">AF32-AF35</f>
        <v>#VALUE!</v>
      </c>
      <c r="AG36" s="106" t="e">
        <f aca="false">AG32-AG35</f>
        <v>#VALUE!</v>
      </c>
      <c r="AH36" s="106" t="e">
        <f aca="false">AH32-AH35</f>
        <v>#VALUE!</v>
      </c>
      <c r="AI36" s="106" t="e">
        <f aca="false">AI32-AI35</f>
        <v>#VALUE!</v>
      </c>
      <c r="AJ36" s="106" t="e">
        <f aca="false">AJ32-AJ35</f>
        <v>#VALUE!</v>
      </c>
      <c r="AK36" s="106" t="e">
        <f aca="false">AK32-AK35</f>
        <v>#VALUE!</v>
      </c>
      <c r="AL36" s="106" t="e">
        <f aca="false">AL32-AL35</f>
        <v>#VALUE!</v>
      </c>
    </row>
    <row r="37" customFormat="false" ht="15" hidden="false" customHeight="false" outlineLevel="0" collapsed="false">
      <c r="C37" s="25" t="s">
        <v>654</v>
      </c>
      <c r="H37" s="416" t="str">
        <f aca="false">IFERROR(H36/H10,"")</f>
        <v/>
      </c>
      <c r="I37" s="416" t="str">
        <f aca="false">IFERROR(I36/I10,"")</f>
        <v/>
      </c>
      <c r="J37" s="416" t="str">
        <f aca="false">IFERROR(J36/J10,"")</f>
        <v/>
      </c>
      <c r="K37" s="416" t="str">
        <f aca="false">IFERROR(K36/K10,"")</f>
        <v/>
      </c>
      <c r="L37" s="416" t="str">
        <f aca="false">IFERROR(L36/L10,"")</f>
        <v/>
      </c>
      <c r="M37" s="416" t="str">
        <f aca="false">IFERROR(M36/M10,"")</f>
        <v/>
      </c>
      <c r="N37" s="416" t="str">
        <f aca="false">IFERROR(N36/N10,"")</f>
        <v/>
      </c>
      <c r="O37" s="416" t="str">
        <f aca="false">IFERROR(O36/O10,"")</f>
        <v/>
      </c>
      <c r="P37" s="416" t="str">
        <f aca="false">IFERROR(P36/P10,"")</f>
        <v/>
      </c>
      <c r="Q37" s="416" t="str">
        <f aca="false">IFERROR(Q36/Q10,"")</f>
        <v/>
      </c>
      <c r="R37" s="416" t="str">
        <f aca="false">IFERROR(R36/R10,"")</f>
        <v/>
      </c>
      <c r="S37" s="416" t="str">
        <f aca="false">IFERROR(S36/S10,"")</f>
        <v/>
      </c>
      <c r="T37" s="416" t="str">
        <f aca="false">IFERROR(T36/T10,"")</f>
        <v/>
      </c>
      <c r="U37" s="416" t="str">
        <f aca="false">IFERROR(U36/U10,"")</f>
        <v/>
      </c>
      <c r="V37" s="416" t="str">
        <f aca="false">IFERROR(V36/V10,"")</f>
        <v/>
      </c>
      <c r="W37" s="416" t="str">
        <f aca="false">IFERROR(W36/W10,"")</f>
        <v/>
      </c>
      <c r="X37" s="416" t="str">
        <f aca="false">IFERROR(X36/X10,"")</f>
        <v/>
      </c>
      <c r="Y37" s="416" t="str">
        <f aca="false">IFERROR(Y36/Y10,"")</f>
        <v/>
      </c>
      <c r="Z37" s="416" t="str">
        <f aca="false">IFERROR(Z36/Z10,"")</f>
        <v/>
      </c>
      <c r="AA37" s="416" t="str">
        <f aca="false">IFERROR(AA36/AA10,"")</f>
        <v/>
      </c>
      <c r="AB37" s="416" t="str">
        <f aca="false">IFERROR(AB36/AB10,"")</f>
        <v/>
      </c>
      <c r="AC37" s="416" t="str">
        <f aca="false">IFERROR(AC36/AC10,"")</f>
        <v/>
      </c>
      <c r="AD37" s="416" t="str">
        <f aca="false">IFERROR(AD36/AD10,"")</f>
        <v/>
      </c>
      <c r="AE37" s="416" t="str">
        <f aca="false">IFERROR(AE36/AE10,"")</f>
        <v/>
      </c>
      <c r="AF37" s="416" t="str">
        <f aca="false">IFERROR(AF36/AF10,"")</f>
        <v/>
      </c>
      <c r="AG37" s="416" t="str">
        <f aca="false">IFERROR(AG36/AG10,"")</f>
        <v/>
      </c>
      <c r="AH37" s="416" t="str">
        <f aca="false">IFERROR(AH36/AH10,"")</f>
        <v/>
      </c>
      <c r="AI37" s="416" t="str">
        <f aca="false">IFERROR(AI36/AI10,"")</f>
        <v/>
      </c>
      <c r="AJ37" s="416" t="str">
        <f aca="false">IFERROR(AJ36/AJ10,"")</f>
        <v/>
      </c>
      <c r="AK37" s="416" t="str">
        <f aca="false">IFERROR(AK36/AK10,"")</f>
        <v/>
      </c>
      <c r="AL37" s="416" t="str">
        <f aca="false">IFERROR(AL36/AL10,"")</f>
        <v/>
      </c>
    </row>
    <row r="38" customFormat="false" ht="15" hidden="false" customHeight="false" outlineLevel="0" collapsed="false">
      <c r="C38" s="8"/>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row>
    <row r="39" customFormat="false" ht="15" hidden="false" customHeight="false" outlineLevel="0" collapsed="false">
      <c r="C39" s="420" t="s">
        <v>655</v>
      </c>
      <c r="D39" s="274"/>
      <c r="E39" s="276"/>
      <c r="F39" s="276"/>
      <c r="G39" s="276"/>
      <c r="H39" s="421" t="n">
        <f aca="false">0</f>
        <v>0</v>
      </c>
      <c r="I39" s="421" t="e">
        <f aca="false">H42</f>
        <v>#VALUE!</v>
      </c>
      <c r="J39" s="421" t="e">
        <f aca="false">I42</f>
        <v>#VALUE!</v>
      </c>
      <c r="K39" s="421" t="e">
        <f aca="false">J42</f>
        <v>#VALUE!</v>
      </c>
      <c r="L39" s="421" t="e">
        <f aca="false">K42</f>
        <v>#VALUE!</v>
      </c>
      <c r="M39" s="421" t="e">
        <f aca="false">L42</f>
        <v>#VALUE!</v>
      </c>
      <c r="N39" s="421" t="e">
        <f aca="false">M42</f>
        <v>#VALUE!</v>
      </c>
      <c r="O39" s="421" t="e">
        <f aca="false">N42</f>
        <v>#VALUE!</v>
      </c>
      <c r="P39" s="421" t="e">
        <f aca="false">O42</f>
        <v>#VALUE!</v>
      </c>
      <c r="Q39" s="421" t="e">
        <f aca="false">P42</f>
        <v>#VALUE!</v>
      </c>
      <c r="R39" s="421" t="e">
        <f aca="false">Q42</f>
        <v>#VALUE!</v>
      </c>
      <c r="S39" s="421" t="e">
        <f aca="false">R42</f>
        <v>#VALUE!</v>
      </c>
      <c r="T39" s="421" t="e">
        <f aca="false">S42</f>
        <v>#VALUE!</v>
      </c>
      <c r="U39" s="421" t="e">
        <f aca="false">T42</f>
        <v>#VALUE!</v>
      </c>
      <c r="V39" s="421" t="e">
        <f aca="false">U42</f>
        <v>#VALUE!</v>
      </c>
      <c r="W39" s="421" t="e">
        <f aca="false">V42</f>
        <v>#VALUE!</v>
      </c>
      <c r="X39" s="421" t="e">
        <f aca="false">W42</f>
        <v>#VALUE!</v>
      </c>
      <c r="Y39" s="421" t="e">
        <f aca="false">X42</f>
        <v>#VALUE!</v>
      </c>
      <c r="Z39" s="421" t="e">
        <f aca="false">Y42</f>
        <v>#VALUE!</v>
      </c>
      <c r="AA39" s="421" t="e">
        <f aca="false">Z42</f>
        <v>#VALUE!</v>
      </c>
      <c r="AB39" s="421" t="e">
        <f aca="false">AA42</f>
        <v>#VALUE!</v>
      </c>
      <c r="AC39" s="421" t="e">
        <f aca="false">AB42</f>
        <v>#VALUE!</v>
      </c>
      <c r="AD39" s="421" t="e">
        <f aca="false">AC42</f>
        <v>#VALUE!</v>
      </c>
      <c r="AE39" s="421" t="e">
        <f aca="false">AD42</f>
        <v>#VALUE!</v>
      </c>
      <c r="AF39" s="421" t="e">
        <f aca="false">AE42</f>
        <v>#VALUE!</v>
      </c>
      <c r="AG39" s="421" t="e">
        <f aca="false">AF42</f>
        <v>#VALUE!</v>
      </c>
      <c r="AH39" s="421" t="e">
        <f aca="false">AG42</f>
        <v>#VALUE!</v>
      </c>
      <c r="AI39" s="421" t="e">
        <f aca="false">AH42</f>
        <v>#VALUE!</v>
      </c>
      <c r="AJ39" s="421" t="e">
        <f aca="false">AI42</f>
        <v>#VALUE!</v>
      </c>
      <c r="AK39" s="421" t="e">
        <f aca="false">AJ42</f>
        <v>#VALUE!</v>
      </c>
      <c r="AL39" s="421" t="e">
        <f aca="false">AK42</f>
        <v>#VALUE!</v>
      </c>
    </row>
    <row r="40" customFormat="false" ht="15" hidden="false" customHeight="false" outlineLevel="0" collapsed="false">
      <c r="C40" s="422" t="s">
        <v>656</v>
      </c>
      <c r="H40" s="100" t="e">
        <f aca="false">H36</f>
        <v>#VALUE!</v>
      </c>
      <c r="I40" s="100" t="e">
        <f aca="false">I36</f>
        <v>#VALUE!</v>
      </c>
      <c r="J40" s="100" t="e">
        <f aca="false">J36</f>
        <v>#VALUE!</v>
      </c>
      <c r="K40" s="100" t="e">
        <f aca="false">K36</f>
        <v>#VALUE!</v>
      </c>
      <c r="L40" s="100" t="e">
        <f aca="false">L36</f>
        <v>#VALUE!</v>
      </c>
      <c r="M40" s="100" t="e">
        <f aca="false">M36</f>
        <v>#VALUE!</v>
      </c>
      <c r="N40" s="100" t="e">
        <f aca="false">N36</f>
        <v>#VALUE!</v>
      </c>
      <c r="O40" s="100" t="e">
        <f aca="false">O36</f>
        <v>#VALUE!</v>
      </c>
      <c r="P40" s="100" t="e">
        <f aca="false">P36</f>
        <v>#VALUE!</v>
      </c>
      <c r="Q40" s="100" t="e">
        <f aca="false">Q36</f>
        <v>#VALUE!</v>
      </c>
      <c r="R40" s="100" t="e">
        <f aca="false">R36</f>
        <v>#VALUE!</v>
      </c>
      <c r="S40" s="100" t="e">
        <f aca="false">S36</f>
        <v>#VALUE!</v>
      </c>
      <c r="T40" s="100" t="e">
        <f aca="false">T36</f>
        <v>#VALUE!</v>
      </c>
      <c r="U40" s="100" t="e">
        <f aca="false">U36</f>
        <v>#VALUE!</v>
      </c>
      <c r="V40" s="100" t="e">
        <f aca="false">V36</f>
        <v>#VALUE!</v>
      </c>
      <c r="W40" s="100" t="e">
        <f aca="false">W36</f>
        <v>#VALUE!</v>
      </c>
      <c r="X40" s="100" t="e">
        <f aca="false">X36</f>
        <v>#VALUE!</v>
      </c>
      <c r="Y40" s="100" t="e">
        <f aca="false">Y36</f>
        <v>#VALUE!</v>
      </c>
      <c r="Z40" s="100" t="e">
        <f aca="false">Z36</f>
        <v>#VALUE!</v>
      </c>
      <c r="AA40" s="100" t="e">
        <f aca="false">AA36</f>
        <v>#VALUE!</v>
      </c>
      <c r="AB40" s="100" t="e">
        <f aca="false">AB36</f>
        <v>#VALUE!</v>
      </c>
      <c r="AC40" s="100" t="e">
        <f aca="false">AC36</f>
        <v>#VALUE!</v>
      </c>
      <c r="AD40" s="100" t="e">
        <f aca="false">AD36</f>
        <v>#VALUE!</v>
      </c>
      <c r="AE40" s="100" t="e">
        <f aca="false">AE36</f>
        <v>#VALUE!</v>
      </c>
      <c r="AF40" s="100" t="e">
        <f aca="false">AF36</f>
        <v>#VALUE!</v>
      </c>
      <c r="AG40" s="100" t="e">
        <f aca="false">AG36</f>
        <v>#VALUE!</v>
      </c>
      <c r="AH40" s="100" t="e">
        <f aca="false">AH36</f>
        <v>#VALUE!</v>
      </c>
      <c r="AI40" s="100" t="e">
        <f aca="false">AI36</f>
        <v>#VALUE!</v>
      </c>
      <c r="AJ40" s="100" t="e">
        <f aca="false">AJ36</f>
        <v>#VALUE!</v>
      </c>
      <c r="AK40" s="100" t="e">
        <f aca="false">AK36</f>
        <v>#VALUE!</v>
      </c>
      <c r="AL40" s="100" t="e">
        <f aca="false">AL36</f>
        <v>#VALUE!</v>
      </c>
    </row>
    <row r="41" customFormat="false" ht="15" hidden="false" customHeight="false" outlineLevel="0" collapsed="false">
      <c r="C41" s="422" t="s">
        <v>657</v>
      </c>
      <c r="H41" s="100" t="n">
        <f aca="false">0</f>
        <v>0</v>
      </c>
      <c r="I41" s="100" t="n">
        <f aca="false">0</f>
        <v>0</v>
      </c>
      <c r="J41" s="100" t="n">
        <f aca="false">0</f>
        <v>0</v>
      </c>
      <c r="K41" s="100" t="n">
        <f aca="false">0</f>
        <v>0</v>
      </c>
      <c r="L41" s="100" t="n">
        <f aca="false">0</f>
        <v>0</v>
      </c>
      <c r="M41" s="100" t="n">
        <f aca="false">0</f>
        <v>0</v>
      </c>
      <c r="N41" s="100" t="n">
        <f aca="false">0</f>
        <v>0</v>
      </c>
      <c r="O41" s="100" t="n">
        <f aca="false">0</f>
        <v>0</v>
      </c>
      <c r="P41" s="100" t="n">
        <f aca="false">0</f>
        <v>0</v>
      </c>
      <c r="Q41" s="100" t="n">
        <f aca="false">0</f>
        <v>0</v>
      </c>
      <c r="R41" s="100" t="n">
        <f aca="false">0</f>
        <v>0</v>
      </c>
      <c r="S41" s="100" t="n">
        <f aca="false">0</f>
        <v>0</v>
      </c>
      <c r="T41" s="100" t="n">
        <f aca="false">0</f>
        <v>0</v>
      </c>
      <c r="U41" s="100" t="n">
        <f aca="false">0</f>
        <v>0</v>
      </c>
      <c r="V41" s="100" t="n">
        <f aca="false">0</f>
        <v>0</v>
      </c>
      <c r="W41" s="100" t="n">
        <f aca="false">0</f>
        <v>0</v>
      </c>
      <c r="X41" s="100" t="n">
        <f aca="false">0</f>
        <v>0</v>
      </c>
      <c r="Y41" s="100" t="n">
        <f aca="false">0</f>
        <v>0</v>
      </c>
      <c r="Z41" s="100" t="n">
        <f aca="false">0</f>
        <v>0</v>
      </c>
      <c r="AA41" s="100" t="n">
        <f aca="false">0</f>
        <v>0</v>
      </c>
      <c r="AB41" s="100" t="n">
        <f aca="false">0</f>
        <v>0</v>
      </c>
      <c r="AC41" s="100" t="n">
        <f aca="false">0</f>
        <v>0</v>
      </c>
      <c r="AD41" s="100" t="n">
        <f aca="false">0</f>
        <v>0</v>
      </c>
      <c r="AE41" s="100" t="n">
        <f aca="false">0</f>
        <v>0</v>
      </c>
      <c r="AF41" s="100" t="n">
        <f aca="false">0</f>
        <v>0</v>
      </c>
      <c r="AG41" s="100" t="n">
        <f aca="false">0</f>
        <v>0</v>
      </c>
      <c r="AH41" s="100" t="n">
        <f aca="false">0</f>
        <v>0</v>
      </c>
      <c r="AI41" s="100" t="n">
        <f aca="false">0</f>
        <v>0</v>
      </c>
      <c r="AJ41" s="100" t="n">
        <f aca="false">0</f>
        <v>0</v>
      </c>
      <c r="AK41" s="100" t="n">
        <f aca="false">0</f>
        <v>0</v>
      </c>
      <c r="AL41" s="100" t="n">
        <f aca="false">0</f>
        <v>0</v>
      </c>
    </row>
    <row r="42" customFormat="false" ht="15" hidden="false" customHeight="false" outlineLevel="0" collapsed="false">
      <c r="C42" s="423" t="s">
        <v>658</v>
      </c>
      <c r="D42" s="116"/>
      <c r="E42" s="133"/>
      <c r="F42" s="133"/>
      <c r="G42" s="133"/>
      <c r="H42" s="334" t="e">
        <f aca="false">SUM(H39:H41)</f>
        <v>#VALUE!</v>
      </c>
      <c r="I42" s="334" t="e">
        <f aca="false">SUM(I39:I41)</f>
        <v>#VALUE!</v>
      </c>
      <c r="J42" s="334" t="e">
        <f aca="false">SUM(J39:J41)</f>
        <v>#VALUE!</v>
      </c>
      <c r="K42" s="334" t="e">
        <f aca="false">SUM(K39:K41)</f>
        <v>#VALUE!</v>
      </c>
      <c r="L42" s="334" t="e">
        <f aca="false">SUM(L39:L41)</f>
        <v>#VALUE!</v>
      </c>
      <c r="M42" s="334" t="e">
        <f aca="false">SUM(M39:M41)</f>
        <v>#VALUE!</v>
      </c>
      <c r="N42" s="334" t="e">
        <f aca="false">SUM(N39:N41)</f>
        <v>#VALUE!</v>
      </c>
      <c r="O42" s="334" t="e">
        <f aca="false">SUM(O39:O41)</f>
        <v>#VALUE!</v>
      </c>
      <c r="P42" s="334" t="e">
        <f aca="false">SUM(P39:P41)</f>
        <v>#VALUE!</v>
      </c>
      <c r="Q42" s="334" t="e">
        <f aca="false">SUM(Q39:Q41)</f>
        <v>#VALUE!</v>
      </c>
      <c r="R42" s="334" t="e">
        <f aca="false">SUM(R39:R41)</f>
        <v>#VALUE!</v>
      </c>
      <c r="S42" s="334" t="e">
        <f aca="false">SUM(S39:S41)</f>
        <v>#VALUE!</v>
      </c>
      <c r="T42" s="334" t="e">
        <f aca="false">SUM(T39:T41)</f>
        <v>#VALUE!</v>
      </c>
      <c r="U42" s="334" t="e">
        <f aca="false">SUM(U39:U41)</f>
        <v>#VALUE!</v>
      </c>
      <c r="V42" s="334" t="e">
        <f aca="false">SUM(V39:V41)</f>
        <v>#VALUE!</v>
      </c>
      <c r="W42" s="334" t="e">
        <f aca="false">SUM(W39:W41)</f>
        <v>#VALUE!</v>
      </c>
      <c r="X42" s="334" t="e">
        <f aca="false">SUM(X39:X41)</f>
        <v>#VALUE!</v>
      </c>
      <c r="Y42" s="334" t="e">
        <f aca="false">SUM(Y39:Y41)</f>
        <v>#VALUE!</v>
      </c>
      <c r="Z42" s="334" t="e">
        <f aca="false">SUM(Z39:Z41)</f>
        <v>#VALUE!</v>
      </c>
      <c r="AA42" s="334" t="e">
        <f aca="false">SUM(AA39:AA41)</f>
        <v>#VALUE!</v>
      </c>
      <c r="AB42" s="334" t="e">
        <f aca="false">SUM(AB39:AB41)</f>
        <v>#VALUE!</v>
      </c>
      <c r="AC42" s="334" t="e">
        <f aca="false">SUM(AC39:AC41)</f>
        <v>#VALUE!</v>
      </c>
      <c r="AD42" s="334" t="e">
        <f aca="false">SUM(AD39:AD41)</f>
        <v>#VALUE!</v>
      </c>
      <c r="AE42" s="334" t="e">
        <f aca="false">SUM(AE39:AE41)</f>
        <v>#VALUE!</v>
      </c>
      <c r="AF42" s="334" t="e">
        <f aca="false">SUM(AF39:AF41)</f>
        <v>#VALUE!</v>
      </c>
      <c r="AG42" s="334" t="e">
        <f aca="false">SUM(AG39:AG41)</f>
        <v>#VALUE!</v>
      </c>
      <c r="AH42" s="334" t="e">
        <f aca="false">SUM(AH39:AH41)</f>
        <v>#VALUE!</v>
      </c>
      <c r="AI42" s="334" t="e">
        <f aca="false">SUM(AI39:AI41)</f>
        <v>#VALUE!</v>
      </c>
      <c r="AJ42" s="334" t="e">
        <f aca="false">SUM(AJ39:AJ41)</f>
        <v>#VALUE!</v>
      </c>
      <c r="AK42" s="334" t="e">
        <f aca="false">SUM(AK39:AK41)</f>
        <v>#VALUE!</v>
      </c>
      <c r="AL42" s="334" t="e">
        <f aca="false">SUM(AL39:AL41)</f>
        <v>#VALUE!</v>
      </c>
    </row>
    <row r="43" customFormat="false" ht="15" hidden="false" customHeight="false" outlineLevel="0" collapsed="false">
      <c r="C43" s="8"/>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row>
    <row r="44" customFormat="false" ht="15" hidden="false" customHeight="false" outlineLevel="0" collapsed="false">
      <c r="C44" s="118" t="s">
        <v>659</v>
      </c>
      <c r="D44" s="119"/>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row>
    <row r="46" customFormat="false" ht="15" hidden="false" customHeight="false" outlineLevel="0" collapsed="false">
      <c r="C46" s="8" t="s">
        <v>660</v>
      </c>
    </row>
    <row r="47" customFormat="false" ht="15" hidden="false" customHeight="false" outlineLevel="0" collapsed="false">
      <c r="C47" s="349" t="s">
        <v>661</v>
      </c>
      <c r="H47" s="130" t="n">
        <f aca="false">'4.1 Revenue Build - VCU'!H46</f>
        <v>0</v>
      </c>
      <c r="I47" s="130" t="n">
        <f aca="false">'4.1 Revenue Build - VCU'!I46</f>
        <v>0</v>
      </c>
      <c r="J47" s="130" t="n">
        <f aca="false">'4.1 Revenue Build - VCU'!J46</f>
        <v>463550.88</v>
      </c>
      <c r="K47" s="130" t="n">
        <f aca="false">'4.1 Revenue Build - VCU'!K46</f>
        <v>859898.70048</v>
      </c>
      <c r="L47" s="130" t="n">
        <f aca="false">'4.1 Revenue Build - VCU'!L46</f>
        <v>1282538.0131456</v>
      </c>
      <c r="M47" s="130" t="n">
        <f aca="false">'4.1 Revenue Build - VCU'!M46</f>
        <v>1766908.13251942</v>
      </c>
      <c r="N47" s="130" t="n">
        <f aca="false">'4.1 Revenue Build - VCU'!N46</f>
        <v>2292190.27047158</v>
      </c>
      <c r="O47" s="130" t="n">
        <f aca="false">'4.1 Revenue Build - VCU'!O46</f>
        <v>2754272.95680522</v>
      </c>
      <c r="P47" s="130" t="n">
        <f aca="false">'4.1 Revenue Build - VCU'!P46</f>
        <v>3137476.54065305</v>
      </c>
      <c r="Q47" s="130" t="n">
        <f aca="false">'4.1 Revenue Build - VCU'!Q46</f>
        <v>3727254.70301926</v>
      </c>
      <c r="R47" s="130" t="n">
        <f aca="false">'4.1 Revenue Build - VCU'!R46</f>
        <v>3801799.79707965</v>
      </c>
      <c r="S47" s="130" t="n">
        <f aca="false">'4.1 Revenue Build - VCU'!S46</f>
        <v>3877835.79302124</v>
      </c>
      <c r="T47" s="130" t="n">
        <f aca="false">'4.1 Revenue Build - VCU'!T46</f>
        <v>3955392.50888167</v>
      </c>
      <c r="U47" s="130" t="n">
        <f aca="false">'4.1 Revenue Build - VCU'!U46</f>
        <v>4034500.3590593</v>
      </c>
      <c r="V47" s="130" t="n">
        <f aca="false">'4.1 Revenue Build - VCU'!V46</f>
        <v>4115190.36624049</v>
      </c>
      <c r="W47" s="130" t="n">
        <f aca="false">'4.1 Revenue Build - VCU'!W46</f>
        <v>4197494.1735653</v>
      </c>
      <c r="X47" s="130" t="n">
        <f aca="false">'4.1 Revenue Build - VCU'!X46</f>
        <v>4281444.0570366</v>
      </c>
      <c r="Y47" s="130" t="n">
        <f aca="false">'4.1 Revenue Build - VCU'!Y46</f>
        <v>4367072.93817733</v>
      </c>
      <c r="Z47" s="130" t="n">
        <f aca="false">'4.1 Revenue Build - VCU'!Z46</f>
        <v>4454414.39694088</v>
      </c>
      <c r="AA47" s="130" t="n">
        <f aca="false">'4.1 Revenue Build - VCU'!AA46</f>
        <v>4543502.6848797</v>
      </c>
      <c r="AB47" s="130" t="n">
        <f aca="false">'4.1 Revenue Build - VCU'!AB46</f>
        <v>4634372.73857729</v>
      </c>
      <c r="AC47" s="130" t="n">
        <f aca="false">'4.1 Revenue Build - VCU'!AC46</f>
        <v>4727060.19334884</v>
      </c>
      <c r="AD47" s="130" t="n">
        <f aca="false">'4.1 Revenue Build - VCU'!AD46</f>
        <v>4821601.39721582</v>
      </c>
      <c r="AE47" s="130" t="n">
        <f aca="false">'4.1 Revenue Build - VCU'!AE46</f>
        <v>4918033.42516013</v>
      </c>
      <c r="AF47" s="130" t="n">
        <f aca="false">'4.1 Revenue Build - VCU'!AF46</f>
        <v>5016394.09366334</v>
      </c>
      <c r="AG47" s="130" t="n">
        <f aca="false">'4.1 Revenue Build - VCU'!AG46</f>
        <v>5116721.9755366</v>
      </c>
      <c r="AH47" s="130" t="n">
        <f aca="false">'4.1 Revenue Build - VCU'!AH46</f>
        <v>5219056.41504733</v>
      </c>
      <c r="AI47" s="130" t="n">
        <f aca="false">'4.1 Revenue Build - VCU'!AI46</f>
        <v>5323437.54334828</v>
      </c>
      <c r="AJ47" s="130" t="n">
        <f aca="false">'4.1 Revenue Build - VCU'!AJ46</f>
        <v>5429906.29421525</v>
      </c>
      <c r="AK47" s="130" t="n">
        <f aca="false">'4.1 Revenue Build - VCU'!AK46</f>
        <v>5538504.42009955</v>
      </c>
      <c r="AL47" s="130" t="n">
        <f aca="false">'4.1 Revenue Build - VCU'!AL46</f>
        <v>5649274.50850154</v>
      </c>
    </row>
    <row r="48" customFormat="false" ht="15" hidden="false" customHeight="false" outlineLevel="0" collapsed="false">
      <c r="C48" s="349" t="s">
        <v>662</v>
      </c>
      <c r="H48" s="424" t="n">
        <f aca="false">'4.1 Revenue Build - VCU'!H17</f>
        <v>0</v>
      </c>
      <c r="I48" s="424" t="n">
        <f aca="false">'4.1 Revenue Build - VCU'!I17</f>
        <v>0</v>
      </c>
      <c r="J48" s="424" t="n">
        <f aca="false">'4.1 Revenue Build - VCU'!J17</f>
        <v>0</v>
      </c>
      <c r="K48" s="424" t="n">
        <f aca="false">'4.1 Revenue Build - VCU'!K17</f>
        <v>0</v>
      </c>
      <c r="L48" s="424" t="n">
        <f aca="false">'4.1 Revenue Build - VCU'!L17</f>
        <v>0</v>
      </c>
      <c r="M48" s="424" t="n">
        <f aca="false">'4.1 Revenue Build - VCU'!M17</f>
        <v>0</v>
      </c>
      <c r="N48" s="424" t="n">
        <f aca="false">'4.1 Revenue Build - VCU'!N17</f>
        <v>0</v>
      </c>
      <c r="O48" s="424" t="n">
        <f aca="false">'4.1 Revenue Build - VCU'!O17</f>
        <v>0</v>
      </c>
      <c r="P48" s="424" t="n">
        <f aca="false">'4.1 Revenue Build - VCU'!P17</f>
        <v>0</v>
      </c>
      <c r="Q48" s="424" t="n">
        <f aca="false">'4.1 Revenue Build - VCU'!Q17</f>
        <v>0</v>
      </c>
      <c r="R48" s="424" t="n">
        <f aca="false">'4.1 Revenue Build - VCU'!R17</f>
        <v>0</v>
      </c>
      <c r="S48" s="424" t="n">
        <f aca="false">'4.1 Revenue Build - VCU'!S17</f>
        <v>0</v>
      </c>
      <c r="T48" s="424" t="n">
        <f aca="false">'4.1 Revenue Build - VCU'!T17</f>
        <v>0</v>
      </c>
      <c r="U48" s="424" t="n">
        <f aca="false">'4.1 Revenue Build - VCU'!U17</f>
        <v>0</v>
      </c>
      <c r="V48" s="424" t="n">
        <f aca="false">'4.1 Revenue Build - VCU'!V17</f>
        <v>0</v>
      </c>
      <c r="W48" s="424" t="n">
        <f aca="false">'4.1 Revenue Build - VCU'!W17</f>
        <v>0</v>
      </c>
      <c r="X48" s="424" t="n">
        <f aca="false">'4.1 Revenue Build - VCU'!X17</f>
        <v>0</v>
      </c>
      <c r="Y48" s="424" t="n">
        <f aca="false">'4.1 Revenue Build - VCU'!Y17</f>
        <v>0</v>
      </c>
      <c r="Z48" s="424" t="n">
        <f aca="false">'4.1 Revenue Build - VCU'!Z17</f>
        <v>0</v>
      </c>
      <c r="AA48" s="424" t="n">
        <f aca="false">'4.1 Revenue Build - VCU'!AA17</f>
        <v>0</v>
      </c>
      <c r="AB48" s="424" t="n">
        <f aca="false">'4.1 Revenue Build - VCU'!AB17</f>
        <v>0</v>
      </c>
      <c r="AC48" s="424" t="n">
        <f aca="false">'4.1 Revenue Build - VCU'!AC17</f>
        <v>0</v>
      </c>
      <c r="AD48" s="424" t="n">
        <f aca="false">'4.1 Revenue Build - VCU'!AD17</f>
        <v>0</v>
      </c>
      <c r="AE48" s="424" t="n">
        <f aca="false">'4.1 Revenue Build - VCU'!AE17</f>
        <v>0</v>
      </c>
      <c r="AF48" s="424" t="n">
        <f aca="false">'4.1 Revenue Build - VCU'!AF17</f>
        <v>0</v>
      </c>
      <c r="AG48" s="424" t="n">
        <f aca="false">'4.1 Revenue Build - VCU'!AG17</f>
        <v>0</v>
      </c>
      <c r="AH48" s="424" t="n">
        <f aca="false">'4.1 Revenue Build - VCU'!AH17</f>
        <v>0</v>
      </c>
      <c r="AI48" s="424" t="n">
        <f aca="false">'4.1 Revenue Build - VCU'!AI17</f>
        <v>0</v>
      </c>
      <c r="AJ48" s="424" t="n">
        <f aca="false">'4.1 Revenue Build - VCU'!AJ17</f>
        <v>0</v>
      </c>
      <c r="AK48" s="424" t="n">
        <f aca="false">'4.1 Revenue Build - VCU'!AK17</f>
        <v>0</v>
      </c>
      <c r="AL48" s="424" t="n">
        <f aca="false">'4.1 Revenue Build - VCU'!AL17</f>
        <v>0</v>
      </c>
    </row>
    <row r="49" customFormat="false" ht="15" hidden="false" customHeight="false" outlineLevel="0" collapsed="false">
      <c r="C49" s="425" t="s">
        <v>663</v>
      </c>
      <c r="D49" s="116"/>
      <c r="E49" s="133"/>
      <c r="F49" s="133"/>
      <c r="G49" s="133"/>
      <c r="H49" s="278" t="n">
        <f aca="false">'4.1 Revenue Build - VCU'!H36</f>
        <v>0</v>
      </c>
      <c r="I49" s="278" t="n">
        <f aca="false">'4.1 Revenue Build - VCU'!I36</f>
        <v>2028</v>
      </c>
      <c r="J49" s="278" t="n">
        <f aca="false">'4.1 Revenue Build - VCU'!J36</f>
        <v>43692</v>
      </c>
      <c r="K49" s="278" t="n">
        <f aca="false">'4.1 Revenue Build - VCU'!K36</f>
        <v>85356</v>
      </c>
      <c r="L49" s="278" t="n">
        <f aca="false">'4.1 Revenue Build - VCU'!L36</f>
        <v>127016</v>
      </c>
      <c r="M49" s="278" t="n">
        <f aca="false">'4.1 Revenue Build - VCU'!M36</f>
        <v>173232</v>
      </c>
      <c r="N49" s="278" t="n">
        <f aca="false">'4.1 Revenue Build - VCU'!N36</f>
        <v>219448</v>
      </c>
      <c r="O49" s="278" t="n">
        <f aca="false">'4.1 Revenue Build - VCU'!O36</f>
        <v>265664</v>
      </c>
      <c r="P49" s="278" t="n">
        <f aca="false">'4.1 Revenue Build - VCU'!P36</f>
        <v>311880</v>
      </c>
      <c r="Q49" s="278" t="n">
        <f aca="false">'4.1 Revenue Build - VCU'!Q36</f>
        <v>311880</v>
      </c>
      <c r="R49" s="278" t="n">
        <f aca="false">'4.1 Revenue Build - VCU'!R36</f>
        <v>311880</v>
      </c>
      <c r="S49" s="278" t="n">
        <f aca="false">'4.1 Revenue Build - VCU'!S36</f>
        <v>311880</v>
      </c>
      <c r="T49" s="278" t="n">
        <f aca="false">'4.1 Revenue Build - VCU'!T36</f>
        <v>311880</v>
      </c>
      <c r="U49" s="278" t="n">
        <f aca="false">'4.1 Revenue Build - VCU'!U36</f>
        <v>311880</v>
      </c>
      <c r="V49" s="278" t="n">
        <f aca="false">'4.1 Revenue Build - VCU'!V36</f>
        <v>311880</v>
      </c>
      <c r="W49" s="278" t="n">
        <f aca="false">'4.1 Revenue Build - VCU'!W36</f>
        <v>311880</v>
      </c>
      <c r="X49" s="278" t="n">
        <f aca="false">'4.1 Revenue Build - VCU'!X36</f>
        <v>311880</v>
      </c>
      <c r="Y49" s="278" t="n">
        <f aca="false">'4.1 Revenue Build - VCU'!Y36</f>
        <v>311880</v>
      </c>
      <c r="Z49" s="278" t="n">
        <f aca="false">'4.1 Revenue Build - VCU'!Z36</f>
        <v>311880</v>
      </c>
      <c r="AA49" s="278" t="n">
        <f aca="false">'4.1 Revenue Build - VCU'!AA36</f>
        <v>311880</v>
      </c>
      <c r="AB49" s="278" t="n">
        <f aca="false">'4.1 Revenue Build - VCU'!AB36</f>
        <v>311880</v>
      </c>
      <c r="AC49" s="278" t="n">
        <f aca="false">'4.1 Revenue Build - VCU'!AC36</f>
        <v>311880</v>
      </c>
      <c r="AD49" s="278" t="n">
        <f aca="false">'4.1 Revenue Build - VCU'!AD36</f>
        <v>311880</v>
      </c>
      <c r="AE49" s="278" t="n">
        <f aca="false">'4.1 Revenue Build - VCU'!AE36</f>
        <v>311880</v>
      </c>
      <c r="AF49" s="278" t="n">
        <f aca="false">'4.1 Revenue Build - VCU'!AF36</f>
        <v>311880</v>
      </c>
      <c r="AG49" s="278" t="n">
        <f aca="false">'4.1 Revenue Build - VCU'!AG36</f>
        <v>311880</v>
      </c>
      <c r="AH49" s="278" t="n">
        <f aca="false">'4.1 Revenue Build - VCU'!AH36</f>
        <v>311880</v>
      </c>
      <c r="AI49" s="278" t="n">
        <f aca="false">'4.1 Revenue Build - VCU'!AI36</f>
        <v>311880</v>
      </c>
      <c r="AJ49" s="278" t="n">
        <f aca="false">'4.1 Revenue Build - VCU'!AJ36</f>
        <v>311880</v>
      </c>
      <c r="AK49" s="278" t="n">
        <f aca="false">'4.1 Revenue Build - VCU'!AK36</f>
        <v>311880</v>
      </c>
      <c r="AL49" s="278" t="n">
        <f aca="false">'4.1 Revenue Build - VCU'!AL36</f>
        <v>311880</v>
      </c>
    </row>
    <row r="50" customFormat="false" ht="15" hidden="false" customHeight="false" outlineLevel="0" collapsed="false">
      <c r="C50" s="426" t="s">
        <v>664</v>
      </c>
      <c r="H50" s="130" t="n">
        <f aca="false">H48*H49</f>
        <v>0</v>
      </c>
      <c r="I50" s="130" t="n">
        <f aca="false">I48*I49</f>
        <v>0</v>
      </c>
      <c r="J50" s="130" t="n">
        <f aca="false">J48*J49</f>
        <v>0</v>
      </c>
      <c r="K50" s="130" t="n">
        <f aca="false">K48*K49</f>
        <v>0</v>
      </c>
      <c r="L50" s="130" t="n">
        <f aca="false">L48*L49</f>
        <v>0</v>
      </c>
      <c r="M50" s="130" t="n">
        <f aca="false">M48*M49</f>
        <v>0</v>
      </c>
      <c r="N50" s="130" t="n">
        <f aca="false">N48*N49</f>
        <v>0</v>
      </c>
      <c r="O50" s="130" t="n">
        <f aca="false">O48*O49</f>
        <v>0</v>
      </c>
      <c r="P50" s="130" t="n">
        <f aca="false">P48*P49</f>
        <v>0</v>
      </c>
      <c r="Q50" s="130" t="n">
        <f aca="false">Q48*Q49</f>
        <v>0</v>
      </c>
      <c r="R50" s="130" t="n">
        <f aca="false">R48*R49</f>
        <v>0</v>
      </c>
      <c r="S50" s="130" t="n">
        <f aca="false">S48*S49</f>
        <v>0</v>
      </c>
      <c r="T50" s="130" t="n">
        <f aca="false">T48*T49</f>
        <v>0</v>
      </c>
      <c r="U50" s="130" t="n">
        <f aca="false">U48*U49</f>
        <v>0</v>
      </c>
      <c r="V50" s="130" t="n">
        <f aca="false">V48*V49</f>
        <v>0</v>
      </c>
      <c r="W50" s="130" t="n">
        <f aca="false">W48*W49</f>
        <v>0</v>
      </c>
      <c r="X50" s="130" t="n">
        <f aca="false">X48*X49</f>
        <v>0</v>
      </c>
      <c r="Y50" s="130" t="n">
        <f aca="false">Y48*Y49</f>
        <v>0</v>
      </c>
      <c r="Z50" s="130" t="n">
        <f aca="false">Z48*Z49</f>
        <v>0</v>
      </c>
      <c r="AA50" s="130" t="n">
        <f aca="false">AA48*AA49</f>
        <v>0</v>
      </c>
      <c r="AB50" s="130" t="n">
        <f aca="false">AB48*AB49</f>
        <v>0</v>
      </c>
      <c r="AC50" s="130" t="n">
        <f aca="false">AC48*AC49</f>
        <v>0</v>
      </c>
      <c r="AD50" s="130" t="n">
        <f aca="false">AD48*AD49</f>
        <v>0</v>
      </c>
      <c r="AE50" s="130" t="n">
        <f aca="false">AE48*AE49</f>
        <v>0</v>
      </c>
      <c r="AF50" s="130" t="n">
        <f aca="false">AF48*AF49</f>
        <v>0</v>
      </c>
      <c r="AG50" s="130" t="n">
        <f aca="false">AG48*AG49</f>
        <v>0</v>
      </c>
      <c r="AH50" s="130" t="n">
        <f aca="false">AH48*AH49</f>
        <v>0</v>
      </c>
      <c r="AI50" s="130" t="n">
        <f aca="false">AI48*AI49</f>
        <v>0</v>
      </c>
      <c r="AJ50" s="130" t="n">
        <f aca="false">AJ48*AJ49</f>
        <v>0</v>
      </c>
      <c r="AK50" s="130" t="n">
        <f aca="false">AK48*AK49</f>
        <v>0</v>
      </c>
      <c r="AL50" s="130" t="n">
        <f aca="false">AL48*AL49</f>
        <v>0</v>
      </c>
    </row>
    <row r="51" customFormat="false" ht="15" hidden="false" customHeight="false" outlineLevel="0" collapsed="false">
      <c r="C51" s="426" t="s">
        <v>665</v>
      </c>
      <c r="H51" s="130" t="n">
        <f aca="false">H50</f>
        <v>0</v>
      </c>
      <c r="I51" s="130" t="n">
        <f aca="false">H51+I50</f>
        <v>0</v>
      </c>
      <c r="J51" s="130" t="n">
        <f aca="false">I51+J50</f>
        <v>0</v>
      </c>
      <c r="K51" s="130" t="n">
        <f aca="false">J51+K50</f>
        <v>0</v>
      </c>
      <c r="L51" s="130" t="n">
        <f aca="false">K51+L50</f>
        <v>0</v>
      </c>
      <c r="M51" s="130" t="n">
        <f aca="false">L51+M50</f>
        <v>0</v>
      </c>
      <c r="N51" s="130" t="n">
        <f aca="false">M51+N50</f>
        <v>0</v>
      </c>
      <c r="O51" s="130" t="n">
        <f aca="false">N51+O50</f>
        <v>0</v>
      </c>
      <c r="P51" s="130" t="n">
        <f aca="false">O51+P50</f>
        <v>0</v>
      </c>
      <c r="Q51" s="130" t="n">
        <f aca="false">P51+Q50</f>
        <v>0</v>
      </c>
      <c r="R51" s="130" t="n">
        <f aca="false">Q51+R50</f>
        <v>0</v>
      </c>
      <c r="S51" s="130" t="n">
        <f aca="false">R51+S50</f>
        <v>0</v>
      </c>
      <c r="T51" s="130" t="n">
        <f aca="false">S51+T50</f>
        <v>0</v>
      </c>
      <c r="U51" s="130" t="n">
        <f aca="false">T51+U50</f>
        <v>0</v>
      </c>
      <c r="V51" s="130" t="n">
        <f aca="false">U51+V50</f>
        <v>0</v>
      </c>
      <c r="W51" s="130" t="n">
        <f aca="false">V51+W50</f>
        <v>0</v>
      </c>
      <c r="X51" s="130" t="n">
        <f aca="false">W51+X50</f>
        <v>0</v>
      </c>
      <c r="Y51" s="130" t="n">
        <f aca="false">X51+Y50</f>
        <v>0</v>
      </c>
      <c r="Z51" s="130" t="n">
        <f aca="false">Y51+Z50</f>
        <v>0</v>
      </c>
      <c r="AA51" s="130" t="n">
        <f aca="false">Z51+AA50</f>
        <v>0</v>
      </c>
      <c r="AB51" s="130" t="n">
        <f aca="false">AA51+AB50</f>
        <v>0</v>
      </c>
      <c r="AC51" s="130" t="n">
        <f aca="false">AB51+AC50</f>
        <v>0</v>
      </c>
      <c r="AD51" s="130" t="n">
        <f aca="false">AC51+AD50</f>
        <v>0</v>
      </c>
      <c r="AE51" s="130" t="n">
        <f aca="false">AD51+AE50</f>
        <v>0</v>
      </c>
      <c r="AF51" s="130" t="n">
        <f aca="false">AE51+AF50</f>
        <v>0</v>
      </c>
      <c r="AG51" s="130" t="n">
        <f aca="false">AF51+AG50</f>
        <v>0</v>
      </c>
      <c r="AH51" s="130" t="n">
        <f aca="false">AG51+AH50</f>
        <v>0</v>
      </c>
      <c r="AI51" s="130" t="n">
        <f aca="false">AH51+AI50</f>
        <v>0</v>
      </c>
      <c r="AJ51" s="130" t="n">
        <f aca="false">AI51+AJ50</f>
        <v>0</v>
      </c>
      <c r="AK51" s="130" t="n">
        <f aca="false">AJ51+AK50</f>
        <v>0</v>
      </c>
      <c r="AL51" s="130" t="n">
        <f aca="false">AK51+AL50</f>
        <v>0</v>
      </c>
    </row>
    <row r="52" customFormat="false" ht="15" hidden="false" customHeight="false" outlineLevel="0" collapsed="false">
      <c r="C52" s="426" t="s">
        <v>666</v>
      </c>
      <c r="H52" s="130" t="n">
        <f aca="false">H47</f>
        <v>0</v>
      </c>
      <c r="I52" s="130" t="n">
        <f aca="false">H52+I47</f>
        <v>0</v>
      </c>
      <c r="J52" s="130" t="n">
        <f aca="false">I52+J47</f>
        <v>463550.88</v>
      </c>
      <c r="K52" s="130" t="n">
        <f aca="false">J52+K47</f>
        <v>1323449.58048</v>
      </c>
      <c r="L52" s="130" t="n">
        <f aca="false">K52+L47</f>
        <v>2605987.5936256</v>
      </c>
      <c r="M52" s="130" t="n">
        <f aca="false">L52+M47</f>
        <v>4372895.72614502</v>
      </c>
      <c r="N52" s="130" t="n">
        <f aca="false">M52+N47</f>
        <v>6665085.99661661</v>
      </c>
      <c r="O52" s="130" t="n">
        <f aca="false">N52+O47</f>
        <v>9419358.95342183</v>
      </c>
      <c r="P52" s="130" t="n">
        <f aca="false">O52+P47</f>
        <v>12556835.4940749</v>
      </c>
      <c r="Q52" s="130" t="n">
        <f aca="false">P52+Q47</f>
        <v>16284090.1970941</v>
      </c>
      <c r="R52" s="130" t="n">
        <f aca="false">Q52+R47</f>
        <v>20085889.9941738</v>
      </c>
      <c r="S52" s="130" t="n">
        <f aca="false">R52+S47</f>
        <v>23963725.787195</v>
      </c>
      <c r="T52" s="130" t="n">
        <f aca="false">S52+T47</f>
        <v>27919118.2960767</v>
      </c>
      <c r="U52" s="130" t="n">
        <f aca="false">T52+U47</f>
        <v>31953618.655136</v>
      </c>
      <c r="V52" s="130" t="n">
        <f aca="false">U52+V47</f>
        <v>36068809.0213765</v>
      </c>
      <c r="W52" s="130" t="n">
        <f aca="false">V52+W47</f>
        <v>40266303.1949418</v>
      </c>
      <c r="X52" s="130" t="n">
        <f aca="false">W52+X47</f>
        <v>44547747.2519784</v>
      </c>
      <c r="Y52" s="130" t="n">
        <f aca="false">X52+Y47</f>
        <v>48914820.1901557</v>
      </c>
      <c r="Z52" s="130" t="n">
        <f aca="false">Y52+Z47</f>
        <v>53369234.5870966</v>
      </c>
      <c r="AA52" s="130" t="n">
        <f aca="false">Z52+AA47</f>
        <v>57912737.2719763</v>
      </c>
      <c r="AB52" s="130" t="n">
        <f aca="false">AA52+AB47</f>
        <v>62547110.0105536</v>
      </c>
      <c r="AC52" s="130" t="n">
        <f aca="false">AB52+AC47</f>
        <v>67274170.2039024</v>
      </c>
      <c r="AD52" s="130" t="n">
        <f aca="false">AC52+AD47</f>
        <v>72095771.6011182</v>
      </c>
      <c r="AE52" s="130" t="n">
        <f aca="false">AD52+AE47</f>
        <v>77013805.0262784</v>
      </c>
      <c r="AF52" s="130" t="n">
        <f aca="false">AE52+AF47</f>
        <v>82030199.1199417</v>
      </c>
      <c r="AG52" s="130" t="n">
        <f aca="false">AF52+AG47</f>
        <v>87146921.0954783</v>
      </c>
      <c r="AH52" s="130" t="n">
        <f aca="false">AG52+AH47</f>
        <v>92365977.5105256</v>
      </c>
      <c r="AI52" s="130" t="n">
        <f aca="false">AH52+AI47</f>
        <v>97689415.0538739</v>
      </c>
      <c r="AJ52" s="130" t="n">
        <f aca="false">AI52+AJ47</f>
        <v>103119321.348089</v>
      </c>
      <c r="AK52" s="130" t="n">
        <f aca="false">AJ52+AK47</f>
        <v>108657825.768189</v>
      </c>
      <c r="AL52" s="130" t="n">
        <f aca="false">AK52+AL47</f>
        <v>114307100.27669</v>
      </c>
    </row>
    <row r="53" customFormat="false" ht="15" hidden="false" customHeight="false" outlineLevel="0" collapsed="false">
      <c r="C53" s="426" t="s">
        <v>667</v>
      </c>
      <c r="H53" s="130" t="n">
        <f aca="false">IF(H47&gt;0,H52-H51-SUM(G$53:$H53),0)</f>
        <v>0</v>
      </c>
      <c r="I53" s="130" t="n">
        <f aca="false">IF(I47&gt;0,I52-I51-SUM($H$53:H53),0)</f>
        <v>0</v>
      </c>
      <c r="J53" s="130" t="n">
        <f aca="false">IF(J47&gt;0,J52-J51-SUM($H$53:I53),0)</f>
        <v>463550.88</v>
      </c>
      <c r="K53" s="130" t="n">
        <f aca="false">IF(K47&gt;0,K52-K51-SUM($H$53:J53),0)</f>
        <v>859898.70048</v>
      </c>
      <c r="L53" s="130" t="n">
        <f aca="false">IF(L47&gt;0,L52-L51-SUM($H$53:K53),0)</f>
        <v>1282538.0131456</v>
      </c>
      <c r="M53" s="130" t="n">
        <f aca="false">IF(M47&gt;0,M52-M51-SUM($H$53:L53),0)</f>
        <v>1766908.13251942</v>
      </c>
      <c r="N53" s="130" t="n">
        <f aca="false">IF(N47&gt;0,N52-N51-SUM($H$53:M53),0)</f>
        <v>2292190.27047158</v>
      </c>
      <c r="O53" s="130" t="n">
        <f aca="false">IF(O47&gt;0,O52-O51-SUM($H$53:N53),0)</f>
        <v>2754272.95680522</v>
      </c>
      <c r="P53" s="130" t="n">
        <f aca="false">IF(P47&gt;0,P52-P51-SUM($H$53:O53),0)</f>
        <v>3137476.54065305</v>
      </c>
      <c r="Q53" s="130" t="n">
        <f aca="false">IF(Q47&gt;0,Q52-Q51-SUM($H$53:P53),0)</f>
        <v>3727254.70301926</v>
      </c>
      <c r="R53" s="130" t="n">
        <f aca="false">IF(R47&gt;0,R52-R51-SUM($H$53:Q53),0)</f>
        <v>3801799.79707965</v>
      </c>
      <c r="S53" s="130" t="n">
        <f aca="false">IF(S47&gt;0,S52-S51-SUM($H$53:R53),0)</f>
        <v>3877835.79302124</v>
      </c>
      <c r="T53" s="130" t="n">
        <f aca="false">IF(T47&gt;0,T52-T51-SUM($H$53:S53),0)</f>
        <v>3955392.50888167</v>
      </c>
      <c r="U53" s="130" t="n">
        <f aca="false">IF(U47&gt;0,U52-U51-SUM($H$53:T53),0)</f>
        <v>4034500.3590593</v>
      </c>
      <c r="V53" s="130" t="n">
        <f aca="false">IF(V47&gt;0,V52-V51-SUM($H$53:U53),0)</f>
        <v>4115190.36624049</v>
      </c>
      <c r="W53" s="130" t="n">
        <f aca="false">IF(W47&gt;0,W52-W51-SUM($H$53:V53),0)</f>
        <v>4197494.1735653</v>
      </c>
      <c r="X53" s="130" t="n">
        <f aca="false">IF(X47&gt;0,X52-X51-SUM($H$53:W53),0)</f>
        <v>4281444.0570366</v>
      </c>
      <c r="Y53" s="130" t="n">
        <f aca="false">IF(Y47&gt;0,Y52-Y51-SUM($H$53:X53),0)</f>
        <v>4367072.93817733</v>
      </c>
      <c r="Z53" s="130" t="n">
        <f aca="false">IF(Z47&gt;0,Z52-Z51-SUM($H$53:Y53),0)</f>
        <v>4454414.39694088</v>
      </c>
      <c r="AA53" s="130" t="n">
        <f aca="false">IF(AA47&gt;0,AA52-AA51-SUM($H$53:Z53),0)</f>
        <v>4543502.6848797</v>
      </c>
      <c r="AB53" s="130" t="n">
        <f aca="false">IF(AB47&gt;0,AB52-AB51-SUM($H$53:AA53),0)</f>
        <v>4634372.73857729</v>
      </c>
      <c r="AC53" s="130" t="n">
        <f aca="false">IF(AC47&gt;0,AC52-AC51-SUM($H$53:AB53),0)</f>
        <v>4727060.19334884</v>
      </c>
      <c r="AD53" s="130" t="n">
        <f aca="false">IF(AD47&gt;0,AD52-AD51-SUM($H$53:AC53),0)</f>
        <v>4821601.39721581</v>
      </c>
      <c r="AE53" s="130" t="n">
        <f aca="false">IF(AE47&gt;0,AE52-AE51-SUM($H$53:AD53),0)</f>
        <v>4918033.42516013</v>
      </c>
      <c r="AF53" s="130" t="n">
        <f aca="false">IF(AF47&gt;0,AF52-AF51-SUM($H$53:AE53),0)</f>
        <v>5016394.09366334</v>
      </c>
      <c r="AG53" s="130" t="n">
        <f aca="false">IF(AG47&gt;0,AG52-AG51-SUM($H$53:AF53),0)</f>
        <v>5116721.9755366</v>
      </c>
      <c r="AH53" s="130" t="n">
        <f aca="false">IF(AH47&gt;0,AH52-AH51-SUM($H$53:AG53),0)</f>
        <v>5219056.41504733</v>
      </c>
      <c r="AI53" s="130" t="n">
        <f aca="false">IF(AI47&gt;0,AI52-AI51-SUM($H$53:AH53),0)</f>
        <v>5323437.54334828</v>
      </c>
      <c r="AJ53" s="130" t="n">
        <f aca="false">IF(AJ47&gt;0,AJ52-AJ51-SUM($H$53:AI53),0)</f>
        <v>5429906.29421525</v>
      </c>
      <c r="AK53" s="130" t="n">
        <f aca="false">IF(AK47&gt;0,AK52-AK51-SUM($H$53:AJ53),0)</f>
        <v>5538504.42009956</v>
      </c>
      <c r="AL53" s="130" t="n">
        <f aca="false">IF(AL47&gt;0,AL52-AL51-SUM($H$53:AK53),0)</f>
        <v>5649274.50850155</v>
      </c>
    </row>
    <row r="54" customFormat="false" ht="15" hidden="false" customHeight="false" outlineLevel="0" collapsed="false">
      <c r="C54" s="38"/>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row>
    <row r="55" customFormat="false" ht="15" hidden="false" customHeight="false" outlineLevel="0" collapsed="false">
      <c r="C55" s="10" t="s">
        <v>668</v>
      </c>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row>
    <row r="56" customFormat="false" ht="15" hidden="false" customHeight="false" outlineLevel="0" collapsed="false">
      <c r="C56" s="19" t="s">
        <v>669</v>
      </c>
      <c r="E56" s="100" t="n">
        <f aca="false">'2. NPV'!F18</f>
        <v>512173.399909215</v>
      </c>
      <c r="F56" s="100"/>
      <c r="G56" s="189" t="n">
        <v>31</v>
      </c>
      <c r="H56" s="130" t="n">
        <f aca="false">$E56/$G56</f>
        <v>16521.7225777166</v>
      </c>
      <c r="I56" s="130" t="n">
        <f aca="false">$E56/$G56</f>
        <v>16521.7225777166</v>
      </c>
      <c r="J56" s="130" t="n">
        <f aca="false">$E56/$G56</f>
        <v>16521.7225777166</v>
      </c>
      <c r="K56" s="130" t="n">
        <f aca="false">$E56/$G56</f>
        <v>16521.7225777166</v>
      </c>
      <c r="L56" s="130" t="n">
        <f aca="false">$E56/$G56</f>
        <v>16521.7225777166</v>
      </c>
      <c r="M56" s="130" t="n">
        <f aca="false">$E56/$G56</f>
        <v>16521.7225777166</v>
      </c>
      <c r="N56" s="130" t="n">
        <f aca="false">$E56/$G56</f>
        <v>16521.7225777166</v>
      </c>
      <c r="O56" s="130" t="n">
        <f aca="false">$E56/$G56</f>
        <v>16521.7225777166</v>
      </c>
      <c r="P56" s="130" t="n">
        <f aca="false">$E56/$G56</f>
        <v>16521.7225777166</v>
      </c>
      <c r="Q56" s="130" t="n">
        <f aca="false">$E56/$G56</f>
        <v>16521.7225777166</v>
      </c>
      <c r="R56" s="130" t="n">
        <f aca="false">$E56/$G56</f>
        <v>16521.7225777166</v>
      </c>
      <c r="S56" s="130" t="n">
        <f aca="false">$E56/$G56</f>
        <v>16521.7225777166</v>
      </c>
      <c r="T56" s="130" t="n">
        <f aca="false">$E56/$G56</f>
        <v>16521.7225777166</v>
      </c>
      <c r="U56" s="130" t="n">
        <f aca="false">$E56/$G56</f>
        <v>16521.7225777166</v>
      </c>
      <c r="V56" s="130" t="n">
        <f aca="false">$E56/$G56</f>
        <v>16521.7225777166</v>
      </c>
      <c r="W56" s="130" t="n">
        <f aca="false">$E56/$G56</f>
        <v>16521.7225777166</v>
      </c>
      <c r="X56" s="130" t="n">
        <f aca="false">$E56/$G56</f>
        <v>16521.7225777166</v>
      </c>
      <c r="Y56" s="130" t="n">
        <f aca="false">$E56/$G56</f>
        <v>16521.7225777166</v>
      </c>
      <c r="Z56" s="130" t="n">
        <f aca="false">$E56/$G56</f>
        <v>16521.7225777166</v>
      </c>
      <c r="AA56" s="130" t="n">
        <f aca="false">$E56/$G56</f>
        <v>16521.7225777166</v>
      </c>
      <c r="AB56" s="130" t="n">
        <f aca="false">$E56/$G56</f>
        <v>16521.7225777166</v>
      </c>
      <c r="AC56" s="130" t="n">
        <f aca="false">$E56/$G56</f>
        <v>16521.7225777166</v>
      </c>
      <c r="AD56" s="130" t="n">
        <f aca="false">$E56/$G56</f>
        <v>16521.7225777166</v>
      </c>
      <c r="AE56" s="130" t="n">
        <f aca="false">$E56/$G56</f>
        <v>16521.7225777166</v>
      </c>
      <c r="AF56" s="130" t="n">
        <f aca="false">$E56/$G56</f>
        <v>16521.7225777166</v>
      </c>
      <c r="AG56" s="130" t="n">
        <f aca="false">$E56/$G56</f>
        <v>16521.7225777166</v>
      </c>
      <c r="AH56" s="130" t="n">
        <f aca="false">$E56/$G56</f>
        <v>16521.7225777166</v>
      </c>
      <c r="AI56" s="130" t="n">
        <f aca="false">$E56/$G56</f>
        <v>16521.7225777166</v>
      </c>
      <c r="AJ56" s="130" t="n">
        <f aca="false">$E56/$G56</f>
        <v>16521.7225777166</v>
      </c>
      <c r="AK56" s="130" t="n">
        <f aca="false">$E56/$G56</f>
        <v>16521.7225777166</v>
      </c>
      <c r="AL56" s="130" t="n">
        <f aca="false">$E56/$G56</f>
        <v>16521.7225777166</v>
      </c>
    </row>
    <row r="57" customFormat="false" ht="15" hidden="false" customHeight="false" outlineLevel="0" collapsed="false">
      <c r="B57" s="149"/>
      <c r="C57" s="38"/>
      <c r="D57" s="127"/>
      <c r="E57" s="38"/>
      <c r="F57" s="38"/>
      <c r="G57" s="38"/>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c r="AH57" s="149"/>
      <c r="AI57" s="149"/>
      <c r="AJ57" s="149"/>
      <c r="AK57" s="149"/>
    </row>
    <row r="284" customFormat="false" ht="15" hidden="false" customHeight="false" outlineLevel="0" collapsed="false">
      <c r="Q284" s="1" t="n">
        <f aca="false">$G284*Q$5</f>
        <v>0</v>
      </c>
    </row>
  </sheetData>
  <printOptions headings="false" gridLines="false" gridLinesSet="true" horizontalCentered="false" verticalCentered="false"/>
  <pageMargins left="0.7" right="0.7" top="0.75" bottom="0.75" header="0.511811023622047" footer="0.511811023622047"/>
  <pageSetup paperSize="1" scale="16"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07"/>
  <sheetViews>
    <sheetView showFormulas="false" showGridLines="false" showRowColHeaders="true" showZeros="true" rightToLeft="false" tabSelected="false" showOutlineSymbols="true" defaultGridColor="true" view="normal" topLeftCell="A4" colorId="64" zoomScale="70" zoomScaleNormal="70" zoomScalePageLayoutView="100" workbookViewId="0">
      <selection pane="topLeft" activeCell="M9" activeCellId="0" sqref="M9"/>
    </sheetView>
  </sheetViews>
  <sheetFormatPr defaultColWidth="8.66796875" defaultRowHeight="15" zeroHeight="false" outlineLevelRow="0" outlineLevelCol="1"/>
  <cols>
    <col collapsed="false" customWidth="true" hidden="false" outlineLevel="0" max="2" min="1" style="1" width="3"/>
    <col collapsed="false" customWidth="true" hidden="false" outlineLevel="0" max="3" min="3" style="1" width="57.67"/>
    <col collapsed="false" customWidth="true" hidden="false" outlineLevel="0" max="4" min="4" style="25" width="4.83"/>
    <col collapsed="false" customWidth="true" hidden="false" outlineLevel="0" max="5" min="5" style="1" width="2.83"/>
    <col collapsed="false" customWidth="true" hidden="false" outlineLevel="0" max="7" min="6" style="1" width="1.51"/>
    <col collapsed="false" customWidth="true" hidden="false" outlineLevel="0" max="8" min="8" style="1" width="12.33"/>
    <col collapsed="false" customWidth="true" hidden="false" outlineLevel="0" max="9" min="9" style="1" width="11.67"/>
    <col collapsed="false" customWidth="true" hidden="false" outlineLevel="0" max="13" min="10" style="1" width="13"/>
    <col collapsed="false" customWidth="true" hidden="false" outlineLevel="0" max="15" min="14" style="1" width="13.5"/>
    <col collapsed="false" customWidth="true" hidden="false" outlineLevel="0" max="17" min="16" style="1" width="14.51"/>
    <col collapsed="false" customWidth="true" hidden="false" outlineLevel="1" max="19" min="18" style="1" width="14.51"/>
    <col collapsed="false" customWidth="true" hidden="false" outlineLevel="1" max="20" min="20" style="1" width="13.5"/>
    <col collapsed="false" customWidth="true" hidden="false" outlineLevel="1" max="22" min="21" style="1" width="14.83"/>
    <col collapsed="false" customWidth="true" hidden="false" outlineLevel="1" max="23" min="23" style="1" width="14.51"/>
    <col collapsed="false" customWidth="true" hidden="false" outlineLevel="1" max="24" min="24" style="1" width="14.83"/>
    <col collapsed="false" customWidth="true" hidden="false" outlineLevel="1" max="25" min="25" style="1" width="14.51"/>
    <col collapsed="false" customWidth="true" hidden="false" outlineLevel="1" max="27" min="26" style="1" width="14.83"/>
    <col collapsed="false" customWidth="true" hidden="false" outlineLevel="1" max="28" min="28" style="1" width="13.83"/>
    <col collapsed="false" customWidth="true" hidden="false" outlineLevel="1" max="29" min="29" style="1" width="14.83"/>
    <col collapsed="false" customWidth="true" hidden="false" outlineLevel="1" max="33" min="30" style="1" width="14.51"/>
    <col collapsed="false" customWidth="true" hidden="false" outlineLevel="1" max="35" min="34" style="1" width="14.83"/>
    <col collapsed="false" customWidth="true" hidden="false" outlineLevel="1" max="36" min="36" style="1" width="13.83"/>
    <col collapsed="false" customWidth="true" hidden="false" outlineLevel="0" max="37" min="37" style="1" width="14.83"/>
    <col collapsed="false" customWidth="true" hidden="false" outlineLevel="0" max="38" min="38" style="1" width="13.5"/>
    <col collapsed="false" customWidth="false" hidden="false" outlineLevel="0" max="16384" min="39" style="1" width="8.67"/>
  </cols>
  <sheetData>
    <row r="1" customFormat="false" ht="15" hidden="false" customHeight="false" outlineLevel="0" collapsed="false">
      <c r="A1" s="0"/>
      <c r="B1" s="0"/>
      <c r="C1" s="0"/>
      <c r="D1" s="3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670</v>
      </c>
      <c r="C5" s="7"/>
      <c r="D5" s="97" t="s">
        <v>87</v>
      </c>
      <c r="E5" s="7"/>
      <c r="F5" s="7"/>
      <c r="G5" s="7"/>
      <c r="H5" s="99" t="n">
        <f aca="false">'2. NPV'!H5</f>
        <v>2024</v>
      </c>
      <c r="I5" s="99" t="n">
        <f aca="false">'2. NPV'!I5</f>
        <v>2025</v>
      </c>
      <c r="J5" s="99" t="n">
        <f aca="false">'2. NPV'!J5</f>
        <v>2026</v>
      </c>
      <c r="K5" s="99" t="n">
        <f aca="false">'2. NPV'!K5</f>
        <v>2027</v>
      </c>
      <c r="L5" s="99" t="n">
        <f aca="false">'2. NPV'!L5</f>
        <v>2028</v>
      </c>
      <c r="M5" s="99" t="n">
        <f aca="false">'2. NPV'!M5</f>
        <v>2029</v>
      </c>
      <c r="N5" s="99" t="n">
        <f aca="false">'2. NPV'!N5</f>
        <v>2030</v>
      </c>
      <c r="O5" s="99" t="n">
        <f aca="false">'2. NPV'!O5</f>
        <v>2031</v>
      </c>
      <c r="P5" s="99" t="n">
        <f aca="false">'2. NPV'!P5</f>
        <v>2032</v>
      </c>
      <c r="Q5" s="99" t="n">
        <f aca="false">'2. NPV'!Q5</f>
        <v>2033</v>
      </c>
      <c r="R5" s="99" t="n">
        <f aca="false">'2. NPV'!R5</f>
        <v>2034</v>
      </c>
      <c r="S5" s="99" t="n">
        <f aca="false">'2. NPV'!S5</f>
        <v>2035</v>
      </c>
      <c r="T5" s="99" t="n">
        <f aca="false">'2. NPV'!T5</f>
        <v>2036</v>
      </c>
      <c r="U5" s="99" t="n">
        <f aca="false">'2. NPV'!U5</f>
        <v>2037</v>
      </c>
      <c r="V5" s="99" t="n">
        <f aca="false">'2. NPV'!V5</f>
        <v>2038</v>
      </c>
      <c r="W5" s="99" t="n">
        <f aca="false">'2. NPV'!W5</f>
        <v>2039</v>
      </c>
      <c r="X5" s="99" t="n">
        <f aca="false">'2. NPV'!X5</f>
        <v>2040</v>
      </c>
      <c r="Y5" s="99" t="n">
        <f aca="false">'2. NPV'!Y5</f>
        <v>2041</v>
      </c>
      <c r="Z5" s="99" t="n">
        <f aca="false">'2. NPV'!Z5</f>
        <v>2042</v>
      </c>
      <c r="AA5" s="99" t="n">
        <f aca="false">'2. NPV'!AA5</f>
        <v>2043</v>
      </c>
      <c r="AB5" s="99" t="n">
        <f aca="false">'2. NPV'!AB5</f>
        <v>2044</v>
      </c>
      <c r="AC5" s="99" t="n">
        <f aca="false">'2. NPV'!AC5</f>
        <v>2045</v>
      </c>
      <c r="AD5" s="99" t="n">
        <f aca="false">'2. NPV'!AD5</f>
        <v>2046</v>
      </c>
      <c r="AE5" s="99" t="n">
        <f aca="false">'2. NPV'!AE5</f>
        <v>2047</v>
      </c>
      <c r="AF5" s="99" t="n">
        <f aca="false">'2. NPV'!AF5</f>
        <v>2048</v>
      </c>
      <c r="AG5" s="99" t="n">
        <f aca="false">'2. NPV'!AG5</f>
        <v>2049</v>
      </c>
      <c r="AH5" s="99" t="n">
        <f aca="false">'2. NPV'!AH5</f>
        <v>2050</v>
      </c>
      <c r="AI5" s="99" t="n">
        <f aca="false">'2. NPV'!AI5</f>
        <v>2051</v>
      </c>
      <c r="AJ5" s="99" t="n">
        <f aca="false">'2. NPV'!AJ5</f>
        <v>2052</v>
      </c>
      <c r="AK5" s="99" t="n">
        <f aca="false">'2. NPV'!AK5</f>
        <v>2053</v>
      </c>
      <c r="AL5" s="99" t="n">
        <f aca="false">'2. NPV'!AL5</f>
        <v>2054</v>
      </c>
    </row>
    <row r="6" customFormat="false" ht="15" hidden="false" customHeight="false" outlineLevel="0" collapsed="false">
      <c r="B6" s="6"/>
      <c r="C6" s="6"/>
      <c r="D6" s="97"/>
      <c r="E6" s="6"/>
      <c r="F6" s="6"/>
      <c r="G6" s="6"/>
      <c r="H6" s="6" t="n">
        <f aca="false">+'4.1 Revenue Build - VCU'!H$6</f>
        <v>1</v>
      </c>
      <c r="I6" s="6" t="n">
        <f aca="false">+'4.1 Revenue Build - VCU'!I$6</f>
        <v>2</v>
      </c>
      <c r="J6" s="6" t="n">
        <f aca="false">+'4.1 Revenue Build - VCU'!J$6</f>
        <v>3</v>
      </c>
      <c r="K6" s="6" t="n">
        <f aca="false">+'4.1 Revenue Build - VCU'!K$6</f>
        <v>4</v>
      </c>
      <c r="L6" s="6" t="n">
        <f aca="false">+'4.1 Revenue Build - VCU'!L$6</f>
        <v>5</v>
      </c>
      <c r="M6" s="6" t="n">
        <f aca="false">+'4.1 Revenue Build - VCU'!M$6</f>
        <v>6</v>
      </c>
      <c r="N6" s="6" t="n">
        <f aca="false">+'4.1 Revenue Build - VCU'!N$6</f>
        <v>7</v>
      </c>
      <c r="O6" s="6" t="n">
        <f aca="false">+'4.1 Revenue Build - VCU'!O$6</f>
        <v>8</v>
      </c>
      <c r="P6" s="6" t="n">
        <f aca="false">+'4.1 Revenue Build - VCU'!P$6</f>
        <v>9</v>
      </c>
      <c r="Q6" s="6" t="n">
        <f aca="false">+'4.1 Revenue Build - VCU'!Q$6</f>
        <v>10</v>
      </c>
      <c r="R6" s="6" t="n">
        <f aca="false">+'4.1 Revenue Build - VCU'!R$6</f>
        <v>11</v>
      </c>
      <c r="S6" s="6" t="n">
        <f aca="false">+'4.1 Revenue Build - VCU'!S$6</f>
        <v>12</v>
      </c>
      <c r="T6" s="6" t="n">
        <f aca="false">+'4.1 Revenue Build - VCU'!T$6</f>
        <v>13</v>
      </c>
      <c r="U6" s="6" t="n">
        <f aca="false">+'4.1 Revenue Build - VCU'!U$6</f>
        <v>14</v>
      </c>
      <c r="V6" s="6" t="n">
        <f aca="false">+'4.1 Revenue Build - VCU'!V$6</f>
        <v>15</v>
      </c>
      <c r="W6" s="6" t="n">
        <f aca="false">+'4.1 Revenue Build - VCU'!W$6</f>
        <v>16</v>
      </c>
      <c r="X6" s="6" t="n">
        <f aca="false">+'4.1 Revenue Build - VCU'!X$6</f>
        <v>17</v>
      </c>
      <c r="Y6" s="6" t="n">
        <f aca="false">+'4.1 Revenue Build - VCU'!Y$6</f>
        <v>18</v>
      </c>
      <c r="Z6" s="6" t="n">
        <f aca="false">+'4.1 Revenue Build - VCU'!Z$6</f>
        <v>19</v>
      </c>
      <c r="AA6" s="6" t="n">
        <f aca="false">+'4.1 Revenue Build - VCU'!AA$6</f>
        <v>20</v>
      </c>
      <c r="AB6" s="6" t="n">
        <f aca="false">+'4.1 Revenue Build - VCU'!AB$6</f>
        <v>21</v>
      </c>
      <c r="AC6" s="6" t="n">
        <f aca="false">+'4.1 Revenue Build - VCU'!AC$6</f>
        <v>22</v>
      </c>
      <c r="AD6" s="6" t="n">
        <f aca="false">+'4.1 Revenue Build - VCU'!AD$6</f>
        <v>23</v>
      </c>
      <c r="AE6" s="6" t="n">
        <f aca="false">+'4.1 Revenue Build - VCU'!AE$6</f>
        <v>24</v>
      </c>
      <c r="AF6" s="6" t="n">
        <f aca="false">+'4.1 Revenue Build - VCU'!AF$6</f>
        <v>25</v>
      </c>
      <c r="AG6" s="6" t="n">
        <f aca="false">+'4.1 Revenue Build - VCU'!AG$6</f>
        <v>26</v>
      </c>
      <c r="AH6" s="6" t="n">
        <f aca="false">+'4.1 Revenue Build - VCU'!AH$6</f>
        <v>27</v>
      </c>
      <c r="AI6" s="6" t="n">
        <f aca="false">+'4.1 Revenue Build - VCU'!AI$6</f>
        <v>28</v>
      </c>
      <c r="AJ6" s="6" t="n">
        <f aca="false">+'4.1 Revenue Build - VCU'!AJ$6</f>
        <v>29</v>
      </c>
      <c r="AK6" s="6" t="n">
        <f aca="false">+'4.1 Revenue Build - VCU'!AK$6</f>
        <v>30</v>
      </c>
      <c r="AL6" s="6" t="n">
        <f aca="false">+'4.1 Revenue Build - VCU'!AL$6</f>
        <v>31</v>
      </c>
    </row>
    <row r="7" customFormat="false" ht="15" hidden="false" customHeight="false" outlineLevel="0" collapsed="false">
      <c r="A7" s="0"/>
      <c r="B7" s="317"/>
      <c r="C7" s="317"/>
      <c r="D7" s="361"/>
      <c r="E7" s="317"/>
      <c r="F7" s="317"/>
      <c r="G7" s="317"/>
      <c r="H7" s="317"/>
      <c r="I7" s="317"/>
      <c r="J7" s="317"/>
      <c r="K7" s="317"/>
      <c r="L7" s="317"/>
      <c r="M7" s="317"/>
      <c r="N7" s="317"/>
      <c r="O7" s="317"/>
      <c r="P7" s="317"/>
      <c r="Q7" s="317"/>
      <c r="R7" s="317"/>
      <c r="S7" s="317"/>
      <c r="T7" s="317"/>
      <c r="U7" s="317"/>
      <c r="V7" s="317"/>
      <c r="W7" s="317"/>
      <c r="X7" s="317"/>
      <c r="Y7" s="317"/>
      <c r="Z7" s="317"/>
      <c r="AA7" s="317"/>
      <c r="AB7" s="317"/>
      <c r="AC7" s="317"/>
      <c r="AD7" s="317"/>
      <c r="AE7" s="317"/>
      <c r="AF7" s="317"/>
      <c r="AG7" s="317"/>
      <c r="AH7" s="317"/>
      <c r="AI7" s="317"/>
      <c r="AJ7" s="317"/>
      <c r="AK7" s="317"/>
      <c r="AL7" s="317"/>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c r="IX7" s="0"/>
      <c r="IY7" s="0"/>
      <c r="IZ7" s="0"/>
      <c r="JA7" s="0"/>
      <c r="JB7" s="0"/>
      <c r="JC7" s="0"/>
      <c r="JD7" s="0"/>
      <c r="JE7" s="0"/>
      <c r="JF7" s="0"/>
      <c r="JG7" s="0"/>
      <c r="JH7" s="0"/>
      <c r="JI7" s="0"/>
      <c r="JJ7" s="0"/>
      <c r="JK7" s="0"/>
      <c r="JL7" s="0"/>
      <c r="JM7" s="0"/>
      <c r="JN7" s="0"/>
      <c r="JO7" s="0"/>
      <c r="JP7" s="0"/>
      <c r="JQ7" s="0"/>
      <c r="JR7" s="0"/>
      <c r="JS7" s="0"/>
      <c r="JT7" s="0"/>
      <c r="JU7" s="0"/>
      <c r="JV7" s="0"/>
      <c r="JW7" s="0"/>
      <c r="JX7" s="0"/>
      <c r="JY7" s="0"/>
      <c r="JZ7" s="0"/>
      <c r="KA7" s="0"/>
      <c r="KB7" s="0"/>
      <c r="KC7" s="0"/>
      <c r="KD7" s="0"/>
      <c r="KE7" s="0"/>
      <c r="KF7" s="0"/>
      <c r="KG7" s="0"/>
      <c r="KH7" s="0"/>
      <c r="KI7" s="0"/>
      <c r="KJ7" s="0"/>
      <c r="KK7" s="0"/>
      <c r="KL7" s="0"/>
      <c r="KM7" s="0"/>
      <c r="KN7" s="0"/>
      <c r="KO7" s="0"/>
      <c r="KP7" s="0"/>
      <c r="KQ7" s="0"/>
      <c r="KR7" s="0"/>
      <c r="KS7" s="0"/>
      <c r="KT7" s="0"/>
      <c r="KU7" s="0"/>
      <c r="KV7" s="0"/>
      <c r="KW7" s="0"/>
      <c r="KX7" s="0"/>
      <c r="KY7" s="0"/>
      <c r="KZ7" s="0"/>
      <c r="LA7" s="0"/>
      <c r="LB7" s="0"/>
      <c r="LC7" s="0"/>
      <c r="LD7" s="0"/>
      <c r="LE7" s="0"/>
      <c r="LF7" s="0"/>
      <c r="LG7" s="0"/>
      <c r="LH7" s="0"/>
      <c r="LI7" s="0"/>
      <c r="LJ7" s="0"/>
      <c r="LK7" s="0"/>
      <c r="LL7" s="0"/>
      <c r="LM7" s="0"/>
      <c r="LN7" s="0"/>
      <c r="LO7" s="0"/>
      <c r="LP7" s="0"/>
      <c r="LQ7" s="0"/>
      <c r="LR7" s="0"/>
      <c r="LS7" s="0"/>
      <c r="LT7" s="0"/>
      <c r="LU7" s="0"/>
      <c r="LV7" s="0"/>
      <c r="LW7" s="0"/>
      <c r="LX7" s="0"/>
      <c r="LY7" s="0"/>
      <c r="LZ7" s="0"/>
      <c r="MA7" s="0"/>
      <c r="MB7" s="0"/>
      <c r="MC7" s="0"/>
      <c r="MD7" s="0"/>
      <c r="ME7" s="0"/>
      <c r="MF7" s="0"/>
      <c r="MG7" s="0"/>
      <c r="MH7" s="0"/>
      <c r="MI7" s="0"/>
      <c r="MJ7" s="0"/>
      <c r="MK7" s="0"/>
      <c r="ML7" s="0"/>
      <c r="MM7" s="0"/>
      <c r="MN7" s="0"/>
      <c r="MO7" s="0"/>
      <c r="MP7" s="0"/>
      <c r="MQ7" s="0"/>
      <c r="MR7" s="0"/>
      <c r="MS7" s="0"/>
      <c r="MT7" s="0"/>
      <c r="MU7" s="0"/>
      <c r="MV7" s="0"/>
      <c r="MW7" s="0"/>
      <c r="MX7" s="0"/>
      <c r="MY7" s="0"/>
      <c r="MZ7" s="0"/>
      <c r="NA7" s="0"/>
      <c r="NB7" s="0"/>
      <c r="NC7" s="0"/>
      <c r="ND7" s="0"/>
      <c r="NE7" s="0"/>
      <c r="NF7" s="0"/>
      <c r="NG7" s="0"/>
      <c r="NH7" s="0"/>
      <c r="NI7" s="0"/>
      <c r="NJ7" s="0"/>
      <c r="NK7" s="0"/>
      <c r="NL7" s="0"/>
      <c r="NM7" s="0"/>
      <c r="NN7" s="0"/>
      <c r="NO7" s="0"/>
      <c r="NP7" s="0"/>
      <c r="NQ7" s="0"/>
      <c r="NR7" s="0"/>
      <c r="NS7" s="0"/>
      <c r="NT7" s="0"/>
      <c r="NU7" s="0"/>
      <c r="NV7" s="0"/>
      <c r="NW7" s="0"/>
      <c r="NX7" s="0"/>
      <c r="NY7" s="0"/>
      <c r="NZ7" s="0"/>
      <c r="OA7" s="0"/>
      <c r="OB7" s="0"/>
      <c r="OC7" s="0"/>
      <c r="OD7" s="0"/>
      <c r="OE7" s="0"/>
      <c r="OF7" s="0"/>
      <c r="OG7" s="0"/>
      <c r="OH7" s="0"/>
      <c r="OI7" s="0"/>
      <c r="OJ7" s="0"/>
      <c r="OK7" s="0"/>
      <c r="OL7" s="0"/>
      <c r="OM7" s="0"/>
      <c r="ON7" s="0"/>
      <c r="OO7" s="0"/>
      <c r="OP7" s="0"/>
      <c r="OQ7" s="0"/>
      <c r="OR7" s="0"/>
      <c r="OS7" s="0"/>
      <c r="OT7" s="0"/>
      <c r="OU7" s="0"/>
      <c r="OV7" s="0"/>
      <c r="OW7" s="0"/>
      <c r="OX7" s="0"/>
      <c r="OY7" s="0"/>
      <c r="OZ7" s="0"/>
      <c r="PA7" s="0"/>
      <c r="PB7" s="0"/>
      <c r="PC7" s="0"/>
      <c r="PD7" s="0"/>
      <c r="PE7" s="0"/>
      <c r="PF7" s="0"/>
      <c r="PG7" s="0"/>
      <c r="PH7" s="0"/>
      <c r="PI7" s="0"/>
      <c r="PJ7" s="0"/>
      <c r="PK7" s="0"/>
      <c r="PL7" s="0"/>
      <c r="PM7" s="0"/>
      <c r="PN7" s="0"/>
      <c r="PO7" s="0"/>
      <c r="PP7" s="0"/>
      <c r="PQ7" s="0"/>
      <c r="PR7" s="0"/>
      <c r="PS7" s="0"/>
      <c r="PT7" s="0"/>
      <c r="PU7" s="0"/>
      <c r="PV7" s="0"/>
      <c r="PW7" s="0"/>
      <c r="PX7" s="0"/>
      <c r="PY7" s="0"/>
      <c r="PZ7" s="0"/>
      <c r="QA7" s="0"/>
      <c r="QB7" s="0"/>
      <c r="QC7" s="0"/>
      <c r="QD7" s="0"/>
      <c r="QE7" s="0"/>
      <c r="QF7" s="0"/>
      <c r="QG7" s="0"/>
      <c r="QH7" s="0"/>
      <c r="QI7" s="0"/>
      <c r="QJ7" s="0"/>
      <c r="QK7" s="0"/>
      <c r="QL7" s="0"/>
      <c r="QM7" s="0"/>
      <c r="QN7" s="0"/>
      <c r="QO7" s="0"/>
      <c r="QP7" s="0"/>
      <c r="QQ7" s="0"/>
      <c r="QR7" s="0"/>
      <c r="QS7" s="0"/>
      <c r="QT7" s="0"/>
      <c r="QU7" s="0"/>
      <c r="QV7" s="0"/>
      <c r="QW7" s="0"/>
      <c r="QX7" s="0"/>
      <c r="QY7" s="0"/>
      <c r="QZ7" s="0"/>
      <c r="RA7" s="0"/>
      <c r="RB7" s="0"/>
      <c r="RC7" s="0"/>
      <c r="RD7" s="0"/>
      <c r="RE7" s="0"/>
      <c r="RF7" s="0"/>
      <c r="RG7" s="0"/>
      <c r="RH7" s="0"/>
      <c r="RI7" s="0"/>
      <c r="RJ7" s="0"/>
      <c r="RK7" s="0"/>
      <c r="RL7" s="0"/>
      <c r="RM7" s="0"/>
      <c r="RN7" s="0"/>
      <c r="RO7" s="0"/>
      <c r="RP7" s="0"/>
      <c r="RQ7" s="0"/>
      <c r="RR7" s="0"/>
      <c r="RS7" s="0"/>
      <c r="RT7" s="0"/>
      <c r="RU7" s="0"/>
      <c r="RV7" s="0"/>
      <c r="RW7" s="0"/>
      <c r="RX7" s="0"/>
      <c r="RY7" s="0"/>
      <c r="RZ7" s="0"/>
      <c r="SA7" s="0"/>
      <c r="SB7" s="0"/>
      <c r="SC7" s="0"/>
      <c r="SD7" s="0"/>
      <c r="SE7" s="0"/>
      <c r="SF7" s="0"/>
      <c r="SG7" s="0"/>
      <c r="SH7" s="0"/>
      <c r="SI7" s="0"/>
      <c r="SJ7" s="0"/>
      <c r="SK7" s="0"/>
      <c r="SL7" s="0"/>
      <c r="SM7" s="0"/>
      <c r="SN7" s="0"/>
      <c r="SO7" s="0"/>
      <c r="SP7" s="0"/>
      <c r="SQ7" s="0"/>
      <c r="SR7" s="0"/>
      <c r="SS7" s="0"/>
      <c r="ST7" s="0"/>
      <c r="SU7" s="0"/>
      <c r="SV7" s="0"/>
      <c r="SW7" s="0"/>
      <c r="SX7" s="0"/>
      <c r="SY7" s="0"/>
      <c r="SZ7" s="0"/>
      <c r="TA7" s="0"/>
      <c r="TB7" s="0"/>
      <c r="TC7" s="0"/>
      <c r="TD7" s="0"/>
      <c r="TE7" s="0"/>
      <c r="TF7" s="0"/>
      <c r="TG7" s="0"/>
      <c r="TH7" s="0"/>
      <c r="TI7" s="0"/>
      <c r="TJ7" s="0"/>
      <c r="TK7" s="0"/>
      <c r="TL7" s="0"/>
      <c r="TM7" s="0"/>
      <c r="TN7" s="0"/>
      <c r="TO7" s="0"/>
      <c r="TP7" s="0"/>
      <c r="TQ7" s="0"/>
      <c r="TR7" s="0"/>
      <c r="TS7" s="0"/>
      <c r="TT7" s="0"/>
      <c r="TU7" s="0"/>
      <c r="TV7" s="0"/>
      <c r="TW7" s="0"/>
      <c r="TX7" s="0"/>
      <c r="TY7" s="0"/>
      <c r="TZ7" s="0"/>
      <c r="UA7" s="0"/>
      <c r="UB7" s="0"/>
      <c r="UC7" s="0"/>
      <c r="UD7" s="0"/>
      <c r="UE7" s="0"/>
      <c r="UF7" s="0"/>
      <c r="UG7" s="0"/>
      <c r="UH7" s="0"/>
      <c r="UI7" s="0"/>
      <c r="UJ7" s="0"/>
      <c r="UK7" s="0"/>
      <c r="UL7" s="0"/>
      <c r="UM7" s="0"/>
      <c r="UN7" s="0"/>
      <c r="UO7" s="0"/>
      <c r="UP7" s="0"/>
      <c r="UQ7" s="0"/>
      <c r="UR7" s="0"/>
      <c r="US7" s="0"/>
      <c r="UT7" s="0"/>
      <c r="UU7" s="0"/>
      <c r="UV7" s="0"/>
      <c r="UW7" s="0"/>
      <c r="UX7" s="0"/>
      <c r="UY7" s="0"/>
      <c r="UZ7" s="0"/>
      <c r="VA7" s="0"/>
      <c r="VB7" s="0"/>
      <c r="VC7" s="0"/>
      <c r="VD7" s="0"/>
      <c r="VE7" s="0"/>
      <c r="VF7" s="0"/>
      <c r="VG7" s="0"/>
      <c r="VH7" s="0"/>
      <c r="VI7" s="0"/>
      <c r="VJ7" s="0"/>
      <c r="VK7" s="0"/>
      <c r="VL7" s="0"/>
      <c r="VM7" s="0"/>
      <c r="VN7" s="0"/>
      <c r="VO7" s="0"/>
      <c r="VP7" s="0"/>
      <c r="VQ7" s="0"/>
      <c r="VR7" s="0"/>
      <c r="VS7" s="0"/>
      <c r="VT7" s="0"/>
      <c r="VU7" s="0"/>
      <c r="VV7" s="0"/>
      <c r="VW7" s="0"/>
      <c r="VX7" s="0"/>
      <c r="VY7" s="0"/>
      <c r="VZ7" s="0"/>
      <c r="WA7" s="0"/>
      <c r="WB7" s="0"/>
      <c r="WC7" s="0"/>
      <c r="WD7" s="0"/>
      <c r="WE7" s="0"/>
      <c r="WF7" s="0"/>
      <c r="WG7" s="0"/>
      <c r="WH7" s="0"/>
      <c r="WI7" s="0"/>
      <c r="WJ7" s="0"/>
      <c r="WK7" s="0"/>
      <c r="WL7" s="0"/>
      <c r="WM7" s="0"/>
      <c r="WN7" s="0"/>
      <c r="WO7" s="0"/>
      <c r="WP7" s="0"/>
      <c r="WQ7" s="0"/>
      <c r="WR7" s="0"/>
      <c r="WS7" s="0"/>
      <c r="WT7" s="0"/>
      <c r="WU7" s="0"/>
      <c r="WV7" s="0"/>
      <c r="WW7" s="0"/>
      <c r="WX7" s="0"/>
      <c r="WY7" s="0"/>
      <c r="WZ7" s="0"/>
      <c r="XA7" s="0"/>
      <c r="XB7" s="0"/>
      <c r="XC7" s="0"/>
      <c r="XD7" s="0"/>
      <c r="XE7" s="0"/>
      <c r="XF7" s="0"/>
      <c r="XG7" s="0"/>
      <c r="XH7" s="0"/>
      <c r="XI7" s="0"/>
      <c r="XJ7" s="0"/>
      <c r="XK7" s="0"/>
      <c r="XL7" s="0"/>
      <c r="XM7" s="0"/>
      <c r="XN7" s="0"/>
      <c r="XO7" s="0"/>
      <c r="XP7" s="0"/>
      <c r="XQ7" s="0"/>
      <c r="XR7" s="0"/>
      <c r="XS7" s="0"/>
      <c r="XT7" s="0"/>
      <c r="XU7" s="0"/>
      <c r="XV7" s="0"/>
      <c r="XW7" s="0"/>
      <c r="XX7" s="0"/>
      <c r="XY7" s="0"/>
      <c r="XZ7" s="0"/>
      <c r="YA7" s="0"/>
      <c r="YB7" s="0"/>
      <c r="YC7" s="0"/>
      <c r="YD7" s="0"/>
      <c r="YE7" s="0"/>
      <c r="YF7" s="0"/>
      <c r="YG7" s="0"/>
      <c r="YH7" s="0"/>
      <c r="YI7" s="0"/>
      <c r="YJ7" s="0"/>
      <c r="YK7" s="0"/>
      <c r="YL7" s="0"/>
      <c r="YM7" s="0"/>
      <c r="YN7" s="0"/>
      <c r="YO7" s="0"/>
      <c r="YP7" s="0"/>
      <c r="YQ7" s="0"/>
      <c r="YR7" s="0"/>
      <c r="YS7" s="0"/>
      <c r="YT7" s="0"/>
      <c r="YU7" s="0"/>
      <c r="YV7" s="0"/>
      <c r="YW7" s="0"/>
      <c r="YX7" s="0"/>
      <c r="YY7" s="0"/>
      <c r="YZ7" s="0"/>
      <c r="ZA7" s="0"/>
      <c r="ZB7" s="0"/>
      <c r="ZC7" s="0"/>
      <c r="ZD7" s="0"/>
      <c r="ZE7" s="0"/>
      <c r="ZF7" s="0"/>
      <c r="ZG7" s="0"/>
      <c r="ZH7" s="0"/>
      <c r="ZI7" s="0"/>
      <c r="ZJ7" s="0"/>
      <c r="ZK7" s="0"/>
      <c r="ZL7" s="0"/>
      <c r="ZM7" s="0"/>
      <c r="ZN7" s="0"/>
      <c r="ZO7" s="0"/>
      <c r="ZP7" s="0"/>
      <c r="ZQ7" s="0"/>
      <c r="ZR7" s="0"/>
      <c r="ZS7" s="0"/>
      <c r="ZT7" s="0"/>
      <c r="ZU7" s="0"/>
      <c r="ZV7" s="0"/>
      <c r="ZW7" s="0"/>
      <c r="ZX7" s="0"/>
      <c r="ZY7" s="0"/>
      <c r="ZZ7" s="0"/>
      <c r="AAA7" s="0"/>
      <c r="AAB7" s="0"/>
      <c r="AAC7" s="0"/>
      <c r="AAD7" s="0"/>
      <c r="AAE7" s="0"/>
      <c r="AAF7" s="0"/>
      <c r="AAG7" s="0"/>
      <c r="AAH7" s="0"/>
      <c r="AAI7" s="0"/>
      <c r="AAJ7" s="0"/>
      <c r="AAK7" s="0"/>
      <c r="AAL7" s="0"/>
      <c r="AAM7" s="0"/>
      <c r="AAN7" s="0"/>
      <c r="AAO7" s="0"/>
      <c r="AAP7" s="0"/>
      <c r="AAQ7" s="0"/>
      <c r="AAR7" s="0"/>
      <c r="AAS7" s="0"/>
      <c r="AAT7" s="0"/>
      <c r="AAU7" s="0"/>
      <c r="AAV7" s="0"/>
      <c r="AAW7" s="0"/>
      <c r="AAX7" s="0"/>
      <c r="AAY7" s="0"/>
      <c r="AAZ7" s="0"/>
      <c r="ABA7" s="0"/>
      <c r="ABB7" s="0"/>
      <c r="ABC7" s="0"/>
      <c r="ABD7" s="0"/>
      <c r="ABE7" s="0"/>
      <c r="ABF7" s="0"/>
      <c r="ABG7" s="0"/>
      <c r="ABH7" s="0"/>
      <c r="ABI7" s="0"/>
      <c r="ABJ7" s="0"/>
      <c r="ABK7" s="0"/>
      <c r="ABL7" s="0"/>
      <c r="ABM7" s="0"/>
      <c r="ABN7" s="0"/>
      <c r="ABO7" s="0"/>
      <c r="ABP7" s="0"/>
      <c r="ABQ7" s="0"/>
      <c r="ABR7" s="0"/>
      <c r="ABS7" s="0"/>
      <c r="ABT7" s="0"/>
      <c r="ABU7" s="0"/>
      <c r="ABV7" s="0"/>
      <c r="ABW7" s="0"/>
      <c r="ABX7" s="0"/>
      <c r="ABY7" s="0"/>
      <c r="ABZ7" s="0"/>
      <c r="ACA7" s="0"/>
      <c r="ACB7" s="0"/>
      <c r="ACC7" s="0"/>
      <c r="ACD7" s="0"/>
      <c r="ACE7" s="0"/>
      <c r="ACF7" s="0"/>
      <c r="ACG7" s="0"/>
      <c r="ACH7" s="0"/>
      <c r="ACI7" s="0"/>
      <c r="ACJ7" s="0"/>
      <c r="ACK7" s="0"/>
      <c r="ACL7" s="0"/>
      <c r="ACM7" s="0"/>
      <c r="ACN7" s="0"/>
      <c r="ACO7" s="0"/>
      <c r="ACP7" s="0"/>
      <c r="ACQ7" s="0"/>
      <c r="ACR7" s="0"/>
      <c r="ACS7" s="0"/>
      <c r="ACT7" s="0"/>
      <c r="ACU7" s="0"/>
      <c r="ACV7" s="0"/>
      <c r="ACW7" s="0"/>
      <c r="ACX7" s="0"/>
      <c r="ACY7" s="0"/>
      <c r="ACZ7" s="0"/>
      <c r="ADA7" s="0"/>
      <c r="ADB7" s="0"/>
      <c r="ADC7" s="0"/>
      <c r="ADD7" s="0"/>
      <c r="ADE7" s="0"/>
      <c r="ADF7" s="0"/>
      <c r="ADG7" s="0"/>
      <c r="ADH7" s="0"/>
      <c r="ADI7" s="0"/>
      <c r="ADJ7" s="0"/>
      <c r="ADK7" s="0"/>
      <c r="ADL7" s="0"/>
      <c r="ADM7" s="0"/>
      <c r="ADN7" s="0"/>
      <c r="ADO7" s="0"/>
      <c r="ADP7" s="0"/>
      <c r="ADQ7" s="0"/>
      <c r="ADR7" s="0"/>
      <c r="ADS7" s="0"/>
      <c r="ADT7" s="0"/>
      <c r="ADU7" s="0"/>
      <c r="ADV7" s="0"/>
      <c r="ADW7" s="0"/>
      <c r="ADX7" s="0"/>
      <c r="ADY7" s="0"/>
      <c r="ADZ7" s="0"/>
      <c r="AEA7" s="0"/>
      <c r="AEB7" s="0"/>
      <c r="AEC7" s="0"/>
      <c r="AED7" s="0"/>
      <c r="AEE7" s="0"/>
      <c r="AEF7" s="0"/>
      <c r="AEG7" s="0"/>
      <c r="AEH7" s="0"/>
      <c r="AEI7" s="0"/>
      <c r="AEJ7" s="0"/>
      <c r="AEK7" s="0"/>
      <c r="AEL7" s="0"/>
      <c r="AEM7" s="0"/>
      <c r="AEN7" s="0"/>
      <c r="AEO7" s="0"/>
      <c r="AEP7" s="0"/>
      <c r="AEQ7" s="0"/>
      <c r="AER7" s="0"/>
      <c r="AES7" s="0"/>
      <c r="AET7" s="0"/>
      <c r="AEU7" s="0"/>
      <c r="AEV7" s="0"/>
      <c r="AEW7" s="0"/>
      <c r="AEX7" s="0"/>
      <c r="AEY7" s="0"/>
      <c r="AEZ7" s="0"/>
      <c r="AFA7" s="0"/>
      <c r="AFB7" s="0"/>
      <c r="AFC7" s="0"/>
      <c r="AFD7" s="0"/>
      <c r="AFE7" s="0"/>
      <c r="AFF7" s="0"/>
      <c r="AFG7" s="0"/>
      <c r="AFH7" s="0"/>
      <c r="AFI7" s="0"/>
      <c r="AFJ7" s="0"/>
      <c r="AFK7" s="0"/>
      <c r="AFL7" s="0"/>
      <c r="AFM7" s="0"/>
      <c r="AFN7" s="0"/>
      <c r="AFO7" s="0"/>
      <c r="AFP7" s="0"/>
      <c r="AFQ7" s="0"/>
      <c r="AFR7" s="0"/>
      <c r="AFS7" s="0"/>
      <c r="AFT7" s="0"/>
      <c r="AFU7" s="0"/>
      <c r="AFV7" s="0"/>
      <c r="AFW7" s="0"/>
      <c r="AFX7" s="0"/>
      <c r="AFY7" s="0"/>
      <c r="AFZ7" s="0"/>
      <c r="AGA7" s="0"/>
      <c r="AGB7" s="0"/>
      <c r="AGC7" s="0"/>
      <c r="AGD7" s="0"/>
      <c r="AGE7" s="0"/>
      <c r="AGF7" s="0"/>
      <c r="AGG7" s="0"/>
      <c r="AGH7" s="0"/>
      <c r="AGI7" s="0"/>
      <c r="AGJ7" s="0"/>
      <c r="AGK7" s="0"/>
      <c r="AGL7" s="0"/>
      <c r="AGM7" s="0"/>
      <c r="AGN7" s="0"/>
      <c r="AGO7" s="0"/>
      <c r="AGP7" s="0"/>
      <c r="AGQ7" s="0"/>
      <c r="AGR7" s="0"/>
      <c r="AGS7" s="0"/>
      <c r="AGT7" s="0"/>
      <c r="AGU7" s="0"/>
      <c r="AGV7" s="0"/>
      <c r="AGW7" s="0"/>
      <c r="AGX7" s="0"/>
      <c r="AGY7" s="0"/>
      <c r="AGZ7" s="0"/>
      <c r="AHA7" s="0"/>
      <c r="AHB7" s="0"/>
      <c r="AHC7" s="0"/>
      <c r="AHD7" s="0"/>
      <c r="AHE7" s="0"/>
      <c r="AHF7" s="0"/>
      <c r="AHG7" s="0"/>
      <c r="AHH7" s="0"/>
      <c r="AHI7" s="0"/>
      <c r="AHJ7" s="0"/>
      <c r="AHK7" s="0"/>
      <c r="AHL7" s="0"/>
      <c r="AHM7" s="0"/>
      <c r="AHN7" s="0"/>
      <c r="AHO7" s="0"/>
      <c r="AHP7" s="0"/>
      <c r="AHQ7" s="0"/>
      <c r="AHR7" s="0"/>
      <c r="AHS7" s="0"/>
      <c r="AHT7" s="0"/>
      <c r="AHU7" s="0"/>
      <c r="AHV7" s="0"/>
      <c r="AHW7" s="0"/>
      <c r="AHX7" s="0"/>
      <c r="AHY7" s="0"/>
      <c r="AHZ7" s="0"/>
      <c r="AIA7" s="0"/>
      <c r="AIB7" s="0"/>
      <c r="AIC7" s="0"/>
      <c r="AID7" s="0"/>
      <c r="AIE7" s="0"/>
      <c r="AIF7" s="0"/>
      <c r="AIG7" s="0"/>
      <c r="AIH7" s="0"/>
      <c r="AII7" s="0"/>
      <c r="AIJ7" s="0"/>
      <c r="AIK7" s="0"/>
      <c r="AIL7" s="0"/>
      <c r="AIM7" s="0"/>
      <c r="AIN7" s="0"/>
      <c r="AIO7" s="0"/>
      <c r="AIP7" s="0"/>
      <c r="AIQ7" s="0"/>
      <c r="AIR7" s="0"/>
      <c r="AIS7" s="0"/>
      <c r="AIT7" s="0"/>
      <c r="AIU7" s="0"/>
      <c r="AIV7" s="0"/>
      <c r="AIW7" s="0"/>
      <c r="AIX7" s="0"/>
      <c r="AIY7" s="0"/>
      <c r="AIZ7" s="0"/>
      <c r="AJA7" s="0"/>
      <c r="AJB7" s="0"/>
      <c r="AJC7" s="0"/>
      <c r="AJD7" s="0"/>
      <c r="AJE7" s="0"/>
      <c r="AJF7" s="0"/>
      <c r="AJG7" s="0"/>
      <c r="AJH7" s="0"/>
      <c r="AJI7" s="0"/>
      <c r="AJJ7" s="0"/>
      <c r="AJK7" s="0"/>
      <c r="AJL7" s="0"/>
      <c r="AJM7" s="0"/>
      <c r="AJN7" s="0"/>
      <c r="AJO7" s="0"/>
      <c r="AJP7" s="0"/>
      <c r="AJQ7" s="0"/>
      <c r="AJR7" s="0"/>
      <c r="AJS7" s="0"/>
      <c r="AJT7" s="0"/>
      <c r="AJU7" s="0"/>
      <c r="AJV7" s="0"/>
      <c r="AJW7" s="0"/>
      <c r="AJX7" s="0"/>
      <c r="AJY7" s="0"/>
      <c r="AJZ7" s="0"/>
      <c r="AKA7" s="0"/>
      <c r="AKB7" s="0"/>
      <c r="AKC7" s="0"/>
      <c r="AKD7" s="0"/>
      <c r="AKE7" s="0"/>
      <c r="AKF7" s="0"/>
      <c r="AKG7" s="0"/>
      <c r="AKH7" s="0"/>
      <c r="AKI7" s="0"/>
      <c r="AKJ7" s="0"/>
      <c r="AKK7" s="0"/>
      <c r="AKL7" s="0"/>
      <c r="AKM7" s="0"/>
      <c r="AKN7" s="0"/>
      <c r="AKO7" s="0"/>
      <c r="AKP7" s="0"/>
      <c r="AKQ7" s="0"/>
      <c r="AKR7" s="0"/>
      <c r="AKS7" s="0"/>
      <c r="AKT7" s="0"/>
      <c r="AKU7" s="0"/>
      <c r="AKV7" s="0"/>
      <c r="AKW7" s="0"/>
      <c r="AKX7" s="0"/>
      <c r="AKY7" s="0"/>
      <c r="AKZ7" s="0"/>
      <c r="ALA7" s="0"/>
      <c r="ALB7" s="0"/>
      <c r="ALC7" s="0"/>
      <c r="ALD7" s="0"/>
      <c r="ALE7" s="0"/>
      <c r="ALF7" s="0"/>
      <c r="ALG7" s="0"/>
      <c r="ALH7" s="0"/>
      <c r="ALI7" s="0"/>
      <c r="ALJ7" s="0"/>
      <c r="ALK7" s="0"/>
      <c r="ALL7" s="0"/>
      <c r="ALM7" s="0"/>
      <c r="ALN7" s="0"/>
      <c r="ALO7" s="0"/>
      <c r="ALP7" s="0"/>
      <c r="ALQ7" s="0"/>
      <c r="ALR7" s="0"/>
      <c r="ALS7" s="0"/>
      <c r="ALT7" s="0"/>
      <c r="ALU7" s="0"/>
      <c r="ALV7" s="0"/>
      <c r="ALW7" s="0"/>
      <c r="ALX7" s="0"/>
      <c r="ALY7" s="0"/>
      <c r="ALZ7" s="0"/>
      <c r="AMA7" s="0"/>
      <c r="AMB7" s="0"/>
      <c r="AMC7" s="0"/>
      <c r="AMD7" s="0"/>
      <c r="AME7" s="0"/>
      <c r="AMF7" s="0"/>
      <c r="AMG7" s="0"/>
      <c r="AMH7" s="0"/>
      <c r="AMI7" s="0"/>
      <c r="AMJ7" s="0"/>
      <c r="AMK7" s="0"/>
      <c r="AML7" s="0"/>
      <c r="AMM7" s="0"/>
      <c r="AMN7" s="0"/>
      <c r="AMO7" s="0"/>
      <c r="AMP7" s="0"/>
      <c r="AMQ7" s="0"/>
      <c r="AMR7" s="0"/>
      <c r="AMS7" s="0"/>
      <c r="AMT7" s="0"/>
      <c r="AMU7" s="0"/>
      <c r="AMV7" s="0"/>
      <c r="AMW7" s="0"/>
      <c r="AMX7" s="0"/>
      <c r="AMY7" s="0"/>
      <c r="AMZ7" s="0"/>
      <c r="ANA7" s="0"/>
      <c r="ANB7" s="0"/>
      <c r="ANC7" s="0"/>
      <c r="AND7" s="0"/>
      <c r="ANE7" s="0"/>
      <c r="ANF7" s="0"/>
      <c r="ANG7" s="0"/>
      <c r="ANH7" s="0"/>
      <c r="ANI7" s="0"/>
      <c r="ANJ7" s="0"/>
      <c r="ANK7" s="0"/>
      <c r="ANL7" s="0"/>
      <c r="ANM7" s="0"/>
      <c r="ANN7" s="0"/>
      <c r="ANO7" s="0"/>
      <c r="ANP7" s="0"/>
      <c r="ANQ7" s="0"/>
      <c r="ANR7" s="0"/>
      <c r="ANS7" s="0"/>
      <c r="ANT7" s="0"/>
      <c r="ANU7" s="0"/>
      <c r="ANV7" s="0"/>
      <c r="ANW7" s="0"/>
      <c r="ANX7" s="0"/>
      <c r="ANY7" s="0"/>
      <c r="ANZ7" s="0"/>
      <c r="AOA7" s="0"/>
      <c r="AOB7" s="0"/>
      <c r="AOC7" s="0"/>
      <c r="AOD7" s="0"/>
      <c r="AOE7" s="0"/>
      <c r="AOF7" s="0"/>
      <c r="AOG7" s="0"/>
      <c r="AOH7" s="0"/>
      <c r="AOI7" s="0"/>
      <c r="AOJ7" s="0"/>
      <c r="AOK7" s="0"/>
      <c r="AOL7" s="0"/>
      <c r="AOM7" s="0"/>
      <c r="AON7" s="0"/>
      <c r="AOO7" s="0"/>
      <c r="AOP7" s="0"/>
      <c r="AOQ7" s="0"/>
      <c r="AOR7" s="0"/>
      <c r="AOS7" s="0"/>
      <c r="AOT7" s="0"/>
      <c r="AOU7" s="0"/>
      <c r="AOV7" s="0"/>
      <c r="AOW7" s="0"/>
      <c r="AOX7" s="0"/>
      <c r="AOY7" s="0"/>
      <c r="AOZ7" s="0"/>
      <c r="APA7" s="0"/>
      <c r="APB7" s="0"/>
      <c r="APC7" s="0"/>
      <c r="APD7" s="0"/>
      <c r="APE7" s="0"/>
      <c r="APF7" s="0"/>
      <c r="APG7" s="0"/>
      <c r="APH7" s="0"/>
      <c r="API7" s="0"/>
      <c r="APJ7" s="0"/>
      <c r="APK7" s="0"/>
      <c r="APL7" s="0"/>
      <c r="APM7" s="0"/>
      <c r="APN7" s="0"/>
      <c r="APO7" s="0"/>
      <c r="APP7" s="0"/>
      <c r="APQ7" s="0"/>
      <c r="APR7" s="0"/>
      <c r="APS7" s="0"/>
      <c r="APT7" s="0"/>
      <c r="APU7" s="0"/>
      <c r="APV7" s="0"/>
      <c r="APW7" s="0"/>
      <c r="APX7" s="0"/>
      <c r="APY7" s="0"/>
      <c r="APZ7" s="0"/>
      <c r="AQA7" s="0"/>
      <c r="AQB7" s="0"/>
      <c r="AQC7" s="0"/>
      <c r="AQD7" s="0"/>
      <c r="AQE7" s="0"/>
      <c r="AQF7" s="0"/>
      <c r="AQG7" s="0"/>
      <c r="AQH7" s="0"/>
      <c r="AQI7" s="0"/>
      <c r="AQJ7" s="0"/>
      <c r="AQK7" s="0"/>
      <c r="AQL7" s="0"/>
      <c r="AQM7" s="0"/>
      <c r="AQN7" s="0"/>
      <c r="AQO7" s="0"/>
      <c r="AQP7" s="0"/>
      <c r="AQQ7" s="0"/>
      <c r="AQR7" s="0"/>
      <c r="AQS7" s="0"/>
      <c r="AQT7" s="0"/>
      <c r="AQU7" s="0"/>
      <c r="AQV7" s="0"/>
      <c r="AQW7" s="0"/>
      <c r="AQX7" s="0"/>
      <c r="AQY7" s="0"/>
      <c r="AQZ7" s="0"/>
      <c r="ARA7" s="0"/>
      <c r="ARB7" s="0"/>
      <c r="ARC7" s="0"/>
      <c r="ARD7" s="0"/>
      <c r="ARE7" s="0"/>
      <c r="ARF7" s="0"/>
      <c r="ARG7" s="0"/>
      <c r="ARH7" s="0"/>
      <c r="ARI7" s="0"/>
      <c r="ARJ7" s="0"/>
      <c r="ARK7" s="0"/>
      <c r="ARL7" s="0"/>
      <c r="ARM7" s="0"/>
      <c r="ARN7" s="0"/>
      <c r="ARO7" s="0"/>
      <c r="ARP7" s="0"/>
      <c r="ARQ7" s="0"/>
      <c r="ARR7" s="0"/>
      <c r="ARS7" s="0"/>
      <c r="ART7" s="0"/>
      <c r="ARU7" s="0"/>
      <c r="ARV7" s="0"/>
      <c r="ARW7" s="0"/>
      <c r="ARX7" s="0"/>
      <c r="ARY7" s="0"/>
      <c r="ARZ7" s="0"/>
      <c r="ASA7" s="0"/>
      <c r="ASB7" s="0"/>
      <c r="ASC7" s="0"/>
      <c r="ASD7" s="0"/>
      <c r="ASE7" s="0"/>
      <c r="ASF7" s="0"/>
      <c r="ASG7" s="0"/>
      <c r="ASH7" s="0"/>
      <c r="ASI7" s="0"/>
      <c r="ASJ7" s="0"/>
      <c r="ASK7" s="0"/>
      <c r="ASL7" s="0"/>
      <c r="ASM7" s="0"/>
      <c r="ASN7" s="0"/>
      <c r="ASO7" s="0"/>
      <c r="ASP7" s="0"/>
      <c r="ASQ7" s="0"/>
      <c r="ASR7" s="0"/>
      <c r="ASS7" s="0"/>
      <c r="AST7" s="0"/>
      <c r="ASU7" s="0"/>
      <c r="ASV7" s="0"/>
      <c r="ASW7" s="0"/>
      <c r="ASX7" s="0"/>
      <c r="ASY7" s="0"/>
      <c r="ASZ7" s="0"/>
      <c r="ATA7" s="0"/>
      <c r="ATB7" s="0"/>
      <c r="ATC7" s="0"/>
      <c r="ATD7" s="0"/>
      <c r="ATE7" s="0"/>
      <c r="ATF7" s="0"/>
      <c r="ATG7" s="0"/>
      <c r="ATH7" s="0"/>
      <c r="ATI7" s="0"/>
      <c r="ATJ7" s="0"/>
      <c r="ATK7" s="0"/>
      <c r="ATL7" s="0"/>
      <c r="ATM7" s="0"/>
      <c r="ATN7" s="0"/>
      <c r="ATO7" s="0"/>
      <c r="ATP7" s="0"/>
      <c r="ATQ7" s="0"/>
      <c r="ATR7" s="0"/>
      <c r="ATS7" s="0"/>
      <c r="ATT7" s="0"/>
      <c r="ATU7" s="0"/>
      <c r="ATV7" s="0"/>
      <c r="ATW7" s="0"/>
      <c r="ATX7" s="0"/>
      <c r="ATY7" s="0"/>
      <c r="ATZ7" s="0"/>
      <c r="AUA7" s="0"/>
      <c r="AUB7" s="0"/>
      <c r="AUC7" s="0"/>
      <c r="AUD7" s="0"/>
      <c r="AUE7" s="0"/>
      <c r="AUF7" s="0"/>
      <c r="AUG7" s="0"/>
      <c r="AUH7" s="0"/>
      <c r="AUI7" s="0"/>
      <c r="AUJ7" s="0"/>
      <c r="AUK7" s="0"/>
      <c r="AUL7" s="0"/>
      <c r="AUM7" s="0"/>
      <c r="AUN7" s="0"/>
      <c r="AUO7" s="0"/>
      <c r="AUP7" s="0"/>
      <c r="AUQ7" s="0"/>
      <c r="AUR7" s="0"/>
      <c r="AUS7" s="0"/>
      <c r="AUT7" s="0"/>
      <c r="AUU7" s="0"/>
      <c r="AUV7" s="0"/>
      <c r="AUW7" s="0"/>
      <c r="AUX7" s="0"/>
      <c r="AUY7" s="0"/>
      <c r="AUZ7" s="0"/>
      <c r="AVA7" s="0"/>
      <c r="AVB7" s="0"/>
      <c r="AVC7" s="0"/>
      <c r="AVD7" s="0"/>
      <c r="AVE7" s="0"/>
      <c r="AVF7" s="0"/>
      <c r="AVG7" s="0"/>
      <c r="AVH7" s="0"/>
      <c r="AVI7" s="0"/>
      <c r="AVJ7" s="0"/>
      <c r="AVK7" s="0"/>
      <c r="AVL7" s="0"/>
      <c r="AVM7" s="0"/>
      <c r="AVN7" s="0"/>
      <c r="AVO7" s="0"/>
      <c r="AVP7" s="0"/>
      <c r="AVQ7" s="0"/>
      <c r="AVR7" s="0"/>
      <c r="AVS7" s="0"/>
      <c r="AVT7" s="0"/>
      <c r="AVU7" s="0"/>
      <c r="AVV7" s="0"/>
      <c r="AVW7" s="0"/>
      <c r="AVX7" s="0"/>
      <c r="AVY7" s="0"/>
      <c r="AVZ7" s="0"/>
      <c r="AWA7" s="0"/>
      <c r="AWB7" s="0"/>
      <c r="AWC7" s="0"/>
      <c r="AWD7" s="0"/>
      <c r="AWE7" s="0"/>
      <c r="AWF7" s="0"/>
      <c r="AWG7" s="0"/>
      <c r="AWH7" s="0"/>
      <c r="AWI7" s="0"/>
      <c r="AWJ7" s="0"/>
      <c r="AWK7" s="0"/>
      <c r="AWL7" s="0"/>
      <c r="AWM7" s="0"/>
      <c r="AWN7" s="0"/>
      <c r="AWO7" s="0"/>
      <c r="AWP7" s="0"/>
      <c r="AWQ7" s="0"/>
      <c r="AWR7" s="0"/>
      <c r="AWS7" s="0"/>
      <c r="AWT7" s="0"/>
      <c r="AWU7" s="0"/>
      <c r="AWV7" s="0"/>
      <c r="AWW7" s="0"/>
      <c r="AWX7" s="0"/>
      <c r="AWY7" s="0"/>
      <c r="AWZ7" s="0"/>
      <c r="AXA7" s="0"/>
      <c r="AXB7" s="0"/>
      <c r="AXC7" s="0"/>
      <c r="AXD7" s="0"/>
      <c r="AXE7" s="0"/>
      <c r="AXF7" s="0"/>
      <c r="AXG7" s="0"/>
      <c r="AXH7" s="0"/>
      <c r="AXI7" s="0"/>
      <c r="AXJ7" s="0"/>
      <c r="AXK7" s="0"/>
      <c r="AXL7" s="0"/>
      <c r="AXM7" s="0"/>
      <c r="AXN7" s="0"/>
      <c r="AXO7" s="0"/>
      <c r="AXP7" s="0"/>
      <c r="AXQ7" s="0"/>
      <c r="AXR7" s="0"/>
      <c r="AXS7" s="0"/>
      <c r="AXT7" s="0"/>
      <c r="AXU7" s="0"/>
      <c r="AXV7" s="0"/>
      <c r="AXW7" s="0"/>
      <c r="AXX7" s="0"/>
      <c r="AXY7" s="0"/>
      <c r="AXZ7" s="0"/>
      <c r="AYA7" s="0"/>
      <c r="AYB7" s="0"/>
      <c r="AYC7" s="0"/>
      <c r="AYD7" s="0"/>
      <c r="AYE7" s="0"/>
      <c r="AYF7" s="0"/>
      <c r="AYG7" s="0"/>
      <c r="AYH7" s="0"/>
      <c r="AYI7" s="0"/>
      <c r="AYJ7" s="0"/>
      <c r="AYK7" s="0"/>
      <c r="AYL7" s="0"/>
      <c r="AYM7" s="0"/>
      <c r="AYN7" s="0"/>
      <c r="AYO7" s="0"/>
      <c r="AYP7" s="0"/>
      <c r="AYQ7" s="0"/>
      <c r="AYR7" s="0"/>
      <c r="AYS7" s="0"/>
      <c r="AYT7" s="0"/>
      <c r="AYU7" s="0"/>
      <c r="AYV7" s="0"/>
      <c r="AYW7" s="0"/>
      <c r="AYX7" s="0"/>
      <c r="AYY7" s="0"/>
      <c r="AYZ7" s="0"/>
      <c r="AZA7" s="0"/>
      <c r="AZB7" s="0"/>
      <c r="AZC7" s="0"/>
      <c r="AZD7" s="0"/>
      <c r="AZE7" s="0"/>
      <c r="AZF7" s="0"/>
      <c r="AZG7" s="0"/>
      <c r="AZH7" s="0"/>
      <c r="AZI7" s="0"/>
      <c r="AZJ7" s="0"/>
      <c r="AZK7" s="0"/>
      <c r="AZL7" s="0"/>
      <c r="AZM7" s="0"/>
      <c r="AZN7" s="0"/>
      <c r="AZO7" s="0"/>
      <c r="AZP7" s="0"/>
      <c r="AZQ7" s="0"/>
      <c r="AZR7" s="0"/>
      <c r="AZS7" s="0"/>
      <c r="AZT7" s="0"/>
      <c r="AZU7" s="0"/>
      <c r="AZV7" s="0"/>
      <c r="AZW7" s="0"/>
      <c r="AZX7" s="0"/>
      <c r="AZY7" s="0"/>
      <c r="AZZ7" s="0"/>
      <c r="BAA7" s="0"/>
      <c r="BAB7" s="0"/>
      <c r="BAC7" s="0"/>
      <c r="BAD7" s="0"/>
      <c r="BAE7" s="0"/>
      <c r="BAF7" s="0"/>
      <c r="BAG7" s="0"/>
      <c r="BAH7" s="0"/>
      <c r="BAI7" s="0"/>
      <c r="BAJ7" s="0"/>
      <c r="BAK7" s="0"/>
      <c r="BAL7" s="0"/>
      <c r="BAM7" s="0"/>
      <c r="BAN7" s="0"/>
      <c r="BAO7" s="0"/>
      <c r="BAP7" s="0"/>
      <c r="BAQ7" s="0"/>
      <c r="BAR7" s="0"/>
      <c r="BAS7" s="0"/>
      <c r="BAT7" s="0"/>
      <c r="BAU7" s="0"/>
      <c r="BAV7" s="0"/>
      <c r="BAW7" s="0"/>
      <c r="BAX7" s="0"/>
      <c r="BAY7" s="0"/>
      <c r="BAZ7" s="0"/>
      <c r="BBA7" s="0"/>
      <c r="BBB7" s="0"/>
      <c r="BBC7" s="0"/>
      <c r="BBD7" s="0"/>
      <c r="BBE7" s="0"/>
      <c r="BBF7" s="0"/>
      <c r="BBG7" s="0"/>
      <c r="BBH7" s="0"/>
      <c r="BBI7" s="0"/>
      <c r="BBJ7" s="0"/>
      <c r="BBK7" s="0"/>
      <c r="BBL7" s="0"/>
      <c r="BBM7" s="0"/>
      <c r="BBN7" s="0"/>
      <c r="BBO7" s="0"/>
      <c r="BBP7" s="0"/>
      <c r="BBQ7" s="0"/>
      <c r="BBR7" s="0"/>
      <c r="BBS7" s="0"/>
      <c r="BBT7" s="0"/>
      <c r="BBU7" s="0"/>
      <c r="BBV7" s="0"/>
      <c r="BBW7" s="0"/>
      <c r="BBX7" s="0"/>
      <c r="BBY7" s="0"/>
      <c r="BBZ7" s="0"/>
      <c r="BCA7" s="0"/>
      <c r="BCB7" s="0"/>
      <c r="BCC7" s="0"/>
      <c r="BCD7" s="0"/>
      <c r="BCE7" s="0"/>
      <c r="BCF7" s="0"/>
      <c r="BCG7" s="0"/>
      <c r="BCH7" s="0"/>
      <c r="BCI7" s="0"/>
      <c r="BCJ7" s="0"/>
      <c r="BCK7" s="0"/>
      <c r="BCL7" s="0"/>
      <c r="BCM7" s="0"/>
      <c r="BCN7" s="0"/>
      <c r="BCO7" s="0"/>
      <c r="BCP7" s="0"/>
      <c r="BCQ7" s="0"/>
      <c r="BCR7" s="0"/>
      <c r="BCS7" s="0"/>
      <c r="BCT7" s="0"/>
      <c r="BCU7" s="0"/>
      <c r="BCV7" s="0"/>
      <c r="BCW7" s="0"/>
      <c r="BCX7" s="0"/>
      <c r="BCY7" s="0"/>
      <c r="BCZ7" s="0"/>
      <c r="BDA7" s="0"/>
      <c r="BDB7" s="0"/>
      <c r="BDC7" s="0"/>
      <c r="BDD7" s="0"/>
      <c r="BDE7" s="0"/>
      <c r="BDF7" s="0"/>
      <c r="BDG7" s="0"/>
      <c r="BDH7" s="0"/>
      <c r="BDI7" s="0"/>
      <c r="BDJ7" s="0"/>
      <c r="BDK7" s="0"/>
      <c r="BDL7" s="0"/>
      <c r="BDM7" s="0"/>
      <c r="BDN7" s="0"/>
      <c r="BDO7" s="0"/>
      <c r="BDP7" s="0"/>
      <c r="BDQ7" s="0"/>
      <c r="BDR7" s="0"/>
      <c r="BDS7" s="0"/>
      <c r="BDT7" s="0"/>
      <c r="BDU7" s="0"/>
      <c r="BDV7" s="0"/>
      <c r="BDW7" s="0"/>
      <c r="BDX7" s="0"/>
      <c r="BDY7" s="0"/>
      <c r="BDZ7" s="0"/>
      <c r="BEA7" s="0"/>
      <c r="BEB7" s="0"/>
      <c r="BEC7" s="0"/>
      <c r="BED7" s="0"/>
      <c r="BEE7" s="0"/>
      <c r="BEF7" s="0"/>
      <c r="BEG7" s="0"/>
      <c r="BEH7" s="0"/>
      <c r="BEI7" s="0"/>
      <c r="BEJ7" s="0"/>
      <c r="BEK7" s="0"/>
      <c r="BEL7" s="0"/>
      <c r="BEM7" s="0"/>
      <c r="BEN7" s="0"/>
      <c r="BEO7" s="0"/>
      <c r="BEP7" s="0"/>
      <c r="BEQ7" s="0"/>
      <c r="BER7" s="0"/>
      <c r="BES7" s="0"/>
      <c r="BET7" s="0"/>
      <c r="BEU7" s="0"/>
      <c r="BEV7" s="0"/>
      <c r="BEW7" s="0"/>
      <c r="BEX7" s="0"/>
      <c r="BEY7" s="0"/>
      <c r="BEZ7" s="0"/>
      <c r="BFA7" s="0"/>
      <c r="BFB7" s="0"/>
      <c r="BFC7" s="0"/>
      <c r="BFD7" s="0"/>
      <c r="BFE7" s="0"/>
      <c r="BFF7" s="0"/>
      <c r="BFG7" s="0"/>
      <c r="BFH7" s="0"/>
      <c r="BFI7" s="0"/>
      <c r="BFJ7" s="0"/>
      <c r="BFK7" s="0"/>
      <c r="BFL7" s="0"/>
      <c r="BFM7" s="0"/>
      <c r="BFN7" s="0"/>
      <c r="BFO7" s="0"/>
      <c r="BFP7" s="0"/>
      <c r="BFQ7" s="0"/>
      <c r="BFR7" s="0"/>
      <c r="BFS7" s="0"/>
      <c r="BFT7" s="0"/>
      <c r="BFU7" s="0"/>
      <c r="BFV7" s="0"/>
      <c r="BFW7" s="0"/>
      <c r="BFX7" s="0"/>
      <c r="BFY7" s="0"/>
      <c r="BFZ7" s="0"/>
      <c r="BGA7" s="0"/>
      <c r="BGB7" s="0"/>
      <c r="BGC7" s="0"/>
      <c r="BGD7" s="0"/>
      <c r="BGE7" s="0"/>
      <c r="BGF7" s="0"/>
      <c r="BGG7" s="0"/>
      <c r="BGH7" s="0"/>
      <c r="BGI7" s="0"/>
      <c r="BGJ7" s="0"/>
      <c r="BGK7" s="0"/>
      <c r="BGL7" s="0"/>
      <c r="BGM7" s="0"/>
      <c r="BGN7" s="0"/>
      <c r="BGO7" s="0"/>
      <c r="BGP7" s="0"/>
      <c r="BGQ7" s="0"/>
      <c r="BGR7" s="0"/>
      <c r="BGS7" s="0"/>
      <c r="BGT7" s="0"/>
      <c r="BGU7" s="0"/>
      <c r="BGV7" s="0"/>
      <c r="BGW7" s="0"/>
      <c r="BGX7" s="0"/>
      <c r="BGY7" s="0"/>
      <c r="BGZ7" s="0"/>
      <c r="BHA7" s="0"/>
      <c r="BHB7" s="0"/>
      <c r="BHC7" s="0"/>
      <c r="BHD7" s="0"/>
      <c r="BHE7" s="0"/>
      <c r="BHF7" s="0"/>
      <c r="BHG7" s="0"/>
      <c r="BHH7" s="0"/>
      <c r="BHI7" s="0"/>
      <c r="BHJ7" s="0"/>
      <c r="BHK7" s="0"/>
      <c r="BHL7" s="0"/>
      <c r="BHM7" s="0"/>
      <c r="BHN7" s="0"/>
      <c r="BHO7" s="0"/>
      <c r="BHP7" s="0"/>
      <c r="BHQ7" s="0"/>
      <c r="BHR7" s="0"/>
      <c r="BHS7" s="0"/>
      <c r="BHT7" s="0"/>
      <c r="BHU7" s="0"/>
      <c r="BHV7" s="0"/>
      <c r="BHW7" s="0"/>
      <c r="BHX7" s="0"/>
      <c r="BHY7" s="0"/>
      <c r="BHZ7" s="0"/>
      <c r="BIA7" s="0"/>
      <c r="BIB7" s="0"/>
      <c r="BIC7" s="0"/>
      <c r="BID7" s="0"/>
      <c r="BIE7" s="0"/>
      <c r="BIF7" s="0"/>
      <c r="BIG7" s="0"/>
      <c r="BIH7" s="0"/>
      <c r="BII7" s="0"/>
      <c r="BIJ7" s="0"/>
      <c r="BIK7" s="0"/>
      <c r="BIL7" s="0"/>
      <c r="BIM7" s="0"/>
      <c r="BIN7" s="0"/>
      <c r="BIO7" s="0"/>
      <c r="BIP7" s="0"/>
      <c r="BIQ7" s="0"/>
      <c r="BIR7" s="0"/>
      <c r="BIS7" s="0"/>
      <c r="BIT7" s="0"/>
      <c r="BIU7" s="0"/>
      <c r="BIV7" s="0"/>
      <c r="BIW7" s="0"/>
      <c r="BIX7" s="0"/>
      <c r="BIY7" s="0"/>
      <c r="BIZ7" s="0"/>
      <c r="BJA7" s="0"/>
      <c r="BJB7" s="0"/>
      <c r="BJC7" s="0"/>
      <c r="BJD7" s="0"/>
      <c r="BJE7" s="0"/>
      <c r="BJF7" s="0"/>
      <c r="BJG7" s="0"/>
      <c r="BJH7" s="0"/>
      <c r="BJI7" s="0"/>
      <c r="BJJ7" s="0"/>
      <c r="BJK7" s="0"/>
      <c r="BJL7" s="0"/>
      <c r="BJM7" s="0"/>
      <c r="BJN7" s="0"/>
      <c r="BJO7" s="0"/>
      <c r="BJP7" s="0"/>
      <c r="BJQ7" s="0"/>
      <c r="BJR7" s="0"/>
      <c r="BJS7" s="0"/>
      <c r="BJT7" s="0"/>
      <c r="BJU7" s="0"/>
      <c r="BJV7" s="0"/>
      <c r="BJW7" s="0"/>
      <c r="BJX7" s="0"/>
      <c r="BJY7" s="0"/>
      <c r="BJZ7" s="0"/>
      <c r="BKA7" s="0"/>
      <c r="BKB7" s="0"/>
      <c r="BKC7" s="0"/>
      <c r="BKD7" s="0"/>
      <c r="BKE7" s="0"/>
      <c r="BKF7" s="0"/>
      <c r="BKG7" s="0"/>
      <c r="BKH7" s="0"/>
      <c r="BKI7" s="0"/>
      <c r="BKJ7" s="0"/>
      <c r="BKK7" s="0"/>
      <c r="BKL7" s="0"/>
      <c r="BKM7" s="0"/>
      <c r="BKN7" s="0"/>
      <c r="BKO7" s="0"/>
      <c r="BKP7" s="0"/>
      <c r="BKQ7" s="0"/>
      <c r="BKR7" s="0"/>
      <c r="BKS7" s="0"/>
      <c r="BKT7" s="0"/>
      <c r="BKU7" s="0"/>
      <c r="BKV7" s="0"/>
      <c r="BKW7" s="0"/>
      <c r="BKX7" s="0"/>
      <c r="BKY7" s="0"/>
      <c r="BKZ7" s="0"/>
      <c r="BLA7" s="0"/>
      <c r="BLB7" s="0"/>
      <c r="BLC7" s="0"/>
      <c r="BLD7" s="0"/>
      <c r="BLE7" s="0"/>
      <c r="BLF7" s="0"/>
      <c r="BLG7" s="0"/>
      <c r="BLH7" s="0"/>
      <c r="BLI7" s="0"/>
      <c r="BLJ7" s="0"/>
      <c r="BLK7" s="0"/>
      <c r="BLL7" s="0"/>
      <c r="BLM7" s="0"/>
      <c r="BLN7" s="0"/>
      <c r="BLO7" s="0"/>
      <c r="BLP7" s="0"/>
      <c r="BLQ7" s="0"/>
      <c r="BLR7" s="0"/>
      <c r="BLS7" s="0"/>
      <c r="BLT7" s="0"/>
      <c r="BLU7" s="0"/>
      <c r="BLV7" s="0"/>
      <c r="BLW7" s="0"/>
      <c r="BLX7" s="0"/>
      <c r="BLY7" s="0"/>
      <c r="BLZ7" s="0"/>
      <c r="BMA7" s="0"/>
      <c r="BMB7" s="0"/>
      <c r="BMC7" s="0"/>
      <c r="BMD7" s="0"/>
      <c r="BME7" s="0"/>
      <c r="BMF7" s="0"/>
      <c r="BMG7" s="0"/>
      <c r="BMH7" s="0"/>
      <c r="BMI7" s="0"/>
      <c r="BMJ7" s="0"/>
      <c r="BMK7" s="0"/>
      <c r="BML7" s="0"/>
      <c r="BMM7" s="0"/>
      <c r="BMN7" s="0"/>
      <c r="BMO7" s="0"/>
      <c r="BMP7" s="0"/>
      <c r="BMQ7" s="0"/>
      <c r="BMR7" s="0"/>
      <c r="BMS7" s="0"/>
      <c r="BMT7" s="0"/>
      <c r="BMU7" s="0"/>
      <c r="BMV7" s="0"/>
      <c r="BMW7" s="0"/>
      <c r="BMX7" s="0"/>
      <c r="BMY7" s="0"/>
      <c r="BMZ7" s="0"/>
      <c r="BNA7" s="0"/>
      <c r="BNB7" s="0"/>
      <c r="BNC7" s="0"/>
      <c r="BND7" s="0"/>
      <c r="BNE7" s="0"/>
      <c r="BNF7" s="0"/>
      <c r="BNG7" s="0"/>
      <c r="BNH7" s="0"/>
      <c r="BNI7" s="0"/>
      <c r="BNJ7" s="0"/>
      <c r="BNK7" s="0"/>
      <c r="BNL7" s="0"/>
      <c r="BNM7" s="0"/>
      <c r="BNN7" s="0"/>
      <c r="BNO7" s="0"/>
      <c r="BNP7" s="0"/>
      <c r="BNQ7" s="0"/>
      <c r="BNR7" s="0"/>
      <c r="BNS7" s="0"/>
      <c r="BNT7" s="0"/>
      <c r="BNU7" s="0"/>
      <c r="BNV7" s="0"/>
      <c r="BNW7" s="0"/>
      <c r="BNX7" s="0"/>
      <c r="BNY7" s="0"/>
      <c r="BNZ7" s="0"/>
      <c r="BOA7" s="0"/>
      <c r="BOB7" s="0"/>
      <c r="BOC7" s="0"/>
      <c r="BOD7" s="0"/>
      <c r="BOE7" s="0"/>
      <c r="BOF7" s="0"/>
      <c r="BOG7" s="0"/>
      <c r="BOH7" s="0"/>
      <c r="BOI7" s="0"/>
      <c r="BOJ7" s="0"/>
      <c r="BOK7" s="0"/>
      <c r="BOL7" s="0"/>
      <c r="BOM7" s="0"/>
      <c r="BON7" s="0"/>
      <c r="BOO7" s="0"/>
      <c r="BOP7" s="0"/>
      <c r="BOQ7" s="0"/>
      <c r="BOR7" s="0"/>
      <c r="BOS7" s="0"/>
      <c r="BOT7" s="0"/>
      <c r="BOU7" s="0"/>
      <c r="BOV7" s="0"/>
      <c r="BOW7" s="0"/>
      <c r="BOX7" s="0"/>
      <c r="BOY7" s="0"/>
      <c r="BOZ7" s="0"/>
      <c r="BPA7" s="0"/>
      <c r="BPB7" s="0"/>
      <c r="BPC7" s="0"/>
      <c r="BPD7" s="0"/>
      <c r="BPE7" s="0"/>
      <c r="BPF7" s="0"/>
      <c r="BPG7" s="0"/>
      <c r="BPH7" s="0"/>
      <c r="BPI7" s="0"/>
      <c r="BPJ7" s="0"/>
      <c r="BPK7" s="0"/>
      <c r="BPL7" s="0"/>
      <c r="BPM7" s="0"/>
      <c r="BPN7" s="0"/>
      <c r="BPO7" s="0"/>
      <c r="BPP7" s="0"/>
      <c r="BPQ7" s="0"/>
      <c r="BPR7" s="0"/>
      <c r="BPS7" s="0"/>
      <c r="BPT7" s="0"/>
      <c r="BPU7" s="0"/>
      <c r="BPV7" s="0"/>
      <c r="BPW7" s="0"/>
      <c r="BPX7" s="0"/>
      <c r="BPY7" s="0"/>
      <c r="BPZ7" s="0"/>
      <c r="BQA7" s="0"/>
      <c r="BQB7" s="0"/>
      <c r="BQC7" s="0"/>
      <c r="BQD7" s="0"/>
      <c r="BQE7" s="0"/>
      <c r="BQF7" s="0"/>
      <c r="BQG7" s="0"/>
      <c r="BQH7" s="0"/>
      <c r="BQI7" s="0"/>
      <c r="BQJ7" s="0"/>
      <c r="BQK7" s="0"/>
      <c r="BQL7" s="0"/>
      <c r="BQM7" s="0"/>
      <c r="BQN7" s="0"/>
      <c r="BQO7" s="0"/>
      <c r="BQP7" s="0"/>
      <c r="BQQ7" s="0"/>
      <c r="BQR7" s="0"/>
      <c r="BQS7" s="0"/>
      <c r="BQT7" s="0"/>
      <c r="BQU7" s="0"/>
      <c r="BQV7" s="0"/>
      <c r="BQW7" s="0"/>
      <c r="BQX7" s="0"/>
      <c r="BQY7" s="0"/>
      <c r="BQZ7" s="0"/>
      <c r="BRA7" s="0"/>
      <c r="BRB7" s="0"/>
      <c r="BRC7" s="0"/>
      <c r="BRD7" s="0"/>
      <c r="BRE7" s="0"/>
      <c r="BRF7" s="0"/>
      <c r="BRG7" s="0"/>
      <c r="BRH7" s="0"/>
      <c r="BRI7" s="0"/>
      <c r="BRJ7" s="0"/>
      <c r="BRK7" s="0"/>
      <c r="BRL7" s="0"/>
      <c r="BRM7" s="0"/>
      <c r="BRN7" s="0"/>
      <c r="BRO7" s="0"/>
      <c r="BRP7" s="0"/>
      <c r="BRQ7" s="0"/>
      <c r="BRR7" s="0"/>
      <c r="BRS7" s="0"/>
      <c r="BRT7" s="0"/>
      <c r="BRU7" s="0"/>
      <c r="BRV7" s="0"/>
      <c r="BRW7" s="0"/>
      <c r="BRX7" s="0"/>
      <c r="BRY7" s="0"/>
      <c r="BRZ7" s="0"/>
      <c r="BSA7" s="0"/>
      <c r="BSB7" s="0"/>
      <c r="BSC7" s="0"/>
      <c r="BSD7" s="0"/>
      <c r="BSE7" s="0"/>
      <c r="BSF7" s="0"/>
      <c r="BSG7" s="0"/>
      <c r="BSH7" s="0"/>
      <c r="BSI7" s="0"/>
      <c r="BSJ7" s="0"/>
      <c r="BSK7" s="0"/>
      <c r="BSL7" s="0"/>
      <c r="BSM7" s="0"/>
      <c r="BSN7" s="0"/>
      <c r="BSO7" s="0"/>
      <c r="BSP7" s="0"/>
      <c r="BSQ7" s="0"/>
      <c r="BSR7" s="0"/>
      <c r="BSS7" s="0"/>
      <c r="BST7" s="0"/>
      <c r="BSU7" s="0"/>
      <c r="BSV7" s="0"/>
      <c r="BSW7" s="0"/>
      <c r="BSX7" s="0"/>
      <c r="BSY7" s="0"/>
      <c r="BSZ7" s="0"/>
      <c r="BTA7" s="0"/>
      <c r="BTB7" s="0"/>
      <c r="BTC7" s="0"/>
      <c r="BTD7" s="0"/>
      <c r="BTE7" s="0"/>
      <c r="BTF7" s="0"/>
      <c r="BTG7" s="0"/>
      <c r="BTH7" s="0"/>
      <c r="BTI7" s="0"/>
      <c r="BTJ7" s="0"/>
      <c r="BTK7" s="0"/>
      <c r="BTL7" s="0"/>
      <c r="BTM7" s="0"/>
      <c r="BTN7" s="0"/>
      <c r="BTO7" s="0"/>
      <c r="BTP7" s="0"/>
      <c r="BTQ7" s="0"/>
      <c r="BTR7" s="0"/>
      <c r="BTS7" s="0"/>
      <c r="BTT7" s="0"/>
      <c r="BTU7" s="0"/>
      <c r="BTV7" s="0"/>
      <c r="BTW7" s="0"/>
      <c r="BTX7" s="0"/>
      <c r="BTY7" s="0"/>
      <c r="BTZ7" s="0"/>
      <c r="BUA7" s="0"/>
      <c r="BUB7" s="0"/>
      <c r="BUC7" s="0"/>
      <c r="BUD7" s="0"/>
      <c r="BUE7" s="0"/>
      <c r="BUF7" s="0"/>
      <c r="BUG7" s="0"/>
      <c r="BUH7" s="0"/>
      <c r="BUI7" s="0"/>
      <c r="BUJ7" s="0"/>
      <c r="BUK7" s="0"/>
      <c r="BUL7" s="0"/>
      <c r="BUM7" s="0"/>
      <c r="BUN7" s="0"/>
      <c r="BUO7" s="0"/>
      <c r="BUP7" s="0"/>
      <c r="BUQ7" s="0"/>
      <c r="BUR7" s="0"/>
      <c r="BUS7" s="0"/>
      <c r="BUT7" s="0"/>
      <c r="BUU7" s="0"/>
      <c r="BUV7" s="0"/>
      <c r="BUW7" s="0"/>
      <c r="BUX7" s="0"/>
      <c r="BUY7" s="0"/>
      <c r="BUZ7" s="0"/>
      <c r="BVA7" s="0"/>
      <c r="BVB7" s="0"/>
      <c r="BVC7" s="0"/>
      <c r="BVD7" s="0"/>
      <c r="BVE7" s="0"/>
      <c r="BVF7" s="0"/>
      <c r="BVG7" s="0"/>
      <c r="BVH7" s="0"/>
      <c r="BVI7" s="0"/>
      <c r="BVJ7" s="0"/>
      <c r="BVK7" s="0"/>
      <c r="BVL7" s="0"/>
      <c r="BVM7" s="0"/>
      <c r="BVN7" s="0"/>
      <c r="BVO7" s="0"/>
      <c r="BVP7" s="0"/>
      <c r="BVQ7" s="0"/>
      <c r="BVR7" s="0"/>
      <c r="BVS7" s="0"/>
      <c r="BVT7" s="0"/>
      <c r="BVU7" s="0"/>
      <c r="BVV7" s="0"/>
      <c r="BVW7" s="0"/>
      <c r="BVX7" s="0"/>
      <c r="BVY7" s="0"/>
      <c r="BVZ7" s="0"/>
      <c r="BWA7" s="0"/>
      <c r="BWB7" s="0"/>
      <c r="BWC7" s="0"/>
      <c r="BWD7" s="0"/>
      <c r="BWE7" s="0"/>
      <c r="BWF7" s="0"/>
      <c r="BWG7" s="0"/>
      <c r="BWH7" s="0"/>
      <c r="BWI7" s="0"/>
      <c r="BWJ7" s="0"/>
      <c r="BWK7" s="0"/>
      <c r="BWL7" s="0"/>
      <c r="BWM7" s="0"/>
      <c r="BWN7" s="0"/>
      <c r="BWO7" s="0"/>
      <c r="BWP7" s="0"/>
      <c r="BWQ7" s="0"/>
      <c r="BWR7" s="0"/>
      <c r="BWS7" s="0"/>
      <c r="BWT7" s="0"/>
      <c r="BWU7" s="0"/>
      <c r="BWV7" s="0"/>
      <c r="BWW7" s="0"/>
      <c r="BWX7" s="0"/>
      <c r="BWY7" s="0"/>
      <c r="BWZ7" s="0"/>
      <c r="BXA7" s="0"/>
      <c r="BXB7" s="0"/>
      <c r="BXC7" s="0"/>
      <c r="BXD7" s="0"/>
      <c r="BXE7" s="0"/>
      <c r="BXF7" s="0"/>
      <c r="BXG7" s="0"/>
      <c r="BXH7" s="0"/>
      <c r="BXI7" s="0"/>
      <c r="BXJ7" s="0"/>
      <c r="BXK7" s="0"/>
      <c r="BXL7" s="0"/>
      <c r="BXM7" s="0"/>
      <c r="BXN7" s="0"/>
      <c r="BXO7" s="0"/>
      <c r="BXP7" s="0"/>
      <c r="BXQ7" s="0"/>
      <c r="BXR7" s="0"/>
      <c r="BXS7" s="0"/>
      <c r="BXT7" s="0"/>
      <c r="BXU7" s="0"/>
      <c r="BXV7" s="0"/>
      <c r="BXW7" s="0"/>
      <c r="BXX7" s="0"/>
      <c r="BXY7" s="0"/>
      <c r="BXZ7" s="0"/>
      <c r="BYA7" s="0"/>
      <c r="BYB7" s="0"/>
      <c r="BYC7" s="0"/>
      <c r="BYD7" s="0"/>
      <c r="BYE7" s="0"/>
      <c r="BYF7" s="0"/>
      <c r="BYG7" s="0"/>
      <c r="BYH7" s="0"/>
      <c r="BYI7" s="0"/>
      <c r="BYJ7" s="0"/>
      <c r="BYK7" s="0"/>
      <c r="BYL7" s="0"/>
      <c r="BYM7" s="0"/>
      <c r="BYN7" s="0"/>
      <c r="BYO7" s="0"/>
      <c r="BYP7" s="0"/>
      <c r="BYQ7" s="0"/>
      <c r="BYR7" s="0"/>
      <c r="BYS7" s="0"/>
      <c r="BYT7" s="0"/>
      <c r="BYU7" s="0"/>
      <c r="BYV7" s="0"/>
      <c r="BYW7" s="0"/>
      <c r="BYX7" s="0"/>
      <c r="BYY7" s="0"/>
      <c r="BYZ7" s="0"/>
      <c r="BZA7" s="0"/>
      <c r="BZB7" s="0"/>
      <c r="BZC7" s="0"/>
      <c r="BZD7" s="0"/>
      <c r="BZE7" s="0"/>
      <c r="BZF7" s="0"/>
      <c r="BZG7" s="0"/>
      <c r="BZH7" s="0"/>
      <c r="BZI7" s="0"/>
      <c r="BZJ7" s="0"/>
      <c r="BZK7" s="0"/>
      <c r="BZL7" s="0"/>
      <c r="BZM7" s="0"/>
      <c r="BZN7" s="0"/>
      <c r="BZO7" s="0"/>
      <c r="BZP7" s="0"/>
      <c r="BZQ7" s="0"/>
      <c r="BZR7" s="0"/>
      <c r="BZS7" s="0"/>
      <c r="BZT7" s="0"/>
      <c r="BZU7" s="0"/>
      <c r="BZV7" s="0"/>
      <c r="BZW7" s="0"/>
      <c r="BZX7" s="0"/>
      <c r="BZY7" s="0"/>
      <c r="BZZ7" s="0"/>
      <c r="CAA7" s="0"/>
      <c r="CAB7" s="0"/>
      <c r="CAC7" s="0"/>
      <c r="CAD7" s="0"/>
      <c r="CAE7" s="0"/>
      <c r="CAF7" s="0"/>
      <c r="CAG7" s="0"/>
      <c r="CAH7" s="0"/>
      <c r="CAI7" s="0"/>
      <c r="CAJ7" s="0"/>
      <c r="CAK7" s="0"/>
      <c r="CAL7" s="0"/>
      <c r="CAM7" s="0"/>
      <c r="CAN7" s="0"/>
      <c r="CAO7" s="0"/>
      <c r="CAP7" s="0"/>
      <c r="CAQ7" s="0"/>
      <c r="CAR7" s="0"/>
      <c r="CAS7" s="0"/>
      <c r="CAT7" s="0"/>
      <c r="CAU7" s="0"/>
      <c r="CAV7" s="0"/>
      <c r="CAW7" s="0"/>
      <c r="CAX7" s="0"/>
      <c r="CAY7" s="0"/>
      <c r="CAZ7" s="0"/>
      <c r="CBA7" s="0"/>
      <c r="CBB7" s="0"/>
      <c r="CBC7" s="0"/>
      <c r="CBD7" s="0"/>
      <c r="CBE7" s="0"/>
      <c r="CBF7" s="0"/>
      <c r="CBG7" s="0"/>
      <c r="CBH7" s="0"/>
      <c r="CBI7" s="0"/>
      <c r="CBJ7" s="0"/>
      <c r="CBK7" s="0"/>
      <c r="CBL7" s="0"/>
      <c r="CBM7" s="0"/>
      <c r="CBN7" s="0"/>
      <c r="CBO7" s="0"/>
      <c r="CBP7" s="0"/>
      <c r="CBQ7" s="0"/>
      <c r="CBR7" s="0"/>
      <c r="CBS7" s="0"/>
      <c r="CBT7" s="0"/>
      <c r="CBU7" s="0"/>
      <c r="CBV7" s="0"/>
      <c r="CBW7" s="0"/>
      <c r="CBX7" s="0"/>
      <c r="CBY7" s="0"/>
      <c r="CBZ7" s="0"/>
      <c r="CCA7" s="0"/>
      <c r="CCB7" s="0"/>
      <c r="CCC7" s="0"/>
      <c r="CCD7" s="0"/>
      <c r="CCE7" s="0"/>
      <c r="CCF7" s="0"/>
      <c r="CCG7" s="0"/>
      <c r="CCH7" s="0"/>
      <c r="CCI7" s="0"/>
      <c r="CCJ7" s="0"/>
      <c r="CCK7" s="0"/>
      <c r="CCL7" s="0"/>
      <c r="CCM7" s="0"/>
      <c r="CCN7" s="0"/>
      <c r="CCO7" s="0"/>
      <c r="CCP7" s="0"/>
      <c r="CCQ7" s="0"/>
      <c r="CCR7" s="0"/>
      <c r="CCS7" s="0"/>
      <c r="CCT7" s="0"/>
      <c r="CCU7" s="0"/>
      <c r="CCV7" s="0"/>
      <c r="CCW7" s="0"/>
      <c r="CCX7" s="0"/>
      <c r="CCY7" s="0"/>
      <c r="CCZ7" s="0"/>
      <c r="CDA7" s="0"/>
      <c r="CDB7" s="0"/>
      <c r="CDC7" s="0"/>
      <c r="CDD7" s="0"/>
      <c r="CDE7" s="0"/>
      <c r="CDF7" s="0"/>
      <c r="CDG7" s="0"/>
      <c r="CDH7" s="0"/>
      <c r="CDI7" s="0"/>
      <c r="CDJ7" s="0"/>
      <c r="CDK7" s="0"/>
      <c r="CDL7" s="0"/>
      <c r="CDM7" s="0"/>
      <c r="CDN7" s="0"/>
      <c r="CDO7" s="0"/>
      <c r="CDP7" s="0"/>
      <c r="CDQ7" s="0"/>
      <c r="CDR7" s="0"/>
      <c r="CDS7" s="0"/>
      <c r="CDT7" s="0"/>
      <c r="CDU7" s="0"/>
      <c r="CDV7" s="0"/>
      <c r="CDW7" s="0"/>
      <c r="CDX7" s="0"/>
      <c r="CDY7" s="0"/>
      <c r="CDZ7" s="0"/>
      <c r="CEA7" s="0"/>
      <c r="CEB7" s="0"/>
      <c r="CEC7" s="0"/>
      <c r="CED7" s="0"/>
      <c r="CEE7" s="0"/>
      <c r="CEF7" s="0"/>
      <c r="CEG7" s="0"/>
      <c r="CEH7" s="0"/>
      <c r="CEI7" s="0"/>
      <c r="CEJ7" s="0"/>
      <c r="CEK7" s="0"/>
      <c r="CEL7" s="0"/>
      <c r="CEM7" s="0"/>
      <c r="CEN7" s="0"/>
      <c r="CEO7" s="0"/>
      <c r="CEP7" s="0"/>
      <c r="CEQ7" s="0"/>
      <c r="CER7" s="0"/>
      <c r="CES7" s="0"/>
      <c r="CET7" s="0"/>
      <c r="CEU7" s="0"/>
      <c r="CEV7" s="0"/>
      <c r="CEW7" s="0"/>
      <c r="CEX7" s="0"/>
      <c r="CEY7" s="0"/>
      <c r="CEZ7" s="0"/>
      <c r="CFA7" s="0"/>
      <c r="CFB7" s="0"/>
      <c r="CFC7" s="0"/>
      <c r="CFD7" s="0"/>
      <c r="CFE7" s="0"/>
      <c r="CFF7" s="0"/>
      <c r="CFG7" s="0"/>
      <c r="CFH7" s="0"/>
      <c r="CFI7" s="0"/>
      <c r="CFJ7" s="0"/>
      <c r="CFK7" s="0"/>
      <c r="CFL7" s="0"/>
      <c r="CFM7" s="0"/>
      <c r="CFN7" s="0"/>
      <c r="CFO7" s="0"/>
      <c r="CFP7" s="0"/>
      <c r="CFQ7" s="0"/>
      <c r="CFR7" s="0"/>
      <c r="CFS7" s="0"/>
      <c r="CFT7" s="0"/>
      <c r="CFU7" s="0"/>
      <c r="CFV7" s="0"/>
      <c r="CFW7" s="0"/>
      <c r="CFX7" s="0"/>
      <c r="CFY7" s="0"/>
      <c r="CFZ7" s="0"/>
      <c r="CGA7" s="0"/>
      <c r="CGB7" s="0"/>
      <c r="CGC7" s="0"/>
      <c r="CGD7" s="0"/>
      <c r="CGE7" s="0"/>
      <c r="CGF7" s="0"/>
      <c r="CGG7" s="0"/>
      <c r="CGH7" s="0"/>
      <c r="CGI7" s="0"/>
      <c r="CGJ7" s="0"/>
      <c r="CGK7" s="0"/>
      <c r="CGL7" s="0"/>
      <c r="CGM7" s="0"/>
      <c r="CGN7" s="0"/>
      <c r="CGO7" s="0"/>
      <c r="CGP7" s="0"/>
      <c r="CGQ7" s="0"/>
      <c r="CGR7" s="0"/>
      <c r="CGS7" s="0"/>
      <c r="CGT7" s="0"/>
      <c r="CGU7" s="0"/>
      <c r="CGV7" s="0"/>
      <c r="CGW7" s="0"/>
      <c r="CGX7" s="0"/>
      <c r="CGY7" s="0"/>
      <c r="CGZ7" s="0"/>
      <c r="CHA7" s="0"/>
      <c r="CHB7" s="0"/>
      <c r="CHC7" s="0"/>
      <c r="CHD7" s="0"/>
      <c r="CHE7" s="0"/>
      <c r="CHF7" s="0"/>
      <c r="CHG7" s="0"/>
      <c r="CHH7" s="0"/>
      <c r="CHI7" s="0"/>
      <c r="CHJ7" s="0"/>
      <c r="CHK7" s="0"/>
      <c r="CHL7" s="0"/>
      <c r="CHM7" s="0"/>
      <c r="CHN7" s="0"/>
      <c r="CHO7" s="0"/>
      <c r="CHP7" s="0"/>
      <c r="CHQ7" s="0"/>
      <c r="CHR7" s="0"/>
      <c r="CHS7" s="0"/>
      <c r="CHT7" s="0"/>
      <c r="CHU7" s="0"/>
      <c r="CHV7" s="0"/>
      <c r="CHW7" s="0"/>
      <c r="CHX7" s="0"/>
      <c r="CHY7" s="0"/>
      <c r="CHZ7" s="0"/>
      <c r="CIA7" s="0"/>
      <c r="CIB7" s="0"/>
      <c r="CIC7" s="0"/>
      <c r="CID7" s="0"/>
      <c r="CIE7" s="0"/>
      <c r="CIF7" s="0"/>
      <c r="CIG7" s="0"/>
      <c r="CIH7" s="0"/>
      <c r="CII7" s="0"/>
      <c r="CIJ7" s="0"/>
      <c r="CIK7" s="0"/>
      <c r="CIL7" s="0"/>
      <c r="CIM7" s="0"/>
      <c r="CIN7" s="0"/>
      <c r="CIO7" s="0"/>
      <c r="CIP7" s="0"/>
      <c r="CIQ7" s="0"/>
      <c r="CIR7" s="0"/>
      <c r="CIS7" s="0"/>
      <c r="CIT7" s="0"/>
      <c r="CIU7" s="0"/>
      <c r="CIV7" s="0"/>
      <c r="CIW7" s="0"/>
      <c r="CIX7" s="0"/>
      <c r="CIY7" s="0"/>
      <c r="CIZ7" s="0"/>
      <c r="CJA7" s="0"/>
      <c r="CJB7" s="0"/>
      <c r="CJC7" s="0"/>
      <c r="CJD7" s="0"/>
      <c r="CJE7" s="0"/>
      <c r="CJF7" s="0"/>
      <c r="CJG7" s="0"/>
      <c r="CJH7" s="0"/>
      <c r="CJI7" s="0"/>
      <c r="CJJ7" s="0"/>
      <c r="CJK7" s="0"/>
      <c r="CJL7" s="0"/>
      <c r="CJM7" s="0"/>
      <c r="CJN7" s="0"/>
      <c r="CJO7" s="0"/>
      <c r="CJP7" s="0"/>
      <c r="CJQ7" s="0"/>
      <c r="CJR7" s="0"/>
      <c r="CJS7" s="0"/>
      <c r="CJT7" s="0"/>
      <c r="CJU7" s="0"/>
      <c r="CJV7" s="0"/>
      <c r="CJW7" s="0"/>
      <c r="CJX7" s="0"/>
      <c r="CJY7" s="0"/>
      <c r="CJZ7" s="0"/>
      <c r="CKA7" s="0"/>
      <c r="CKB7" s="0"/>
      <c r="CKC7" s="0"/>
      <c r="CKD7" s="0"/>
      <c r="CKE7" s="0"/>
      <c r="CKF7" s="0"/>
      <c r="CKG7" s="0"/>
      <c r="CKH7" s="0"/>
      <c r="CKI7" s="0"/>
      <c r="CKJ7" s="0"/>
      <c r="CKK7" s="0"/>
      <c r="CKL7" s="0"/>
      <c r="CKM7" s="0"/>
      <c r="CKN7" s="0"/>
      <c r="CKO7" s="0"/>
      <c r="CKP7" s="0"/>
      <c r="CKQ7" s="0"/>
      <c r="CKR7" s="0"/>
      <c r="CKS7" s="0"/>
      <c r="CKT7" s="0"/>
      <c r="CKU7" s="0"/>
      <c r="CKV7" s="0"/>
      <c r="CKW7" s="0"/>
      <c r="CKX7" s="0"/>
      <c r="CKY7" s="0"/>
      <c r="CKZ7" s="0"/>
      <c r="CLA7" s="0"/>
      <c r="CLB7" s="0"/>
      <c r="CLC7" s="0"/>
      <c r="CLD7" s="0"/>
      <c r="CLE7" s="0"/>
      <c r="CLF7" s="0"/>
      <c r="CLG7" s="0"/>
      <c r="CLH7" s="0"/>
      <c r="CLI7" s="0"/>
      <c r="CLJ7" s="0"/>
      <c r="CLK7" s="0"/>
      <c r="CLL7" s="0"/>
      <c r="CLM7" s="0"/>
      <c r="CLN7" s="0"/>
      <c r="CLO7" s="0"/>
      <c r="CLP7" s="0"/>
      <c r="CLQ7" s="0"/>
      <c r="CLR7" s="0"/>
      <c r="CLS7" s="0"/>
      <c r="CLT7" s="0"/>
      <c r="CLU7" s="0"/>
      <c r="CLV7" s="0"/>
      <c r="CLW7" s="0"/>
      <c r="CLX7" s="0"/>
      <c r="CLY7" s="0"/>
      <c r="CLZ7" s="0"/>
      <c r="CMA7" s="0"/>
      <c r="CMB7" s="0"/>
      <c r="CMC7" s="0"/>
      <c r="CMD7" s="0"/>
      <c r="CME7" s="0"/>
      <c r="CMF7" s="0"/>
      <c r="CMG7" s="0"/>
      <c r="CMH7" s="0"/>
      <c r="CMI7" s="0"/>
      <c r="CMJ7" s="0"/>
      <c r="CMK7" s="0"/>
      <c r="CML7" s="0"/>
      <c r="CMM7" s="0"/>
      <c r="CMN7" s="0"/>
      <c r="CMO7" s="0"/>
      <c r="CMP7" s="0"/>
      <c r="CMQ7" s="0"/>
      <c r="CMR7" s="0"/>
      <c r="CMS7" s="0"/>
      <c r="CMT7" s="0"/>
      <c r="CMU7" s="0"/>
      <c r="CMV7" s="0"/>
      <c r="CMW7" s="0"/>
      <c r="CMX7" s="0"/>
      <c r="CMY7" s="0"/>
      <c r="CMZ7" s="0"/>
      <c r="CNA7" s="0"/>
      <c r="CNB7" s="0"/>
      <c r="CNC7" s="0"/>
      <c r="CND7" s="0"/>
      <c r="CNE7" s="0"/>
      <c r="CNF7" s="0"/>
      <c r="CNG7" s="0"/>
      <c r="CNH7" s="0"/>
      <c r="CNI7" s="0"/>
      <c r="CNJ7" s="0"/>
      <c r="CNK7" s="0"/>
      <c r="CNL7" s="0"/>
      <c r="CNM7" s="0"/>
      <c r="CNN7" s="0"/>
      <c r="CNO7" s="0"/>
      <c r="CNP7" s="0"/>
      <c r="CNQ7" s="0"/>
      <c r="CNR7" s="0"/>
      <c r="CNS7" s="0"/>
      <c r="CNT7" s="0"/>
      <c r="CNU7" s="0"/>
      <c r="CNV7" s="0"/>
      <c r="CNW7" s="0"/>
      <c r="CNX7" s="0"/>
      <c r="CNY7" s="0"/>
      <c r="CNZ7" s="0"/>
      <c r="COA7" s="0"/>
      <c r="COB7" s="0"/>
      <c r="COC7" s="0"/>
      <c r="COD7" s="0"/>
      <c r="COE7" s="0"/>
      <c r="COF7" s="0"/>
      <c r="COG7" s="0"/>
      <c r="COH7" s="0"/>
      <c r="COI7" s="0"/>
      <c r="COJ7" s="0"/>
      <c r="COK7" s="0"/>
      <c r="COL7" s="0"/>
      <c r="COM7" s="0"/>
      <c r="CON7" s="0"/>
      <c r="COO7" s="0"/>
      <c r="COP7" s="0"/>
      <c r="COQ7" s="0"/>
      <c r="COR7" s="0"/>
      <c r="COS7" s="0"/>
      <c r="COT7" s="0"/>
      <c r="COU7" s="0"/>
      <c r="COV7" s="0"/>
      <c r="COW7" s="0"/>
      <c r="COX7" s="0"/>
      <c r="COY7" s="0"/>
      <c r="COZ7" s="0"/>
      <c r="CPA7" s="0"/>
      <c r="CPB7" s="0"/>
      <c r="CPC7" s="0"/>
      <c r="CPD7" s="0"/>
      <c r="CPE7" s="0"/>
      <c r="CPF7" s="0"/>
      <c r="CPG7" s="0"/>
      <c r="CPH7" s="0"/>
      <c r="CPI7" s="0"/>
      <c r="CPJ7" s="0"/>
      <c r="CPK7" s="0"/>
      <c r="CPL7" s="0"/>
      <c r="CPM7" s="0"/>
      <c r="CPN7" s="0"/>
      <c r="CPO7" s="0"/>
      <c r="CPP7" s="0"/>
      <c r="CPQ7" s="0"/>
      <c r="CPR7" s="0"/>
      <c r="CPS7" s="0"/>
      <c r="CPT7" s="0"/>
      <c r="CPU7" s="0"/>
      <c r="CPV7" s="0"/>
      <c r="CPW7" s="0"/>
      <c r="CPX7" s="0"/>
      <c r="CPY7" s="0"/>
      <c r="CPZ7" s="0"/>
      <c r="CQA7" s="0"/>
      <c r="CQB7" s="0"/>
      <c r="CQC7" s="0"/>
      <c r="CQD7" s="0"/>
      <c r="CQE7" s="0"/>
      <c r="CQF7" s="0"/>
      <c r="CQG7" s="0"/>
      <c r="CQH7" s="0"/>
      <c r="CQI7" s="0"/>
      <c r="CQJ7" s="0"/>
      <c r="CQK7" s="0"/>
      <c r="CQL7" s="0"/>
      <c r="CQM7" s="0"/>
      <c r="CQN7" s="0"/>
      <c r="CQO7" s="0"/>
      <c r="CQP7" s="0"/>
      <c r="CQQ7" s="0"/>
      <c r="CQR7" s="0"/>
      <c r="CQS7" s="0"/>
      <c r="CQT7" s="0"/>
      <c r="CQU7" s="0"/>
      <c r="CQV7" s="0"/>
      <c r="CQW7" s="0"/>
      <c r="CQX7" s="0"/>
      <c r="CQY7" s="0"/>
      <c r="CQZ7" s="0"/>
      <c r="CRA7" s="0"/>
      <c r="CRB7" s="0"/>
      <c r="CRC7" s="0"/>
      <c r="CRD7" s="0"/>
      <c r="CRE7" s="0"/>
      <c r="CRF7" s="0"/>
      <c r="CRG7" s="0"/>
      <c r="CRH7" s="0"/>
      <c r="CRI7" s="0"/>
      <c r="CRJ7" s="0"/>
      <c r="CRK7" s="0"/>
      <c r="CRL7" s="0"/>
      <c r="CRM7" s="0"/>
      <c r="CRN7" s="0"/>
      <c r="CRO7" s="0"/>
      <c r="CRP7" s="0"/>
      <c r="CRQ7" s="0"/>
      <c r="CRR7" s="0"/>
      <c r="CRS7" s="0"/>
      <c r="CRT7" s="0"/>
      <c r="CRU7" s="0"/>
      <c r="CRV7" s="0"/>
      <c r="CRW7" s="0"/>
      <c r="CRX7" s="0"/>
      <c r="CRY7" s="0"/>
      <c r="CRZ7" s="0"/>
      <c r="CSA7" s="0"/>
      <c r="CSB7" s="0"/>
      <c r="CSC7" s="0"/>
      <c r="CSD7" s="0"/>
      <c r="CSE7" s="0"/>
      <c r="CSF7" s="0"/>
      <c r="CSG7" s="0"/>
      <c r="CSH7" s="0"/>
      <c r="CSI7" s="0"/>
      <c r="CSJ7" s="0"/>
      <c r="CSK7" s="0"/>
      <c r="CSL7" s="0"/>
      <c r="CSM7" s="0"/>
      <c r="CSN7" s="0"/>
      <c r="CSO7" s="0"/>
      <c r="CSP7" s="0"/>
      <c r="CSQ7" s="0"/>
      <c r="CSR7" s="0"/>
      <c r="CSS7" s="0"/>
      <c r="CST7" s="0"/>
      <c r="CSU7" s="0"/>
      <c r="CSV7" s="0"/>
      <c r="CSW7" s="0"/>
      <c r="CSX7" s="0"/>
      <c r="CSY7" s="0"/>
      <c r="CSZ7" s="0"/>
      <c r="CTA7" s="0"/>
      <c r="CTB7" s="0"/>
      <c r="CTC7" s="0"/>
      <c r="CTD7" s="0"/>
      <c r="CTE7" s="0"/>
      <c r="CTF7" s="0"/>
      <c r="CTG7" s="0"/>
      <c r="CTH7" s="0"/>
      <c r="CTI7" s="0"/>
      <c r="CTJ7" s="0"/>
      <c r="CTK7" s="0"/>
      <c r="CTL7" s="0"/>
      <c r="CTM7" s="0"/>
      <c r="CTN7" s="0"/>
      <c r="CTO7" s="0"/>
      <c r="CTP7" s="0"/>
      <c r="CTQ7" s="0"/>
      <c r="CTR7" s="0"/>
      <c r="CTS7" s="0"/>
      <c r="CTT7" s="0"/>
      <c r="CTU7" s="0"/>
      <c r="CTV7" s="0"/>
      <c r="CTW7" s="0"/>
      <c r="CTX7" s="0"/>
      <c r="CTY7" s="0"/>
      <c r="CTZ7" s="0"/>
      <c r="CUA7" s="0"/>
      <c r="CUB7" s="0"/>
      <c r="CUC7" s="0"/>
      <c r="CUD7" s="0"/>
      <c r="CUE7" s="0"/>
      <c r="CUF7" s="0"/>
      <c r="CUG7" s="0"/>
      <c r="CUH7" s="0"/>
      <c r="CUI7" s="0"/>
      <c r="CUJ7" s="0"/>
      <c r="CUK7" s="0"/>
      <c r="CUL7" s="0"/>
      <c r="CUM7" s="0"/>
      <c r="CUN7" s="0"/>
      <c r="CUO7" s="0"/>
      <c r="CUP7" s="0"/>
      <c r="CUQ7" s="0"/>
      <c r="CUR7" s="0"/>
      <c r="CUS7" s="0"/>
      <c r="CUT7" s="0"/>
      <c r="CUU7" s="0"/>
      <c r="CUV7" s="0"/>
      <c r="CUW7" s="0"/>
      <c r="CUX7" s="0"/>
      <c r="CUY7" s="0"/>
      <c r="CUZ7" s="0"/>
      <c r="CVA7" s="0"/>
      <c r="CVB7" s="0"/>
      <c r="CVC7" s="0"/>
      <c r="CVD7" s="0"/>
      <c r="CVE7" s="0"/>
      <c r="CVF7" s="0"/>
      <c r="CVG7" s="0"/>
      <c r="CVH7" s="0"/>
      <c r="CVI7" s="0"/>
      <c r="CVJ7" s="0"/>
      <c r="CVK7" s="0"/>
      <c r="CVL7" s="0"/>
      <c r="CVM7" s="0"/>
      <c r="CVN7" s="0"/>
      <c r="CVO7" s="0"/>
      <c r="CVP7" s="0"/>
      <c r="CVQ7" s="0"/>
      <c r="CVR7" s="0"/>
      <c r="CVS7" s="0"/>
      <c r="CVT7" s="0"/>
      <c r="CVU7" s="0"/>
      <c r="CVV7" s="0"/>
      <c r="CVW7" s="0"/>
      <c r="CVX7" s="0"/>
      <c r="CVY7" s="0"/>
      <c r="CVZ7" s="0"/>
      <c r="CWA7" s="0"/>
      <c r="CWB7" s="0"/>
      <c r="CWC7" s="0"/>
      <c r="CWD7" s="0"/>
      <c r="CWE7" s="0"/>
      <c r="CWF7" s="0"/>
      <c r="CWG7" s="0"/>
      <c r="CWH7" s="0"/>
      <c r="CWI7" s="0"/>
      <c r="CWJ7" s="0"/>
      <c r="CWK7" s="0"/>
      <c r="CWL7" s="0"/>
      <c r="CWM7" s="0"/>
      <c r="CWN7" s="0"/>
      <c r="CWO7" s="0"/>
      <c r="CWP7" s="0"/>
      <c r="CWQ7" s="0"/>
      <c r="CWR7" s="0"/>
      <c r="CWS7" s="0"/>
      <c r="CWT7" s="0"/>
      <c r="CWU7" s="0"/>
      <c r="CWV7" s="0"/>
      <c r="CWW7" s="0"/>
      <c r="CWX7" s="0"/>
      <c r="CWY7" s="0"/>
      <c r="CWZ7" s="0"/>
      <c r="CXA7" s="0"/>
      <c r="CXB7" s="0"/>
      <c r="CXC7" s="0"/>
      <c r="CXD7" s="0"/>
      <c r="CXE7" s="0"/>
      <c r="CXF7" s="0"/>
      <c r="CXG7" s="0"/>
      <c r="CXH7" s="0"/>
      <c r="CXI7" s="0"/>
      <c r="CXJ7" s="0"/>
      <c r="CXK7" s="0"/>
      <c r="CXL7" s="0"/>
      <c r="CXM7" s="0"/>
      <c r="CXN7" s="0"/>
      <c r="CXO7" s="0"/>
      <c r="CXP7" s="0"/>
      <c r="CXQ7" s="0"/>
      <c r="CXR7" s="0"/>
      <c r="CXS7" s="0"/>
      <c r="CXT7" s="0"/>
      <c r="CXU7" s="0"/>
      <c r="CXV7" s="0"/>
      <c r="CXW7" s="0"/>
      <c r="CXX7" s="0"/>
      <c r="CXY7" s="0"/>
      <c r="CXZ7" s="0"/>
      <c r="CYA7" s="0"/>
      <c r="CYB7" s="0"/>
      <c r="CYC7" s="0"/>
      <c r="CYD7" s="0"/>
      <c r="CYE7" s="0"/>
      <c r="CYF7" s="0"/>
      <c r="CYG7" s="0"/>
      <c r="CYH7" s="0"/>
      <c r="CYI7" s="0"/>
      <c r="CYJ7" s="0"/>
      <c r="CYK7" s="0"/>
      <c r="CYL7" s="0"/>
      <c r="CYM7" s="0"/>
      <c r="CYN7" s="0"/>
      <c r="CYO7" s="0"/>
      <c r="CYP7" s="0"/>
      <c r="CYQ7" s="0"/>
      <c r="CYR7" s="0"/>
      <c r="CYS7" s="0"/>
      <c r="CYT7" s="0"/>
      <c r="CYU7" s="0"/>
      <c r="CYV7" s="0"/>
      <c r="CYW7" s="0"/>
      <c r="CYX7" s="0"/>
      <c r="CYY7" s="0"/>
      <c r="CYZ7" s="0"/>
      <c r="CZA7" s="0"/>
      <c r="CZB7" s="0"/>
      <c r="CZC7" s="0"/>
      <c r="CZD7" s="0"/>
      <c r="CZE7" s="0"/>
      <c r="CZF7" s="0"/>
      <c r="CZG7" s="0"/>
      <c r="CZH7" s="0"/>
      <c r="CZI7" s="0"/>
      <c r="CZJ7" s="0"/>
      <c r="CZK7" s="0"/>
      <c r="CZL7" s="0"/>
      <c r="CZM7" s="0"/>
      <c r="CZN7" s="0"/>
      <c r="CZO7" s="0"/>
      <c r="CZP7" s="0"/>
      <c r="CZQ7" s="0"/>
      <c r="CZR7" s="0"/>
      <c r="CZS7" s="0"/>
      <c r="CZT7" s="0"/>
      <c r="CZU7" s="0"/>
      <c r="CZV7" s="0"/>
      <c r="CZW7" s="0"/>
      <c r="CZX7" s="0"/>
      <c r="CZY7" s="0"/>
      <c r="CZZ7" s="0"/>
      <c r="DAA7" s="0"/>
      <c r="DAB7" s="0"/>
      <c r="DAC7" s="0"/>
      <c r="DAD7" s="0"/>
      <c r="DAE7" s="0"/>
      <c r="DAF7" s="0"/>
      <c r="DAG7" s="0"/>
      <c r="DAH7" s="0"/>
      <c r="DAI7" s="0"/>
      <c r="DAJ7" s="0"/>
      <c r="DAK7" s="0"/>
      <c r="DAL7" s="0"/>
      <c r="DAM7" s="0"/>
      <c r="DAN7" s="0"/>
      <c r="DAO7" s="0"/>
      <c r="DAP7" s="0"/>
      <c r="DAQ7" s="0"/>
      <c r="DAR7" s="0"/>
      <c r="DAS7" s="0"/>
      <c r="DAT7" s="0"/>
      <c r="DAU7" s="0"/>
      <c r="DAV7" s="0"/>
      <c r="DAW7" s="0"/>
      <c r="DAX7" s="0"/>
      <c r="DAY7" s="0"/>
      <c r="DAZ7" s="0"/>
      <c r="DBA7" s="0"/>
      <c r="DBB7" s="0"/>
      <c r="DBC7" s="0"/>
      <c r="DBD7" s="0"/>
      <c r="DBE7" s="0"/>
      <c r="DBF7" s="0"/>
      <c r="DBG7" s="0"/>
      <c r="DBH7" s="0"/>
      <c r="DBI7" s="0"/>
      <c r="DBJ7" s="0"/>
      <c r="DBK7" s="0"/>
      <c r="DBL7" s="0"/>
      <c r="DBM7" s="0"/>
      <c r="DBN7" s="0"/>
      <c r="DBO7" s="0"/>
      <c r="DBP7" s="0"/>
      <c r="DBQ7" s="0"/>
      <c r="DBR7" s="0"/>
      <c r="DBS7" s="0"/>
      <c r="DBT7" s="0"/>
      <c r="DBU7" s="0"/>
      <c r="DBV7" s="0"/>
      <c r="DBW7" s="0"/>
      <c r="DBX7" s="0"/>
      <c r="DBY7" s="0"/>
      <c r="DBZ7" s="0"/>
      <c r="DCA7" s="0"/>
      <c r="DCB7" s="0"/>
      <c r="DCC7" s="0"/>
      <c r="DCD7" s="0"/>
      <c r="DCE7" s="0"/>
      <c r="DCF7" s="0"/>
      <c r="DCG7" s="0"/>
      <c r="DCH7" s="0"/>
      <c r="DCI7" s="0"/>
      <c r="DCJ7" s="0"/>
      <c r="DCK7" s="0"/>
      <c r="DCL7" s="0"/>
      <c r="DCM7" s="0"/>
      <c r="DCN7" s="0"/>
      <c r="DCO7" s="0"/>
      <c r="DCP7" s="0"/>
      <c r="DCQ7" s="0"/>
      <c r="DCR7" s="0"/>
      <c r="DCS7" s="0"/>
      <c r="DCT7" s="0"/>
      <c r="DCU7" s="0"/>
      <c r="DCV7" s="0"/>
      <c r="DCW7" s="0"/>
      <c r="DCX7" s="0"/>
      <c r="DCY7" s="0"/>
      <c r="DCZ7" s="0"/>
      <c r="DDA7" s="0"/>
      <c r="DDB7" s="0"/>
      <c r="DDC7" s="0"/>
      <c r="DDD7" s="0"/>
      <c r="DDE7" s="0"/>
      <c r="DDF7" s="0"/>
      <c r="DDG7" s="0"/>
      <c r="DDH7" s="0"/>
      <c r="DDI7" s="0"/>
      <c r="DDJ7" s="0"/>
      <c r="DDK7" s="0"/>
      <c r="DDL7" s="0"/>
      <c r="DDM7" s="0"/>
      <c r="DDN7" s="0"/>
      <c r="DDO7" s="0"/>
      <c r="DDP7" s="0"/>
      <c r="DDQ7" s="0"/>
      <c r="DDR7" s="0"/>
      <c r="DDS7" s="0"/>
      <c r="DDT7" s="0"/>
      <c r="DDU7" s="0"/>
      <c r="DDV7" s="0"/>
      <c r="DDW7" s="0"/>
      <c r="DDX7" s="0"/>
      <c r="DDY7" s="0"/>
      <c r="DDZ7" s="0"/>
      <c r="DEA7" s="0"/>
      <c r="DEB7" s="0"/>
      <c r="DEC7" s="0"/>
      <c r="DED7" s="0"/>
      <c r="DEE7" s="0"/>
      <c r="DEF7" s="0"/>
      <c r="DEG7" s="0"/>
      <c r="DEH7" s="0"/>
      <c r="DEI7" s="0"/>
      <c r="DEJ7" s="0"/>
      <c r="DEK7" s="0"/>
      <c r="DEL7" s="0"/>
      <c r="DEM7" s="0"/>
      <c r="DEN7" s="0"/>
      <c r="DEO7" s="0"/>
      <c r="DEP7" s="0"/>
      <c r="DEQ7" s="0"/>
      <c r="DER7" s="0"/>
      <c r="DES7" s="0"/>
      <c r="DET7" s="0"/>
      <c r="DEU7" s="0"/>
      <c r="DEV7" s="0"/>
      <c r="DEW7" s="0"/>
      <c r="DEX7" s="0"/>
      <c r="DEY7" s="0"/>
      <c r="DEZ7" s="0"/>
      <c r="DFA7" s="0"/>
      <c r="DFB7" s="0"/>
      <c r="DFC7" s="0"/>
      <c r="DFD7" s="0"/>
      <c r="DFE7" s="0"/>
      <c r="DFF7" s="0"/>
      <c r="DFG7" s="0"/>
      <c r="DFH7" s="0"/>
      <c r="DFI7" s="0"/>
      <c r="DFJ7" s="0"/>
      <c r="DFK7" s="0"/>
      <c r="DFL7" s="0"/>
      <c r="DFM7" s="0"/>
      <c r="DFN7" s="0"/>
      <c r="DFO7" s="0"/>
      <c r="DFP7" s="0"/>
      <c r="DFQ7" s="0"/>
      <c r="DFR7" s="0"/>
      <c r="DFS7" s="0"/>
      <c r="DFT7" s="0"/>
      <c r="DFU7" s="0"/>
      <c r="DFV7" s="0"/>
      <c r="DFW7" s="0"/>
      <c r="DFX7" s="0"/>
      <c r="DFY7" s="0"/>
      <c r="DFZ7" s="0"/>
      <c r="DGA7" s="0"/>
      <c r="DGB7" s="0"/>
      <c r="DGC7" s="0"/>
      <c r="DGD7" s="0"/>
      <c r="DGE7" s="0"/>
      <c r="DGF7" s="0"/>
      <c r="DGG7" s="0"/>
      <c r="DGH7" s="0"/>
      <c r="DGI7" s="0"/>
      <c r="DGJ7" s="0"/>
      <c r="DGK7" s="0"/>
      <c r="DGL7" s="0"/>
      <c r="DGM7" s="0"/>
      <c r="DGN7" s="0"/>
      <c r="DGO7" s="0"/>
      <c r="DGP7" s="0"/>
      <c r="DGQ7" s="0"/>
      <c r="DGR7" s="0"/>
      <c r="DGS7" s="0"/>
      <c r="DGT7" s="0"/>
      <c r="DGU7" s="0"/>
      <c r="DGV7" s="0"/>
      <c r="DGW7" s="0"/>
      <c r="DGX7" s="0"/>
      <c r="DGY7" s="0"/>
      <c r="DGZ7" s="0"/>
      <c r="DHA7" s="0"/>
      <c r="DHB7" s="0"/>
      <c r="DHC7" s="0"/>
      <c r="DHD7" s="0"/>
      <c r="DHE7" s="0"/>
      <c r="DHF7" s="0"/>
      <c r="DHG7" s="0"/>
      <c r="DHH7" s="0"/>
      <c r="DHI7" s="0"/>
      <c r="DHJ7" s="0"/>
      <c r="DHK7" s="0"/>
      <c r="DHL7" s="0"/>
      <c r="DHM7" s="0"/>
      <c r="DHN7" s="0"/>
      <c r="DHO7" s="0"/>
      <c r="DHP7" s="0"/>
      <c r="DHQ7" s="0"/>
      <c r="DHR7" s="0"/>
      <c r="DHS7" s="0"/>
      <c r="DHT7" s="0"/>
      <c r="DHU7" s="0"/>
      <c r="DHV7" s="0"/>
      <c r="DHW7" s="0"/>
      <c r="DHX7" s="0"/>
      <c r="DHY7" s="0"/>
      <c r="DHZ7" s="0"/>
      <c r="DIA7" s="0"/>
      <c r="DIB7" s="0"/>
      <c r="DIC7" s="0"/>
      <c r="DID7" s="0"/>
      <c r="DIE7" s="0"/>
      <c r="DIF7" s="0"/>
      <c r="DIG7" s="0"/>
      <c r="DIH7" s="0"/>
      <c r="DII7" s="0"/>
      <c r="DIJ7" s="0"/>
      <c r="DIK7" s="0"/>
      <c r="DIL7" s="0"/>
      <c r="DIM7" s="0"/>
      <c r="DIN7" s="0"/>
      <c r="DIO7" s="0"/>
      <c r="DIP7" s="0"/>
      <c r="DIQ7" s="0"/>
      <c r="DIR7" s="0"/>
      <c r="DIS7" s="0"/>
      <c r="DIT7" s="0"/>
      <c r="DIU7" s="0"/>
      <c r="DIV7" s="0"/>
      <c r="DIW7" s="0"/>
      <c r="DIX7" s="0"/>
      <c r="DIY7" s="0"/>
      <c r="DIZ7" s="0"/>
      <c r="DJA7" s="0"/>
      <c r="DJB7" s="0"/>
      <c r="DJC7" s="0"/>
      <c r="DJD7" s="0"/>
      <c r="DJE7" s="0"/>
      <c r="DJF7" s="0"/>
      <c r="DJG7" s="0"/>
      <c r="DJH7" s="0"/>
      <c r="DJI7" s="0"/>
      <c r="DJJ7" s="0"/>
      <c r="DJK7" s="0"/>
      <c r="DJL7" s="0"/>
      <c r="DJM7" s="0"/>
      <c r="DJN7" s="0"/>
      <c r="DJO7" s="0"/>
      <c r="DJP7" s="0"/>
      <c r="DJQ7" s="0"/>
      <c r="DJR7" s="0"/>
      <c r="DJS7" s="0"/>
      <c r="DJT7" s="0"/>
      <c r="DJU7" s="0"/>
      <c r="DJV7" s="0"/>
      <c r="DJW7" s="0"/>
      <c r="DJX7" s="0"/>
      <c r="DJY7" s="0"/>
      <c r="DJZ7" s="0"/>
      <c r="DKA7" s="0"/>
      <c r="DKB7" s="0"/>
      <c r="DKC7" s="0"/>
      <c r="DKD7" s="0"/>
      <c r="DKE7" s="0"/>
      <c r="DKF7" s="0"/>
      <c r="DKG7" s="0"/>
      <c r="DKH7" s="0"/>
      <c r="DKI7" s="0"/>
      <c r="DKJ7" s="0"/>
      <c r="DKK7" s="0"/>
      <c r="DKL7" s="0"/>
      <c r="DKM7" s="0"/>
      <c r="DKN7" s="0"/>
      <c r="DKO7" s="0"/>
      <c r="DKP7" s="0"/>
      <c r="DKQ7" s="0"/>
      <c r="DKR7" s="0"/>
      <c r="DKS7" s="0"/>
      <c r="DKT7" s="0"/>
      <c r="DKU7" s="0"/>
      <c r="DKV7" s="0"/>
      <c r="DKW7" s="0"/>
      <c r="DKX7" s="0"/>
      <c r="DKY7" s="0"/>
      <c r="DKZ7" s="0"/>
      <c r="DLA7" s="0"/>
      <c r="DLB7" s="0"/>
      <c r="DLC7" s="0"/>
      <c r="DLD7" s="0"/>
      <c r="DLE7" s="0"/>
      <c r="DLF7" s="0"/>
      <c r="DLG7" s="0"/>
      <c r="DLH7" s="0"/>
      <c r="DLI7" s="0"/>
      <c r="DLJ7" s="0"/>
      <c r="DLK7" s="0"/>
      <c r="DLL7" s="0"/>
      <c r="DLM7" s="0"/>
      <c r="DLN7" s="0"/>
      <c r="DLO7" s="0"/>
      <c r="DLP7" s="0"/>
      <c r="DLQ7" s="0"/>
      <c r="DLR7" s="0"/>
      <c r="DLS7" s="0"/>
      <c r="DLT7" s="0"/>
      <c r="DLU7" s="0"/>
      <c r="DLV7" s="0"/>
      <c r="DLW7" s="0"/>
      <c r="DLX7" s="0"/>
      <c r="DLY7" s="0"/>
      <c r="DLZ7" s="0"/>
      <c r="DMA7" s="0"/>
      <c r="DMB7" s="0"/>
      <c r="DMC7" s="0"/>
      <c r="DMD7" s="0"/>
      <c r="DME7" s="0"/>
      <c r="DMF7" s="0"/>
      <c r="DMG7" s="0"/>
      <c r="DMH7" s="0"/>
      <c r="DMI7" s="0"/>
      <c r="DMJ7" s="0"/>
      <c r="DMK7" s="0"/>
      <c r="DML7" s="0"/>
      <c r="DMM7" s="0"/>
      <c r="DMN7" s="0"/>
      <c r="DMO7" s="0"/>
      <c r="DMP7" s="0"/>
      <c r="DMQ7" s="0"/>
      <c r="DMR7" s="0"/>
      <c r="DMS7" s="0"/>
      <c r="DMT7" s="0"/>
      <c r="DMU7" s="0"/>
      <c r="DMV7" s="0"/>
      <c r="DMW7" s="0"/>
      <c r="DMX7" s="0"/>
      <c r="DMY7" s="0"/>
      <c r="DMZ7" s="0"/>
      <c r="DNA7" s="0"/>
      <c r="DNB7" s="0"/>
      <c r="DNC7" s="0"/>
      <c r="DND7" s="0"/>
      <c r="DNE7" s="0"/>
      <c r="DNF7" s="0"/>
      <c r="DNG7" s="0"/>
      <c r="DNH7" s="0"/>
      <c r="DNI7" s="0"/>
      <c r="DNJ7" s="0"/>
      <c r="DNK7" s="0"/>
      <c r="DNL7" s="0"/>
      <c r="DNM7" s="0"/>
      <c r="DNN7" s="0"/>
      <c r="DNO7" s="0"/>
      <c r="DNP7" s="0"/>
      <c r="DNQ7" s="0"/>
      <c r="DNR7" s="0"/>
      <c r="DNS7" s="0"/>
      <c r="DNT7" s="0"/>
      <c r="DNU7" s="0"/>
      <c r="DNV7" s="0"/>
      <c r="DNW7" s="0"/>
      <c r="DNX7" s="0"/>
      <c r="DNY7" s="0"/>
      <c r="DNZ7" s="0"/>
      <c r="DOA7" s="0"/>
      <c r="DOB7" s="0"/>
      <c r="DOC7" s="0"/>
      <c r="DOD7" s="0"/>
      <c r="DOE7" s="0"/>
      <c r="DOF7" s="0"/>
      <c r="DOG7" s="0"/>
      <c r="DOH7" s="0"/>
      <c r="DOI7" s="0"/>
      <c r="DOJ7" s="0"/>
      <c r="DOK7" s="0"/>
      <c r="DOL7" s="0"/>
      <c r="DOM7" s="0"/>
      <c r="DON7" s="0"/>
      <c r="DOO7" s="0"/>
      <c r="DOP7" s="0"/>
      <c r="DOQ7" s="0"/>
      <c r="DOR7" s="0"/>
      <c r="DOS7" s="0"/>
      <c r="DOT7" s="0"/>
      <c r="DOU7" s="0"/>
      <c r="DOV7" s="0"/>
      <c r="DOW7" s="0"/>
      <c r="DOX7" s="0"/>
      <c r="DOY7" s="0"/>
      <c r="DOZ7" s="0"/>
      <c r="DPA7" s="0"/>
      <c r="DPB7" s="0"/>
      <c r="DPC7" s="0"/>
      <c r="DPD7" s="0"/>
      <c r="DPE7" s="0"/>
      <c r="DPF7" s="0"/>
      <c r="DPG7" s="0"/>
      <c r="DPH7" s="0"/>
      <c r="DPI7" s="0"/>
      <c r="DPJ7" s="0"/>
      <c r="DPK7" s="0"/>
      <c r="DPL7" s="0"/>
      <c r="DPM7" s="0"/>
      <c r="DPN7" s="0"/>
      <c r="DPO7" s="0"/>
      <c r="DPP7" s="0"/>
      <c r="DPQ7" s="0"/>
      <c r="DPR7" s="0"/>
      <c r="DPS7" s="0"/>
      <c r="DPT7" s="0"/>
      <c r="DPU7" s="0"/>
      <c r="DPV7" s="0"/>
      <c r="DPW7" s="0"/>
      <c r="DPX7" s="0"/>
      <c r="DPY7" s="0"/>
      <c r="DPZ7" s="0"/>
      <c r="DQA7" s="0"/>
      <c r="DQB7" s="0"/>
      <c r="DQC7" s="0"/>
      <c r="DQD7" s="0"/>
      <c r="DQE7" s="0"/>
      <c r="DQF7" s="0"/>
      <c r="DQG7" s="0"/>
      <c r="DQH7" s="0"/>
      <c r="DQI7" s="0"/>
      <c r="DQJ7" s="0"/>
      <c r="DQK7" s="0"/>
      <c r="DQL7" s="0"/>
      <c r="DQM7" s="0"/>
      <c r="DQN7" s="0"/>
      <c r="DQO7" s="0"/>
      <c r="DQP7" s="0"/>
      <c r="DQQ7" s="0"/>
      <c r="DQR7" s="0"/>
      <c r="DQS7" s="0"/>
      <c r="DQT7" s="0"/>
      <c r="DQU7" s="0"/>
      <c r="DQV7" s="0"/>
      <c r="DQW7" s="0"/>
      <c r="DQX7" s="0"/>
      <c r="DQY7" s="0"/>
      <c r="DQZ7" s="0"/>
      <c r="DRA7" s="0"/>
      <c r="DRB7" s="0"/>
      <c r="DRC7" s="0"/>
      <c r="DRD7" s="0"/>
      <c r="DRE7" s="0"/>
      <c r="DRF7" s="0"/>
      <c r="DRG7" s="0"/>
      <c r="DRH7" s="0"/>
      <c r="DRI7" s="0"/>
      <c r="DRJ7" s="0"/>
      <c r="DRK7" s="0"/>
      <c r="DRL7" s="0"/>
      <c r="DRM7" s="0"/>
      <c r="DRN7" s="0"/>
      <c r="DRO7" s="0"/>
      <c r="DRP7" s="0"/>
      <c r="DRQ7" s="0"/>
      <c r="DRR7" s="0"/>
      <c r="DRS7" s="0"/>
      <c r="DRT7" s="0"/>
      <c r="DRU7" s="0"/>
      <c r="DRV7" s="0"/>
      <c r="DRW7" s="0"/>
      <c r="DRX7" s="0"/>
      <c r="DRY7" s="0"/>
      <c r="DRZ7" s="0"/>
      <c r="DSA7" s="0"/>
      <c r="DSB7" s="0"/>
      <c r="DSC7" s="0"/>
      <c r="DSD7" s="0"/>
      <c r="DSE7" s="0"/>
      <c r="DSF7" s="0"/>
      <c r="DSG7" s="0"/>
      <c r="DSH7" s="0"/>
      <c r="DSI7" s="0"/>
      <c r="DSJ7" s="0"/>
      <c r="DSK7" s="0"/>
      <c r="DSL7" s="0"/>
      <c r="DSM7" s="0"/>
      <c r="DSN7" s="0"/>
      <c r="DSO7" s="0"/>
      <c r="DSP7" s="0"/>
      <c r="DSQ7" s="0"/>
      <c r="DSR7" s="0"/>
      <c r="DSS7" s="0"/>
      <c r="DST7" s="0"/>
      <c r="DSU7" s="0"/>
      <c r="DSV7" s="0"/>
      <c r="DSW7" s="0"/>
      <c r="DSX7" s="0"/>
      <c r="DSY7" s="0"/>
      <c r="DSZ7" s="0"/>
      <c r="DTA7" s="0"/>
      <c r="DTB7" s="0"/>
      <c r="DTC7" s="0"/>
      <c r="DTD7" s="0"/>
      <c r="DTE7" s="0"/>
      <c r="DTF7" s="0"/>
      <c r="DTG7" s="0"/>
      <c r="DTH7" s="0"/>
      <c r="DTI7" s="0"/>
      <c r="DTJ7" s="0"/>
      <c r="DTK7" s="0"/>
      <c r="DTL7" s="0"/>
      <c r="DTM7" s="0"/>
      <c r="DTN7" s="0"/>
      <c r="DTO7" s="0"/>
      <c r="DTP7" s="0"/>
      <c r="DTQ7" s="0"/>
      <c r="DTR7" s="0"/>
      <c r="DTS7" s="0"/>
      <c r="DTT7" s="0"/>
      <c r="DTU7" s="0"/>
      <c r="DTV7" s="0"/>
      <c r="DTW7" s="0"/>
      <c r="DTX7" s="0"/>
      <c r="DTY7" s="0"/>
      <c r="DTZ7" s="0"/>
      <c r="DUA7" s="0"/>
      <c r="DUB7" s="0"/>
      <c r="DUC7" s="0"/>
      <c r="DUD7" s="0"/>
      <c r="DUE7" s="0"/>
      <c r="DUF7" s="0"/>
      <c r="DUG7" s="0"/>
      <c r="DUH7" s="0"/>
      <c r="DUI7" s="0"/>
      <c r="DUJ7" s="0"/>
      <c r="DUK7" s="0"/>
      <c r="DUL7" s="0"/>
      <c r="DUM7" s="0"/>
      <c r="DUN7" s="0"/>
      <c r="DUO7" s="0"/>
      <c r="DUP7" s="0"/>
      <c r="DUQ7" s="0"/>
      <c r="DUR7" s="0"/>
      <c r="DUS7" s="0"/>
      <c r="DUT7" s="0"/>
      <c r="DUU7" s="0"/>
      <c r="DUV7" s="0"/>
      <c r="DUW7" s="0"/>
      <c r="DUX7" s="0"/>
      <c r="DUY7" s="0"/>
      <c r="DUZ7" s="0"/>
      <c r="DVA7" s="0"/>
      <c r="DVB7" s="0"/>
      <c r="DVC7" s="0"/>
      <c r="DVD7" s="0"/>
      <c r="DVE7" s="0"/>
      <c r="DVF7" s="0"/>
      <c r="DVG7" s="0"/>
      <c r="DVH7" s="0"/>
      <c r="DVI7" s="0"/>
      <c r="DVJ7" s="0"/>
      <c r="DVK7" s="0"/>
      <c r="DVL7" s="0"/>
      <c r="DVM7" s="0"/>
      <c r="DVN7" s="0"/>
      <c r="DVO7" s="0"/>
      <c r="DVP7" s="0"/>
      <c r="DVQ7" s="0"/>
      <c r="DVR7" s="0"/>
      <c r="DVS7" s="0"/>
      <c r="DVT7" s="0"/>
      <c r="DVU7" s="0"/>
      <c r="DVV7" s="0"/>
      <c r="DVW7" s="0"/>
      <c r="DVX7" s="0"/>
      <c r="DVY7" s="0"/>
      <c r="DVZ7" s="0"/>
      <c r="DWA7" s="0"/>
      <c r="DWB7" s="0"/>
      <c r="DWC7" s="0"/>
      <c r="DWD7" s="0"/>
      <c r="DWE7" s="0"/>
      <c r="DWF7" s="0"/>
      <c r="DWG7" s="0"/>
      <c r="DWH7" s="0"/>
      <c r="DWI7" s="0"/>
      <c r="DWJ7" s="0"/>
      <c r="DWK7" s="0"/>
      <c r="DWL7" s="0"/>
      <c r="DWM7" s="0"/>
      <c r="DWN7" s="0"/>
      <c r="DWO7" s="0"/>
      <c r="DWP7" s="0"/>
      <c r="DWQ7" s="0"/>
      <c r="DWR7" s="0"/>
      <c r="DWS7" s="0"/>
      <c r="DWT7" s="0"/>
      <c r="DWU7" s="0"/>
      <c r="DWV7" s="0"/>
      <c r="DWW7" s="0"/>
      <c r="DWX7" s="0"/>
      <c r="DWY7" s="0"/>
      <c r="DWZ7" s="0"/>
      <c r="DXA7" s="0"/>
      <c r="DXB7" s="0"/>
      <c r="DXC7" s="0"/>
      <c r="DXD7" s="0"/>
      <c r="DXE7" s="0"/>
      <c r="DXF7" s="0"/>
      <c r="DXG7" s="0"/>
      <c r="DXH7" s="0"/>
      <c r="DXI7" s="0"/>
      <c r="DXJ7" s="0"/>
      <c r="DXK7" s="0"/>
      <c r="DXL7" s="0"/>
      <c r="DXM7" s="0"/>
      <c r="DXN7" s="0"/>
      <c r="DXO7" s="0"/>
      <c r="DXP7" s="0"/>
      <c r="DXQ7" s="0"/>
      <c r="DXR7" s="0"/>
      <c r="DXS7" s="0"/>
      <c r="DXT7" s="0"/>
      <c r="DXU7" s="0"/>
      <c r="DXV7" s="0"/>
      <c r="DXW7" s="0"/>
      <c r="DXX7" s="0"/>
      <c r="DXY7" s="0"/>
      <c r="DXZ7" s="0"/>
      <c r="DYA7" s="0"/>
      <c r="DYB7" s="0"/>
      <c r="DYC7" s="0"/>
      <c r="DYD7" s="0"/>
      <c r="DYE7" s="0"/>
      <c r="DYF7" s="0"/>
      <c r="DYG7" s="0"/>
      <c r="DYH7" s="0"/>
      <c r="DYI7" s="0"/>
      <c r="DYJ7" s="0"/>
      <c r="DYK7" s="0"/>
      <c r="DYL7" s="0"/>
      <c r="DYM7" s="0"/>
      <c r="DYN7" s="0"/>
      <c r="DYO7" s="0"/>
      <c r="DYP7" s="0"/>
      <c r="DYQ7" s="0"/>
      <c r="DYR7" s="0"/>
      <c r="DYS7" s="0"/>
      <c r="DYT7" s="0"/>
      <c r="DYU7" s="0"/>
      <c r="DYV7" s="0"/>
      <c r="DYW7" s="0"/>
      <c r="DYX7" s="0"/>
      <c r="DYY7" s="0"/>
      <c r="DYZ7" s="0"/>
      <c r="DZA7" s="0"/>
      <c r="DZB7" s="0"/>
      <c r="DZC7" s="0"/>
      <c r="DZD7" s="0"/>
      <c r="DZE7" s="0"/>
      <c r="DZF7" s="0"/>
      <c r="DZG7" s="0"/>
      <c r="DZH7" s="0"/>
      <c r="DZI7" s="0"/>
      <c r="DZJ7" s="0"/>
      <c r="DZK7" s="0"/>
      <c r="DZL7" s="0"/>
      <c r="DZM7" s="0"/>
      <c r="DZN7" s="0"/>
      <c r="DZO7" s="0"/>
      <c r="DZP7" s="0"/>
      <c r="DZQ7" s="0"/>
      <c r="DZR7" s="0"/>
      <c r="DZS7" s="0"/>
      <c r="DZT7" s="0"/>
      <c r="DZU7" s="0"/>
      <c r="DZV7" s="0"/>
      <c r="DZW7" s="0"/>
      <c r="DZX7" s="0"/>
      <c r="DZY7" s="0"/>
      <c r="DZZ7" s="0"/>
      <c r="EAA7" s="0"/>
      <c r="EAB7" s="0"/>
      <c r="EAC7" s="0"/>
      <c r="EAD7" s="0"/>
      <c r="EAE7" s="0"/>
      <c r="EAF7" s="0"/>
      <c r="EAG7" s="0"/>
      <c r="EAH7" s="0"/>
      <c r="EAI7" s="0"/>
      <c r="EAJ7" s="0"/>
      <c r="EAK7" s="0"/>
      <c r="EAL7" s="0"/>
      <c r="EAM7" s="0"/>
      <c r="EAN7" s="0"/>
      <c r="EAO7" s="0"/>
      <c r="EAP7" s="0"/>
      <c r="EAQ7" s="0"/>
      <c r="EAR7" s="0"/>
      <c r="EAS7" s="0"/>
      <c r="EAT7" s="0"/>
      <c r="EAU7" s="0"/>
      <c r="EAV7" s="0"/>
      <c r="EAW7" s="0"/>
      <c r="EAX7" s="0"/>
      <c r="EAY7" s="0"/>
      <c r="EAZ7" s="0"/>
      <c r="EBA7" s="0"/>
      <c r="EBB7" s="0"/>
      <c r="EBC7" s="0"/>
      <c r="EBD7" s="0"/>
      <c r="EBE7" s="0"/>
      <c r="EBF7" s="0"/>
      <c r="EBG7" s="0"/>
      <c r="EBH7" s="0"/>
      <c r="EBI7" s="0"/>
      <c r="EBJ7" s="0"/>
      <c r="EBK7" s="0"/>
      <c r="EBL7" s="0"/>
      <c r="EBM7" s="0"/>
      <c r="EBN7" s="0"/>
      <c r="EBO7" s="0"/>
      <c r="EBP7" s="0"/>
      <c r="EBQ7" s="0"/>
      <c r="EBR7" s="0"/>
      <c r="EBS7" s="0"/>
      <c r="EBT7" s="0"/>
      <c r="EBU7" s="0"/>
      <c r="EBV7" s="0"/>
      <c r="EBW7" s="0"/>
      <c r="EBX7" s="0"/>
      <c r="EBY7" s="0"/>
      <c r="EBZ7" s="0"/>
      <c r="ECA7" s="0"/>
      <c r="ECB7" s="0"/>
      <c r="ECC7" s="0"/>
      <c r="ECD7" s="0"/>
      <c r="ECE7" s="0"/>
      <c r="ECF7" s="0"/>
      <c r="ECG7" s="0"/>
      <c r="ECH7" s="0"/>
      <c r="ECI7" s="0"/>
      <c r="ECJ7" s="0"/>
      <c r="ECK7" s="0"/>
      <c r="ECL7" s="0"/>
      <c r="ECM7" s="0"/>
      <c r="ECN7" s="0"/>
      <c r="ECO7" s="0"/>
      <c r="ECP7" s="0"/>
      <c r="ECQ7" s="0"/>
      <c r="ECR7" s="0"/>
      <c r="ECS7" s="0"/>
      <c r="ECT7" s="0"/>
      <c r="ECU7" s="0"/>
      <c r="ECV7" s="0"/>
      <c r="ECW7" s="0"/>
      <c r="ECX7" s="0"/>
      <c r="ECY7" s="0"/>
      <c r="ECZ7" s="0"/>
      <c r="EDA7" s="0"/>
      <c r="EDB7" s="0"/>
      <c r="EDC7" s="0"/>
      <c r="EDD7" s="0"/>
      <c r="EDE7" s="0"/>
      <c r="EDF7" s="0"/>
      <c r="EDG7" s="0"/>
      <c r="EDH7" s="0"/>
      <c r="EDI7" s="0"/>
      <c r="EDJ7" s="0"/>
      <c r="EDK7" s="0"/>
      <c r="EDL7" s="0"/>
      <c r="EDM7" s="0"/>
      <c r="EDN7" s="0"/>
      <c r="EDO7" s="0"/>
      <c r="EDP7" s="0"/>
      <c r="EDQ7" s="0"/>
      <c r="EDR7" s="0"/>
      <c r="EDS7" s="0"/>
      <c r="EDT7" s="0"/>
      <c r="EDU7" s="0"/>
      <c r="EDV7" s="0"/>
      <c r="EDW7" s="0"/>
      <c r="EDX7" s="0"/>
      <c r="EDY7" s="0"/>
      <c r="EDZ7" s="0"/>
      <c r="EEA7" s="0"/>
      <c r="EEB7" s="0"/>
      <c r="EEC7" s="0"/>
      <c r="EED7" s="0"/>
      <c r="EEE7" s="0"/>
      <c r="EEF7" s="0"/>
      <c r="EEG7" s="0"/>
      <c r="EEH7" s="0"/>
      <c r="EEI7" s="0"/>
      <c r="EEJ7" s="0"/>
      <c r="EEK7" s="0"/>
      <c r="EEL7" s="0"/>
      <c r="EEM7" s="0"/>
      <c r="EEN7" s="0"/>
      <c r="EEO7" s="0"/>
      <c r="EEP7" s="0"/>
      <c r="EEQ7" s="0"/>
      <c r="EER7" s="0"/>
      <c r="EES7" s="0"/>
      <c r="EET7" s="0"/>
      <c r="EEU7" s="0"/>
      <c r="EEV7" s="0"/>
      <c r="EEW7" s="0"/>
      <c r="EEX7" s="0"/>
      <c r="EEY7" s="0"/>
      <c r="EEZ7" s="0"/>
      <c r="EFA7" s="0"/>
      <c r="EFB7" s="0"/>
      <c r="EFC7" s="0"/>
      <c r="EFD7" s="0"/>
      <c r="EFE7" s="0"/>
      <c r="EFF7" s="0"/>
      <c r="EFG7" s="0"/>
      <c r="EFH7" s="0"/>
      <c r="EFI7" s="0"/>
      <c r="EFJ7" s="0"/>
      <c r="EFK7" s="0"/>
      <c r="EFL7" s="0"/>
      <c r="EFM7" s="0"/>
      <c r="EFN7" s="0"/>
      <c r="EFO7" s="0"/>
      <c r="EFP7" s="0"/>
      <c r="EFQ7" s="0"/>
      <c r="EFR7" s="0"/>
      <c r="EFS7" s="0"/>
      <c r="EFT7" s="0"/>
      <c r="EFU7" s="0"/>
      <c r="EFV7" s="0"/>
      <c r="EFW7" s="0"/>
      <c r="EFX7" s="0"/>
      <c r="EFY7" s="0"/>
      <c r="EFZ7" s="0"/>
      <c r="EGA7" s="0"/>
      <c r="EGB7" s="0"/>
      <c r="EGC7" s="0"/>
      <c r="EGD7" s="0"/>
      <c r="EGE7" s="0"/>
      <c r="EGF7" s="0"/>
      <c r="EGG7" s="0"/>
      <c r="EGH7" s="0"/>
      <c r="EGI7" s="0"/>
      <c r="EGJ7" s="0"/>
      <c r="EGK7" s="0"/>
      <c r="EGL7" s="0"/>
      <c r="EGM7" s="0"/>
      <c r="EGN7" s="0"/>
      <c r="EGO7" s="0"/>
      <c r="EGP7" s="0"/>
      <c r="EGQ7" s="0"/>
      <c r="EGR7" s="0"/>
      <c r="EGS7" s="0"/>
      <c r="EGT7" s="0"/>
      <c r="EGU7" s="0"/>
      <c r="EGV7" s="0"/>
      <c r="EGW7" s="0"/>
      <c r="EGX7" s="0"/>
      <c r="EGY7" s="0"/>
      <c r="EGZ7" s="0"/>
      <c r="EHA7" s="0"/>
      <c r="EHB7" s="0"/>
      <c r="EHC7" s="0"/>
      <c r="EHD7" s="0"/>
      <c r="EHE7" s="0"/>
      <c r="EHF7" s="0"/>
      <c r="EHG7" s="0"/>
      <c r="EHH7" s="0"/>
      <c r="EHI7" s="0"/>
      <c r="EHJ7" s="0"/>
      <c r="EHK7" s="0"/>
      <c r="EHL7" s="0"/>
      <c r="EHM7" s="0"/>
      <c r="EHN7" s="0"/>
      <c r="EHO7" s="0"/>
      <c r="EHP7" s="0"/>
      <c r="EHQ7" s="0"/>
      <c r="EHR7" s="0"/>
      <c r="EHS7" s="0"/>
      <c r="EHT7" s="0"/>
      <c r="EHU7" s="0"/>
      <c r="EHV7" s="0"/>
      <c r="EHW7" s="0"/>
      <c r="EHX7" s="0"/>
      <c r="EHY7" s="0"/>
      <c r="EHZ7" s="0"/>
      <c r="EIA7" s="0"/>
      <c r="EIB7" s="0"/>
      <c r="EIC7" s="0"/>
      <c r="EID7" s="0"/>
      <c r="EIE7" s="0"/>
      <c r="EIF7" s="0"/>
      <c r="EIG7" s="0"/>
      <c r="EIH7" s="0"/>
      <c r="EII7" s="0"/>
      <c r="EIJ7" s="0"/>
      <c r="EIK7" s="0"/>
      <c r="EIL7" s="0"/>
      <c r="EIM7" s="0"/>
      <c r="EIN7" s="0"/>
      <c r="EIO7" s="0"/>
      <c r="EIP7" s="0"/>
      <c r="EIQ7" s="0"/>
      <c r="EIR7" s="0"/>
      <c r="EIS7" s="0"/>
      <c r="EIT7" s="0"/>
      <c r="EIU7" s="0"/>
      <c r="EIV7" s="0"/>
      <c r="EIW7" s="0"/>
      <c r="EIX7" s="0"/>
      <c r="EIY7" s="0"/>
      <c r="EIZ7" s="0"/>
      <c r="EJA7" s="0"/>
      <c r="EJB7" s="0"/>
      <c r="EJC7" s="0"/>
      <c r="EJD7" s="0"/>
      <c r="EJE7" s="0"/>
      <c r="EJF7" s="0"/>
      <c r="EJG7" s="0"/>
      <c r="EJH7" s="0"/>
      <c r="EJI7" s="0"/>
      <c r="EJJ7" s="0"/>
      <c r="EJK7" s="0"/>
      <c r="EJL7" s="0"/>
      <c r="EJM7" s="0"/>
      <c r="EJN7" s="0"/>
      <c r="EJO7" s="0"/>
      <c r="EJP7" s="0"/>
      <c r="EJQ7" s="0"/>
      <c r="EJR7" s="0"/>
      <c r="EJS7" s="0"/>
      <c r="EJT7" s="0"/>
      <c r="EJU7" s="0"/>
      <c r="EJV7" s="0"/>
      <c r="EJW7" s="0"/>
      <c r="EJX7" s="0"/>
      <c r="EJY7" s="0"/>
      <c r="EJZ7" s="0"/>
      <c r="EKA7" s="0"/>
      <c r="EKB7" s="0"/>
      <c r="EKC7" s="0"/>
      <c r="EKD7" s="0"/>
      <c r="EKE7" s="0"/>
      <c r="EKF7" s="0"/>
      <c r="EKG7" s="0"/>
      <c r="EKH7" s="0"/>
      <c r="EKI7" s="0"/>
      <c r="EKJ7" s="0"/>
      <c r="EKK7" s="0"/>
      <c r="EKL7" s="0"/>
      <c r="EKM7" s="0"/>
      <c r="EKN7" s="0"/>
      <c r="EKO7" s="0"/>
      <c r="EKP7" s="0"/>
      <c r="EKQ7" s="0"/>
      <c r="EKR7" s="0"/>
      <c r="EKS7" s="0"/>
      <c r="EKT7" s="0"/>
      <c r="EKU7" s="0"/>
      <c r="EKV7" s="0"/>
      <c r="EKW7" s="0"/>
      <c r="EKX7" s="0"/>
      <c r="EKY7" s="0"/>
      <c r="EKZ7" s="0"/>
      <c r="ELA7" s="0"/>
      <c r="ELB7" s="0"/>
      <c r="ELC7" s="0"/>
      <c r="ELD7" s="0"/>
      <c r="ELE7" s="0"/>
      <c r="ELF7" s="0"/>
      <c r="ELG7" s="0"/>
      <c r="ELH7" s="0"/>
      <c r="ELI7" s="0"/>
      <c r="ELJ7" s="0"/>
      <c r="ELK7" s="0"/>
      <c r="ELL7" s="0"/>
      <c r="ELM7" s="0"/>
      <c r="ELN7" s="0"/>
      <c r="ELO7" s="0"/>
      <c r="ELP7" s="0"/>
      <c r="ELQ7" s="0"/>
      <c r="ELR7" s="0"/>
      <c r="ELS7" s="0"/>
      <c r="ELT7" s="0"/>
      <c r="ELU7" s="0"/>
      <c r="ELV7" s="0"/>
      <c r="ELW7" s="0"/>
      <c r="ELX7" s="0"/>
      <c r="ELY7" s="0"/>
      <c r="ELZ7" s="0"/>
      <c r="EMA7" s="0"/>
      <c r="EMB7" s="0"/>
      <c r="EMC7" s="0"/>
      <c r="EMD7" s="0"/>
      <c r="EME7" s="0"/>
      <c r="EMF7" s="0"/>
      <c r="EMG7" s="0"/>
      <c r="EMH7" s="0"/>
      <c r="EMI7" s="0"/>
      <c r="EMJ7" s="0"/>
      <c r="EMK7" s="0"/>
      <c r="EML7" s="0"/>
      <c r="EMM7" s="0"/>
      <c r="EMN7" s="0"/>
      <c r="EMO7" s="0"/>
      <c r="EMP7" s="0"/>
      <c r="EMQ7" s="0"/>
      <c r="EMR7" s="0"/>
      <c r="EMS7" s="0"/>
      <c r="EMT7" s="0"/>
      <c r="EMU7" s="0"/>
      <c r="EMV7" s="0"/>
      <c r="EMW7" s="0"/>
      <c r="EMX7" s="0"/>
      <c r="EMY7" s="0"/>
      <c r="EMZ7" s="0"/>
      <c r="ENA7" s="0"/>
      <c r="ENB7" s="0"/>
      <c r="ENC7" s="0"/>
      <c r="END7" s="0"/>
      <c r="ENE7" s="0"/>
      <c r="ENF7" s="0"/>
      <c r="ENG7" s="0"/>
      <c r="ENH7" s="0"/>
      <c r="ENI7" s="0"/>
      <c r="ENJ7" s="0"/>
      <c r="ENK7" s="0"/>
      <c r="ENL7" s="0"/>
      <c r="ENM7" s="0"/>
      <c r="ENN7" s="0"/>
      <c r="ENO7" s="0"/>
      <c r="ENP7" s="0"/>
      <c r="ENQ7" s="0"/>
      <c r="ENR7" s="0"/>
      <c r="ENS7" s="0"/>
      <c r="ENT7" s="0"/>
      <c r="ENU7" s="0"/>
      <c r="ENV7" s="0"/>
      <c r="ENW7" s="0"/>
      <c r="ENX7" s="0"/>
      <c r="ENY7" s="0"/>
      <c r="ENZ7" s="0"/>
      <c r="EOA7" s="0"/>
      <c r="EOB7" s="0"/>
      <c r="EOC7" s="0"/>
      <c r="EOD7" s="0"/>
      <c r="EOE7" s="0"/>
      <c r="EOF7" s="0"/>
      <c r="EOG7" s="0"/>
      <c r="EOH7" s="0"/>
      <c r="EOI7" s="0"/>
      <c r="EOJ7" s="0"/>
      <c r="EOK7" s="0"/>
      <c r="EOL7" s="0"/>
      <c r="EOM7" s="0"/>
      <c r="EON7" s="0"/>
      <c r="EOO7" s="0"/>
      <c r="EOP7" s="0"/>
      <c r="EOQ7" s="0"/>
      <c r="EOR7" s="0"/>
      <c r="EOS7" s="0"/>
      <c r="EOT7" s="0"/>
      <c r="EOU7" s="0"/>
      <c r="EOV7" s="0"/>
      <c r="EOW7" s="0"/>
      <c r="EOX7" s="0"/>
      <c r="EOY7" s="0"/>
      <c r="EOZ7" s="0"/>
      <c r="EPA7" s="0"/>
      <c r="EPB7" s="0"/>
      <c r="EPC7" s="0"/>
      <c r="EPD7" s="0"/>
      <c r="EPE7" s="0"/>
      <c r="EPF7" s="0"/>
      <c r="EPG7" s="0"/>
      <c r="EPH7" s="0"/>
      <c r="EPI7" s="0"/>
      <c r="EPJ7" s="0"/>
      <c r="EPK7" s="0"/>
      <c r="EPL7" s="0"/>
      <c r="EPM7" s="0"/>
      <c r="EPN7" s="0"/>
      <c r="EPO7" s="0"/>
      <c r="EPP7" s="0"/>
      <c r="EPQ7" s="0"/>
      <c r="EPR7" s="0"/>
      <c r="EPS7" s="0"/>
      <c r="EPT7" s="0"/>
      <c r="EPU7" s="0"/>
      <c r="EPV7" s="0"/>
      <c r="EPW7" s="0"/>
      <c r="EPX7" s="0"/>
      <c r="EPY7" s="0"/>
      <c r="EPZ7" s="0"/>
      <c r="EQA7" s="0"/>
      <c r="EQB7" s="0"/>
      <c r="EQC7" s="0"/>
      <c r="EQD7" s="0"/>
      <c r="EQE7" s="0"/>
      <c r="EQF7" s="0"/>
      <c r="EQG7" s="0"/>
      <c r="EQH7" s="0"/>
      <c r="EQI7" s="0"/>
      <c r="EQJ7" s="0"/>
      <c r="EQK7" s="0"/>
      <c r="EQL7" s="0"/>
      <c r="EQM7" s="0"/>
      <c r="EQN7" s="0"/>
      <c r="EQO7" s="0"/>
      <c r="EQP7" s="0"/>
      <c r="EQQ7" s="0"/>
      <c r="EQR7" s="0"/>
      <c r="EQS7" s="0"/>
      <c r="EQT7" s="0"/>
      <c r="EQU7" s="0"/>
      <c r="EQV7" s="0"/>
      <c r="EQW7" s="0"/>
      <c r="EQX7" s="0"/>
      <c r="EQY7" s="0"/>
      <c r="EQZ7" s="0"/>
      <c r="ERA7" s="0"/>
      <c r="ERB7" s="0"/>
      <c r="ERC7" s="0"/>
      <c r="ERD7" s="0"/>
      <c r="ERE7" s="0"/>
      <c r="ERF7" s="0"/>
      <c r="ERG7" s="0"/>
      <c r="ERH7" s="0"/>
      <c r="ERI7" s="0"/>
      <c r="ERJ7" s="0"/>
      <c r="ERK7" s="0"/>
      <c r="ERL7" s="0"/>
      <c r="ERM7" s="0"/>
      <c r="ERN7" s="0"/>
      <c r="ERO7" s="0"/>
      <c r="ERP7" s="0"/>
      <c r="ERQ7" s="0"/>
      <c r="ERR7" s="0"/>
      <c r="ERS7" s="0"/>
      <c r="ERT7" s="0"/>
      <c r="ERU7" s="0"/>
      <c r="ERV7" s="0"/>
      <c r="ERW7" s="0"/>
      <c r="ERX7" s="0"/>
      <c r="ERY7" s="0"/>
      <c r="ERZ7" s="0"/>
      <c r="ESA7" s="0"/>
      <c r="ESB7" s="0"/>
      <c r="ESC7" s="0"/>
      <c r="ESD7" s="0"/>
      <c r="ESE7" s="0"/>
      <c r="ESF7" s="0"/>
      <c r="ESG7" s="0"/>
      <c r="ESH7" s="0"/>
      <c r="ESI7" s="0"/>
      <c r="ESJ7" s="0"/>
      <c r="ESK7" s="0"/>
      <c r="ESL7" s="0"/>
      <c r="ESM7" s="0"/>
      <c r="ESN7" s="0"/>
      <c r="ESO7" s="0"/>
      <c r="ESP7" s="0"/>
      <c r="ESQ7" s="0"/>
      <c r="ESR7" s="0"/>
      <c r="ESS7" s="0"/>
      <c r="EST7" s="0"/>
      <c r="ESU7" s="0"/>
      <c r="ESV7" s="0"/>
      <c r="ESW7" s="0"/>
      <c r="ESX7" s="0"/>
      <c r="ESY7" s="0"/>
      <c r="ESZ7" s="0"/>
      <c r="ETA7" s="0"/>
      <c r="ETB7" s="0"/>
      <c r="ETC7" s="0"/>
      <c r="ETD7" s="0"/>
      <c r="ETE7" s="0"/>
      <c r="ETF7" s="0"/>
      <c r="ETG7" s="0"/>
      <c r="ETH7" s="0"/>
      <c r="ETI7" s="0"/>
      <c r="ETJ7" s="0"/>
      <c r="ETK7" s="0"/>
      <c r="ETL7" s="0"/>
      <c r="ETM7" s="0"/>
      <c r="ETN7" s="0"/>
      <c r="ETO7" s="0"/>
      <c r="ETP7" s="0"/>
      <c r="ETQ7" s="0"/>
      <c r="ETR7" s="0"/>
      <c r="ETS7" s="0"/>
      <c r="ETT7" s="0"/>
      <c r="ETU7" s="0"/>
      <c r="ETV7" s="0"/>
      <c r="ETW7" s="0"/>
      <c r="ETX7" s="0"/>
      <c r="ETY7" s="0"/>
      <c r="ETZ7" s="0"/>
      <c r="EUA7" s="0"/>
      <c r="EUB7" s="0"/>
      <c r="EUC7" s="0"/>
      <c r="EUD7" s="0"/>
      <c r="EUE7" s="0"/>
      <c r="EUF7" s="0"/>
      <c r="EUG7" s="0"/>
      <c r="EUH7" s="0"/>
      <c r="EUI7" s="0"/>
      <c r="EUJ7" s="0"/>
      <c r="EUK7" s="0"/>
      <c r="EUL7" s="0"/>
      <c r="EUM7" s="0"/>
      <c r="EUN7" s="0"/>
      <c r="EUO7" s="0"/>
      <c r="EUP7" s="0"/>
      <c r="EUQ7" s="0"/>
      <c r="EUR7" s="0"/>
      <c r="EUS7" s="0"/>
      <c r="EUT7" s="0"/>
      <c r="EUU7" s="0"/>
      <c r="EUV7" s="0"/>
      <c r="EUW7" s="0"/>
      <c r="EUX7" s="0"/>
      <c r="EUY7" s="0"/>
      <c r="EUZ7" s="0"/>
      <c r="EVA7" s="0"/>
      <c r="EVB7" s="0"/>
      <c r="EVC7" s="0"/>
      <c r="EVD7" s="0"/>
      <c r="EVE7" s="0"/>
      <c r="EVF7" s="0"/>
      <c r="EVG7" s="0"/>
      <c r="EVH7" s="0"/>
      <c r="EVI7" s="0"/>
      <c r="EVJ7" s="0"/>
      <c r="EVK7" s="0"/>
      <c r="EVL7" s="0"/>
      <c r="EVM7" s="0"/>
      <c r="EVN7" s="0"/>
      <c r="EVO7" s="0"/>
      <c r="EVP7" s="0"/>
      <c r="EVQ7" s="0"/>
      <c r="EVR7" s="0"/>
      <c r="EVS7" s="0"/>
      <c r="EVT7" s="0"/>
      <c r="EVU7" s="0"/>
      <c r="EVV7" s="0"/>
      <c r="EVW7" s="0"/>
      <c r="EVX7" s="0"/>
      <c r="EVY7" s="0"/>
      <c r="EVZ7" s="0"/>
      <c r="EWA7" s="0"/>
      <c r="EWB7" s="0"/>
      <c r="EWC7" s="0"/>
      <c r="EWD7" s="0"/>
      <c r="EWE7" s="0"/>
      <c r="EWF7" s="0"/>
      <c r="EWG7" s="0"/>
      <c r="EWH7" s="0"/>
      <c r="EWI7" s="0"/>
      <c r="EWJ7" s="0"/>
      <c r="EWK7" s="0"/>
      <c r="EWL7" s="0"/>
      <c r="EWM7" s="0"/>
      <c r="EWN7" s="0"/>
      <c r="EWO7" s="0"/>
      <c r="EWP7" s="0"/>
      <c r="EWQ7" s="0"/>
      <c r="EWR7" s="0"/>
      <c r="EWS7" s="0"/>
      <c r="EWT7" s="0"/>
      <c r="EWU7" s="0"/>
      <c r="EWV7" s="0"/>
      <c r="EWW7" s="0"/>
      <c r="EWX7" s="0"/>
      <c r="EWY7" s="0"/>
      <c r="EWZ7" s="0"/>
      <c r="EXA7" s="0"/>
      <c r="EXB7" s="0"/>
      <c r="EXC7" s="0"/>
      <c r="EXD7" s="0"/>
      <c r="EXE7" s="0"/>
      <c r="EXF7" s="0"/>
      <c r="EXG7" s="0"/>
      <c r="EXH7" s="0"/>
      <c r="EXI7" s="0"/>
      <c r="EXJ7" s="0"/>
      <c r="EXK7" s="0"/>
      <c r="EXL7" s="0"/>
      <c r="EXM7" s="0"/>
      <c r="EXN7" s="0"/>
      <c r="EXO7" s="0"/>
      <c r="EXP7" s="0"/>
      <c r="EXQ7" s="0"/>
      <c r="EXR7" s="0"/>
      <c r="EXS7" s="0"/>
      <c r="EXT7" s="0"/>
      <c r="EXU7" s="0"/>
      <c r="EXV7" s="0"/>
      <c r="EXW7" s="0"/>
      <c r="EXX7" s="0"/>
      <c r="EXY7" s="0"/>
      <c r="EXZ7" s="0"/>
      <c r="EYA7" s="0"/>
      <c r="EYB7" s="0"/>
      <c r="EYC7" s="0"/>
      <c r="EYD7" s="0"/>
      <c r="EYE7" s="0"/>
      <c r="EYF7" s="0"/>
      <c r="EYG7" s="0"/>
      <c r="EYH7" s="0"/>
      <c r="EYI7" s="0"/>
      <c r="EYJ7" s="0"/>
      <c r="EYK7" s="0"/>
      <c r="EYL7" s="0"/>
      <c r="EYM7" s="0"/>
      <c r="EYN7" s="0"/>
      <c r="EYO7" s="0"/>
      <c r="EYP7" s="0"/>
      <c r="EYQ7" s="0"/>
      <c r="EYR7" s="0"/>
      <c r="EYS7" s="0"/>
      <c r="EYT7" s="0"/>
      <c r="EYU7" s="0"/>
      <c r="EYV7" s="0"/>
      <c r="EYW7" s="0"/>
      <c r="EYX7" s="0"/>
      <c r="EYY7" s="0"/>
      <c r="EYZ7" s="0"/>
      <c r="EZA7" s="0"/>
      <c r="EZB7" s="0"/>
      <c r="EZC7" s="0"/>
      <c r="EZD7" s="0"/>
      <c r="EZE7" s="0"/>
      <c r="EZF7" s="0"/>
      <c r="EZG7" s="0"/>
      <c r="EZH7" s="0"/>
      <c r="EZI7" s="0"/>
      <c r="EZJ7" s="0"/>
      <c r="EZK7" s="0"/>
      <c r="EZL7" s="0"/>
      <c r="EZM7" s="0"/>
      <c r="EZN7" s="0"/>
      <c r="EZO7" s="0"/>
      <c r="EZP7" s="0"/>
      <c r="EZQ7" s="0"/>
      <c r="EZR7" s="0"/>
      <c r="EZS7" s="0"/>
      <c r="EZT7" s="0"/>
      <c r="EZU7" s="0"/>
      <c r="EZV7" s="0"/>
      <c r="EZW7" s="0"/>
      <c r="EZX7" s="0"/>
      <c r="EZY7" s="0"/>
      <c r="EZZ7" s="0"/>
      <c r="FAA7" s="0"/>
      <c r="FAB7" s="0"/>
      <c r="FAC7" s="0"/>
      <c r="FAD7" s="0"/>
      <c r="FAE7" s="0"/>
      <c r="FAF7" s="0"/>
      <c r="FAG7" s="0"/>
      <c r="FAH7" s="0"/>
      <c r="FAI7" s="0"/>
      <c r="FAJ7" s="0"/>
      <c r="FAK7" s="0"/>
      <c r="FAL7" s="0"/>
      <c r="FAM7" s="0"/>
      <c r="FAN7" s="0"/>
      <c r="FAO7" s="0"/>
      <c r="FAP7" s="0"/>
      <c r="FAQ7" s="0"/>
      <c r="FAR7" s="0"/>
      <c r="FAS7" s="0"/>
      <c r="FAT7" s="0"/>
      <c r="FAU7" s="0"/>
      <c r="FAV7" s="0"/>
      <c r="FAW7" s="0"/>
      <c r="FAX7" s="0"/>
      <c r="FAY7" s="0"/>
      <c r="FAZ7" s="0"/>
      <c r="FBA7" s="0"/>
      <c r="FBB7" s="0"/>
      <c r="FBC7" s="0"/>
      <c r="FBD7" s="0"/>
      <c r="FBE7" s="0"/>
      <c r="FBF7" s="0"/>
      <c r="FBG7" s="0"/>
      <c r="FBH7" s="0"/>
      <c r="FBI7" s="0"/>
      <c r="FBJ7" s="0"/>
      <c r="FBK7" s="0"/>
      <c r="FBL7" s="0"/>
      <c r="FBM7" s="0"/>
      <c r="FBN7" s="0"/>
      <c r="FBO7" s="0"/>
      <c r="FBP7" s="0"/>
      <c r="FBQ7" s="0"/>
      <c r="FBR7" s="0"/>
      <c r="FBS7" s="0"/>
      <c r="FBT7" s="0"/>
      <c r="FBU7" s="0"/>
      <c r="FBV7" s="0"/>
      <c r="FBW7" s="0"/>
      <c r="FBX7" s="0"/>
      <c r="FBY7" s="0"/>
      <c r="FBZ7" s="0"/>
      <c r="FCA7" s="0"/>
      <c r="FCB7" s="0"/>
      <c r="FCC7" s="0"/>
      <c r="FCD7" s="0"/>
      <c r="FCE7" s="0"/>
      <c r="FCF7" s="0"/>
      <c r="FCG7" s="0"/>
      <c r="FCH7" s="0"/>
      <c r="FCI7" s="0"/>
      <c r="FCJ7" s="0"/>
      <c r="FCK7" s="0"/>
      <c r="FCL7" s="0"/>
      <c r="FCM7" s="0"/>
      <c r="FCN7" s="0"/>
      <c r="FCO7" s="0"/>
      <c r="FCP7" s="0"/>
      <c r="FCQ7" s="0"/>
      <c r="FCR7" s="0"/>
      <c r="FCS7" s="0"/>
      <c r="FCT7" s="0"/>
      <c r="FCU7" s="0"/>
      <c r="FCV7" s="0"/>
      <c r="FCW7" s="0"/>
      <c r="FCX7" s="0"/>
      <c r="FCY7" s="0"/>
      <c r="FCZ7" s="0"/>
      <c r="FDA7" s="0"/>
      <c r="FDB7" s="0"/>
      <c r="FDC7" s="0"/>
      <c r="FDD7" s="0"/>
      <c r="FDE7" s="0"/>
      <c r="FDF7" s="0"/>
      <c r="FDG7" s="0"/>
      <c r="FDH7" s="0"/>
      <c r="FDI7" s="0"/>
      <c r="FDJ7" s="0"/>
      <c r="FDK7" s="0"/>
      <c r="FDL7" s="0"/>
      <c r="FDM7" s="0"/>
      <c r="FDN7" s="0"/>
      <c r="FDO7" s="0"/>
      <c r="FDP7" s="0"/>
      <c r="FDQ7" s="0"/>
      <c r="FDR7" s="0"/>
      <c r="FDS7" s="0"/>
      <c r="FDT7" s="0"/>
      <c r="FDU7" s="0"/>
      <c r="FDV7" s="0"/>
      <c r="FDW7" s="0"/>
      <c r="FDX7" s="0"/>
      <c r="FDY7" s="0"/>
      <c r="FDZ7" s="0"/>
      <c r="FEA7" s="0"/>
      <c r="FEB7" s="0"/>
      <c r="FEC7" s="0"/>
      <c r="FED7" s="0"/>
      <c r="FEE7" s="0"/>
      <c r="FEF7" s="0"/>
      <c r="FEG7" s="0"/>
      <c r="FEH7" s="0"/>
      <c r="FEI7" s="0"/>
      <c r="FEJ7" s="0"/>
      <c r="FEK7" s="0"/>
      <c r="FEL7" s="0"/>
      <c r="FEM7" s="0"/>
      <c r="FEN7" s="0"/>
      <c r="FEO7" s="0"/>
      <c r="FEP7" s="0"/>
      <c r="FEQ7" s="0"/>
      <c r="FER7" s="0"/>
      <c r="FES7" s="0"/>
      <c r="FET7" s="0"/>
      <c r="FEU7" s="0"/>
      <c r="FEV7" s="0"/>
      <c r="FEW7" s="0"/>
      <c r="FEX7" s="0"/>
      <c r="FEY7" s="0"/>
      <c r="FEZ7" s="0"/>
      <c r="FFA7" s="0"/>
      <c r="FFB7" s="0"/>
      <c r="FFC7" s="0"/>
      <c r="FFD7" s="0"/>
      <c r="FFE7" s="0"/>
      <c r="FFF7" s="0"/>
      <c r="FFG7" s="0"/>
      <c r="FFH7" s="0"/>
      <c r="FFI7" s="0"/>
      <c r="FFJ7" s="0"/>
      <c r="FFK7" s="0"/>
      <c r="FFL7" s="0"/>
      <c r="FFM7" s="0"/>
      <c r="FFN7" s="0"/>
      <c r="FFO7" s="0"/>
      <c r="FFP7" s="0"/>
      <c r="FFQ7" s="0"/>
      <c r="FFR7" s="0"/>
      <c r="FFS7" s="0"/>
      <c r="FFT7" s="0"/>
      <c r="FFU7" s="0"/>
      <c r="FFV7" s="0"/>
      <c r="FFW7" s="0"/>
      <c r="FFX7" s="0"/>
      <c r="FFY7" s="0"/>
      <c r="FFZ7" s="0"/>
      <c r="FGA7" s="0"/>
      <c r="FGB7" s="0"/>
      <c r="FGC7" s="0"/>
      <c r="FGD7" s="0"/>
      <c r="FGE7" s="0"/>
      <c r="FGF7" s="0"/>
      <c r="FGG7" s="0"/>
      <c r="FGH7" s="0"/>
      <c r="FGI7" s="0"/>
      <c r="FGJ7" s="0"/>
      <c r="FGK7" s="0"/>
      <c r="FGL7" s="0"/>
      <c r="FGM7" s="0"/>
      <c r="FGN7" s="0"/>
      <c r="FGO7" s="0"/>
      <c r="FGP7" s="0"/>
      <c r="FGQ7" s="0"/>
      <c r="FGR7" s="0"/>
      <c r="FGS7" s="0"/>
      <c r="FGT7" s="0"/>
      <c r="FGU7" s="0"/>
      <c r="FGV7" s="0"/>
      <c r="FGW7" s="0"/>
      <c r="FGX7" s="0"/>
      <c r="FGY7" s="0"/>
      <c r="FGZ7" s="0"/>
      <c r="FHA7" s="0"/>
      <c r="FHB7" s="0"/>
      <c r="FHC7" s="0"/>
      <c r="FHD7" s="0"/>
      <c r="FHE7" s="0"/>
      <c r="FHF7" s="0"/>
      <c r="FHG7" s="0"/>
      <c r="FHH7" s="0"/>
      <c r="FHI7" s="0"/>
      <c r="FHJ7" s="0"/>
      <c r="FHK7" s="0"/>
      <c r="FHL7" s="0"/>
      <c r="FHM7" s="0"/>
      <c r="FHN7" s="0"/>
      <c r="FHO7" s="0"/>
      <c r="FHP7" s="0"/>
      <c r="FHQ7" s="0"/>
      <c r="FHR7" s="0"/>
      <c r="FHS7" s="0"/>
      <c r="FHT7" s="0"/>
      <c r="FHU7" s="0"/>
      <c r="FHV7" s="0"/>
      <c r="FHW7" s="0"/>
      <c r="FHX7" s="0"/>
      <c r="FHY7" s="0"/>
      <c r="FHZ7" s="0"/>
      <c r="FIA7" s="0"/>
      <c r="FIB7" s="0"/>
      <c r="FIC7" s="0"/>
      <c r="FID7" s="0"/>
      <c r="FIE7" s="0"/>
      <c r="FIF7" s="0"/>
      <c r="FIG7" s="0"/>
      <c r="FIH7" s="0"/>
      <c r="FII7" s="0"/>
      <c r="FIJ7" s="0"/>
      <c r="FIK7" s="0"/>
      <c r="FIL7" s="0"/>
      <c r="FIM7" s="0"/>
      <c r="FIN7" s="0"/>
      <c r="FIO7" s="0"/>
      <c r="FIP7" s="0"/>
      <c r="FIQ7" s="0"/>
      <c r="FIR7" s="0"/>
      <c r="FIS7" s="0"/>
      <c r="FIT7" s="0"/>
      <c r="FIU7" s="0"/>
      <c r="FIV7" s="0"/>
      <c r="FIW7" s="0"/>
      <c r="FIX7" s="0"/>
      <c r="FIY7" s="0"/>
      <c r="FIZ7" s="0"/>
      <c r="FJA7" s="0"/>
      <c r="FJB7" s="0"/>
      <c r="FJC7" s="0"/>
      <c r="FJD7" s="0"/>
      <c r="FJE7" s="0"/>
      <c r="FJF7" s="0"/>
      <c r="FJG7" s="0"/>
      <c r="FJH7" s="0"/>
      <c r="FJI7" s="0"/>
      <c r="FJJ7" s="0"/>
      <c r="FJK7" s="0"/>
      <c r="FJL7" s="0"/>
      <c r="FJM7" s="0"/>
      <c r="FJN7" s="0"/>
      <c r="FJO7" s="0"/>
      <c r="FJP7" s="0"/>
      <c r="FJQ7" s="0"/>
      <c r="FJR7" s="0"/>
      <c r="FJS7" s="0"/>
      <c r="FJT7" s="0"/>
      <c r="FJU7" s="0"/>
      <c r="FJV7" s="0"/>
      <c r="FJW7" s="0"/>
      <c r="FJX7" s="0"/>
      <c r="FJY7" s="0"/>
      <c r="FJZ7" s="0"/>
      <c r="FKA7" s="0"/>
      <c r="FKB7" s="0"/>
      <c r="FKC7" s="0"/>
      <c r="FKD7" s="0"/>
      <c r="FKE7" s="0"/>
      <c r="FKF7" s="0"/>
      <c r="FKG7" s="0"/>
      <c r="FKH7" s="0"/>
      <c r="FKI7" s="0"/>
      <c r="FKJ7" s="0"/>
      <c r="FKK7" s="0"/>
      <c r="FKL7" s="0"/>
      <c r="FKM7" s="0"/>
      <c r="FKN7" s="0"/>
      <c r="FKO7" s="0"/>
      <c r="FKP7" s="0"/>
      <c r="FKQ7" s="0"/>
      <c r="FKR7" s="0"/>
      <c r="FKS7" s="0"/>
      <c r="FKT7" s="0"/>
      <c r="FKU7" s="0"/>
      <c r="FKV7" s="0"/>
      <c r="FKW7" s="0"/>
      <c r="FKX7" s="0"/>
      <c r="FKY7" s="0"/>
      <c r="FKZ7" s="0"/>
      <c r="FLA7" s="0"/>
      <c r="FLB7" s="0"/>
      <c r="FLC7" s="0"/>
      <c r="FLD7" s="0"/>
      <c r="FLE7" s="0"/>
      <c r="FLF7" s="0"/>
      <c r="FLG7" s="0"/>
      <c r="FLH7" s="0"/>
      <c r="FLI7" s="0"/>
      <c r="FLJ7" s="0"/>
      <c r="FLK7" s="0"/>
      <c r="FLL7" s="0"/>
      <c r="FLM7" s="0"/>
      <c r="FLN7" s="0"/>
      <c r="FLO7" s="0"/>
      <c r="FLP7" s="0"/>
      <c r="FLQ7" s="0"/>
      <c r="FLR7" s="0"/>
      <c r="FLS7" s="0"/>
      <c r="FLT7" s="0"/>
      <c r="FLU7" s="0"/>
      <c r="FLV7" s="0"/>
      <c r="FLW7" s="0"/>
      <c r="FLX7" s="0"/>
      <c r="FLY7" s="0"/>
      <c r="FLZ7" s="0"/>
      <c r="FMA7" s="0"/>
      <c r="FMB7" s="0"/>
      <c r="FMC7" s="0"/>
      <c r="FMD7" s="0"/>
      <c r="FME7" s="0"/>
      <c r="FMF7" s="0"/>
      <c r="FMG7" s="0"/>
      <c r="FMH7" s="0"/>
      <c r="FMI7" s="0"/>
      <c r="FMJ7" s="0"/>
      <c r="FMK7" s="0"/>
      <c r="FML7" s="0"/>
      <c r="FMM7" s="0"/>
      <c r="FMN7" s="0"/>
      <c r="FMO7" s="0"/>
      <c r="FMP7" s="0"/>
      <c r="FMQ7" s="0"/>
      <c r="FMR7" s="0"/>
      <c r="FMS7" s="0"/>
      <c r="FMT7" s="0"/>
      <c r="FMU7" s="0"/>
      <c r="FMV7" s="0"/>
      <c r="FMW7" s="0"/>
      <c r="FMX7" s="0"/>
      <c r="FMY7" s="0"/>
      <c r="FMZ7" s="0"/>
      <c r="FNA7" s="0"/>
      <c r="FNB7" s="0"/>
      <c r="FNC7" s="0"/>
      <c r="FND7" s="0"/>
      <c r="FNE7" s="0"/>
      <c r="FNF7" s="0"/>
      <c r="FNG7" s="0"/>
      <c r="FNH7" s="0"/>
      <c r="FNI7" s="0"/>
      <c r="FNJ7" s="0"/>
      <c r="FNK7" s="0"/>
      <c r="FNL7" s="0"/>
      <c r="FNM7" s="0"/>
      <c r="FNN7" s="0"/>
      <c r="FNO7" s="0"/>
      <c r="FNP7" s="0"/>
      <c r="FNQ7" s="0"/>
      <c r="FNR7" s="0"/>
      <c r="FNS7" s="0"/>
      <c r="FNT7" s="0"/>
      <c r="FNU7" s="0"/>
      <c r="FNV7" s="0"/>
      <c r="FNW7" s="0"/>
      <c r="FNX7" s="0"/>
      <c r="FNY7" s="0"/>
      <c r="FNZ7" s="0"/>
      <c r="FOA7" s="0"/>
      <c r="FOB7" s="0"/>
      <c r="FOC7" s="0"/>
      <c r="FOD7" s="0"/>
      <c r="FOE7" s="0"/>
      <c r="FOF7" s="0"/>
      <c r="FOG7" s="0"/>
      <c r="FOH7" s="0"/>
      <c r="FOI7" s="0"/>
      <c r="FOJ7" s="0"/>
      <c r="FOK7" s="0"/>
      <c r="FOL7" s="0"/>
      <c r="FOM7" s="0"/>
      <c r="FON7" s="0"/>
      <c r="FOO7" s="0"/>
      <c r="FOP7" s="0"/>
      <c r="FOQ7" s="0"/>
      <c r="FOR7" s="0"/>
      <c r="FOS7" s="0"/>
      <c r="FOT7" s="0"/>
      <c r="FOU7" s="0"/>
      <c r="FOV7" s="0"/>
      <c r="FOW7" s="0"/>
      <c r="FOX7" s="0"/>
      <c r="FOY7" s="0"/>
      <c r="FOZ7" s="0"/>
      <c r="FPA7" s="0"/>
      <c r="FPB7" s="0"/>
      <c r="FPC7" s="0"/>
      <c r="FPD7" s="0"/>
      <c r="FPE7" s="0"/>
      <c r="FPF7" s="0"/>
      <c r="FPG7" s="0"/>
      <c r="FPH7" s="0"/>
      <c r="FPI7" s="0"/>
      <c r="FPJ7" s="0"/>
      <c r="FPK7" s="0"/>
      <c r="FPL7" s="0"/>
      <c r="FPM7" s="0"/>
      <c r="FPN7" s="0"/>
      <c r="FPO7" s="0"/>
      <c r="FPP7" s="0"/>
      <c r="FPQ7" s="0"/>
      <c r="FPR7" s="0"/>
      <c r="FPS7" s="0"/>
      <c r="FPT7" s="0"/>
      <c r="FPU7" s="0"/>
      <c r="FPV7" s="0"/>
      <c r="FPW7" s="0"/>
      <c r="FPX7" s="0"/>
      <c r="FPY7" s="0"/>
      <c r="FPZ7" s="0"/>
      <c r="FQA7" s="0"/>
      <c r="FQB7" s="0"/>
      <c r="FQC7" s="0"/>
      <c r="FQD7" s="0"/>
      <c r="FQE7" s="0"/>
      <c r="FQF7" s="0"/>
      <c r="FQG7" s="0"/>
      <c r="FQH7" s="0"/>
      <c r="FQI7" s="0"/>
      <c r="FQJ7" s="0"/>
      <c r="FQK7" s="0"/>
      <c r="FQL7" s="0"/>
      <c r="FQM7" s="0"/>
      <c r="FQN7" s="0"/>
      <c r="FQO7" s="0"/>
      <c r="FQP7" s="0"/>
      <c r="FQQ7" s="0"/>
      <c r="FQR7" s="0"/>
      <c r="FQS7" s="0"/>
      <c r="FQT7" s="0"/>
      <c r="FQU7" s="0"/>
      <c r="FQV7" s="0"/>
      <c r="FQW7" s="0"/>
      <c r="FQX7" s="0"/>
      <c r="FQY7" s="0"/>
      <c r="FQZ7" s="0"/>
      <c r="FRA7" s="0"/>
      <c r="FRB7" s="0"/>
      <c r="FRC7" s="0"/>
      <c r="FRD7" s="0"/>
      <c r="FRE7" s="0"/>
      <c r="FRF7" s="0"/>
      <c r="FRG7" s="0"/>
      <c r="FRH7" s="0"/>
      <c r="FRI7" s="0"/>
      <c r="FRJ7" s="0"/>
      <c r="FRK7" s="0"/>
      <c r="FRL7" s="0"/>
      <c r="FRM7" s="0"/>
      <c r="FRN7" s="0"/>
      <c r="FRO7" s="0"/>
      <c r="FRP7" s="0"/>
      <c r="FRQ7" s="0"/>
      <c r="FRR7" s="0"/>
      <c r="FRS7" s="0"/>
      <c r="FRT7" s="0"/>
      <c r="FRU7" s="0"/>
      <c r="FRV7" s="0"/>
      <c r="FRW7" s="0"/>
      <c r="FRX7" s="0"/>
      <c r="FRY7" s="0"/>
      <c r="FRZ7" s="0"/>
      <c r="FSA7" s="0"/>
      <c r="FSB7" s="0"/>
      <c r="FSC7" s="0"/>
      <c r="FSD7" s="0"/>
      <c r="FSE7" s="0"/>
      <c r="FSF7" s="0"/>
      <c r="FSG7" s="0"/>
      <c r="FSH7" s="0"/>
      <c r="FSI7" s="0"/>
      <c r="FSJ7" s="0"/>
      <c r="FSK7" s="0"/>
      <c r="FSL7" s="0"/>
      <c r="FSM7" s="0"/>
      <c r="FSN7" s="0"/>
      <c r="FSO7" s="0"/>
      <c r="FSP7" s="0"/>
      <c r="FSQ7" s="0"/>
      <c r="FSR7" s="0"/>
      <c r="FSS7" s="0"/>
      <c r="FST7" s="0"/>
      <c r="FSU7" s="0"/>
      <c r="FSV7" s="0"/>
      <c r="FSW7" s="0"/>
      <c r="FSX7" s="0"/>
      <c r="FSY7" s="0"/>
      <c r="FSZ7" s="0"/>
      <c r="FTA7" s="0"/>
      <c r="FTB7" s="0"/>
      <c r="FTC7" s="0"/>
      <c r="FTD7" s="0"/>
      <c r="FTE7" s="0"/>
      <c r="FTF7" s="0"/>
      <c r="FTG7" s="0"/>
      <c r="FTH7" s="0"/>
      <c r="FTI7" s="0"/>
      <c r="FTJ7" s="0"/>
      <c r="FTK7" s="0"/>
      <c r="FTL7" s="0"/>
      <c r="FTM7" s="0"/>
      <c r="FTN7" s="0"/>
      <c r="FTO7" s="0"/>
      <c r="FTP7" s="0"/>
      <c r="FTQ7" s="0"/>
      <c r="FTR7" s="0"/>
      <c r="FTS7" s="0"/>
      <c r="FTT7" s="0"/>
      <c r="FTU7" s="0"/>
      <c r="FTV7" s="0"/>
      <c r="FTW7" s="0"/>
      <c r="FTX7" s="0"/>
      <c r="FTY7" s="0"/>
      <c r="FTZ7" s="0"/>
      <c r="FUA7" s="0"/>
      <c r="FUB7" s="0"/>
      <c r="FUC7" s="0"/>
      <c r="FUD7" s="0"/>
      <c r="FUE7" s="0"/>
      <c r="FUF7" s="0"/>
      <c r="FUG7" s="0"/>
      <c r="FUH7" s="0"/>
      <c r="FUI7" s="0"/>
      <c r="FUJ7" s="0"/>
      <c r="FUK7" s="0"/>
      <c r="FUL7" s="0"/>
      <c r="FUM7" s="0"/>
      <c r="FUN7" s="0"/>
      <c r="FUO7" s="0"/>
      <c r="FUP7" s="0"/>
      <c r="FUQ7" s="0"/>
      <c r="FUR7" s="0"/>
      <c r="FUS7" s="0"/>
      <c r="FUT7" s="0"/>
      <c r="FUU7" s="0"/>
      <c r="FUV7" s="0"/>
      <c r="FUW7" s="0"/>
      <c r="FUX7" s="0"/>
      <c r="FUY7" s="0"/>
      <c r="FUZ7" s="0"/>
      <c r="FVA7" s="0"/>
      <c r="FVB7" s="0"/>
      <c r="FVC7" s="0"/>
      <c r="FVD7" s="0"/>
      <c r="FVE7" s="0"/>
      <c r="FVF7" s="0"/>
      <c r="FVG7" s="0"/>
      <c r="FVH7" s="0"/>
      <c r="FVI7" s="0"/>
      <c r="FVJ7" s="0"/>
      <c r="FVK7" s="0"/>
      <c r="FVL7" s="0"/>
      <c r="FVM7" s="0"/>
      <c r="FVN7" s="0"/>
      <c r="FVO7" s="0"/>
      <c r="FVP7" s="0"/>
      <c r="FVQ7" s="0"/>
      <c r="FVR7" s="0"/>
      <c r="FVS7" s="0"/>
      <c r="FVT7" s="0"/>
      <c r="FVU7" s="0"/>
      <c r="FVV7" s="0"/>
      <c r="FVW7" s="0"/>
      <c r="FVX7" s="0"/>
      <c r="FVY7" s="0"/>
      <c r="FVZ7" s="0"/>
      <c r="FWA7" s="0"/>
      <c r="FWB7" s="0"/>
      <c r="FWC7" s="0"/>
      <c r="FWD7" s="0"/>
      <c r="FWE7" s="0"/>
      <c r="FWF7" s="0"/>
      <c r="FWG7" s="0"/>
      <c r="FWH7" s="0"/>
      <c r="FWI7" s="0"/>
      <c r="FWJ7" s="0"/>
      <c r="FWK7" s="0"/>
      <c r="FWL7" s="0"/>
      <c r="FWM7" s="0"/>
      <c r="FWN7" s="0"/>
      <c r="FWO7" s="0"/>
      <c r="FWP7" s="0"/>
      <c r="FWQ7" s="0"/>
      <c r="FWR7" s="0"/>
      <c r="FWS7" s="0"/>
      <c r="FWT7" s="0"/>
      <c r="FWU7" s="0"/>
      <c r="FWV7" s="0"/>
      <c r="FWW7" s="0"/>
      <c r="FWX7" s="0"/>
      <c r="FWY7" s="0"/>
      <c r="FWZ7" s="0"/>
      <c r="FXA7" s="0"/>
      <c r="FXB7" s="0"/>
      <c r="FXC7" s="0"/>
      <c r="FXD7" s="0"/>
      <c r="FXE7" s="0"/>
      <c r="FXF7" s="0"/>
      <c r="FXG7" s="0"/>
      <c r="FXH7" s="0"/>
      <c r="FXI7" s="0"/>
      <c r="FXJ7" s="0"/>
      <c r="FXK7" s="0"/>
      <c r="FXL7" s="0"/>
      <c r="FXM7" s="0"/>
      <c r="FXN7" s="0"/>
      <c r="FXO7" s="0"/>
      <c r="FXP7" s="0"/>
      <c r="FXQ7" s="0"/>
      <c r="FXR7" s="0"/>
      <c r="FXS7" s="0"/>
      <c r="FXT7" s="0"/>
      <c r="FXU7" s="0"/>
      <c r="FXV7" s="0"/>
      <c r="FXW7" s="0"/>
      <c r="FXX7" s="0"/>
      <c r="FXY7" s="0"/>
      <c r="FXZ7" s="0"/>
      <c r="FYA7" s="0"/>
      <c r="FYB7" s="0"/>
      <c r="FYC7" s="0"/>
      <c r="FYD7" s="0"/>
      <c r="FYE7" s="0"/>
      <c r="FYF7" s="0"/>
      <c r="FYG7" s="0"/>
      <c r="FYH7" s="0"/>
      <c r="FYI7" s="0"/>
      <c r="FYJ7" s="0"/>
      <c r="FYK7" s="0"/>
      <c r="FYL7" s="0"/>
      <c r="FYM7" s="0"/>
      <c r="FYN7" s="0"/>
      <c r="FYO7" s="0"/>
      <c r="FYP7" s="0"/>
      <c r="FYQ7" s="0"/>
      <c r="FYR7" s="0"/>
      <c r="FYS7" s="0"/>
      <c r="FYT7" s="0"/>
      <c r="FYU7" s="0"/>
      <c r="FYV7" s="0"/>
      <c r="FYW7" s="0"/>
      <c r="FYX7" s="0"/>
      <c r="FYY7" s="0"/>
      <c r="FYZ7" s="0"/>
      <c r="FZA7" s="0"/>
      <c r="FZB7" s="0"/>
      <c r="FZC7" s="0"/>
      <c r="FZD7" s="0"/>
      <c r="FZE7" s="0"/>
      <c r="FZF7" s="0"/>
      <c r="FZG7" s="0"/>
      <c r="FZH7" s="0"/>
      <c r="FZI7" s="0"/>
      <c r="FZJ7" s="0"/>
      <c r="FZK7" s="0"/>
      <c r="FZL7" s="0"/>
      <c r="FZM7" s="0"/>
      <c r="FZN7" s="0"/>
      <c r="FZO7" s="0"/>
      <c r="FZP7" s="0"/>
      <c r="FZQ7" s="0"/>
      <c r="FZR7" s="0"/>
      <c r="FZS7" s="0"/>
      <c r="FZT7" s="0"/>
      <c r="FZU7" s="0"/>
      <c r="FZV7" s="0"/>
      <c r="FZW7" s="0"/>
      <c r="FZX7" s="0"/>
      <c r="FZY7" s="0"/>
      <c r="FZZ7" s="0"/>
      <c r="GAA7" s="0"/>
      <c r="GAB7" s="0"/>
      <c r="GAC7" s="0"/>
      <c r="GAD7" s="0"/>
      <c r="GAE7" s="0"/>
      <c r="GAF7" s="0"/>
      <c r="GAG7" s="0"/>
      <c r="GAH7" s="0"/>
      <c r="GAI7" s="0"/>
      <c r="GAJ7" s="0"/>
      <c r="GAK7" s="0"/>
      <c r="GAL7" s="0"/>
      <c r="GAM7" s="0"/>
      <c r="GAN7" s="0"/>
      <c r="GAO7" s="0"/>
      <c r="GAP7" s="0"/>
      <c r="GAQ7" s="0"/>
      <c r="GAR7" s="0"/>
      <c r="GAS7" s="0"/>
      <c r="GAT7" s="0"/>
      <c r="GAU7" s="0"/>
      <c r="GAV7" s="0"/>
      <c r="GAW7" s="0"/>
      <c r="GAX7" s="0"/>
      <c r="GAY7" s="0"/>
      <c r="GAZ7" s="0"/>
      <c r="GBA7" s="0"/>
      <c r="GBB7" s="0"/>
      <c r="GBC7" s="0"/>
      <c r="GBD7" s="0"/>
      <c r="GBE7" s="0"/>
      <c r="GBF7" s="0"/>
      <c r="GBG7" s="0"/>
      <c r="GBH7" s="0"/>
      <c r="GBI7" s="0"/>
      <c r="GBJ7" s="0"/>
      <c r="GBK7" s="0"/>
      <c r="GBL7" s="0"/>
      <c r="GBM7" s="0"/>
      <c r="GBN7" s="0"/>
      <c r="GBO7" s="0"/>
      <c r="GBP7" s="0"/>
      <c r="GBQ7" s="0"/>
      <c r="GBR7" s="0"/>
      <c r="GBS7" s="0"/>
      <c r="GBT7" s="0"/>
      <c r="GBU7" s="0"/>
      <c r="GBV7" s="0"/>
      <c r="GBW7" s="0"/>
      <c r="GBX7" s="0"/>
      <c r="GBY7" s="0"/>
      <c r="GBZ7" s="0"/>
      <c r="GCA7" s="0"/>
      <c r="GCB7" s="0"/>
      <c r="GCC7" s="0"/>
      <c r="GCD7" s="0"/>
      <c r="GCE7" s="0"/>
      <c r="GCF7" s="0"/>
      <c r="GCG7" s="0"/>
      <c r="GCH7" s="0"/>
      <c r="GCI7" s="0"/>
      <c r="GCJ7" s="0"/>
      <c r="GCK7" s="0"/>
      <c r="GCL7" s="0"/>
      <c r="GCM7" s="0"/>
      <c r="GCN7" s="0"/>
      <c r="GCO7" s="0"/>
      <c r="GCP7" s="0"/>
      <c r="GCQ7" s="0"/>
      <c r="GCR7" s="0"/>
      <c r="GCS7" s="0"/>
      <c r="GCT7" s="0"/>
      <c r="GCU7" s="0"/>
      <c r="GCV7" s="0"/>
      <c r="GCW7" s="0"/>
      <c r="GCX7" s="0"/>
      <c r="GCY7" s="0"/>
      <c r="GCZ7" s="0"/>
      <c r="GDA7" s="0"/>
      <c r="GDB7" s="0"/>
      <c r="GDC7" s="0"/>
      <c r="GDD7" s="0"/>
      <c r="GDE7" s="0"/>
      <c r="GDF7" s="0"/>
      <c r="GDG7" s="0"/>
      <c r="GDH7" s="0"/>
      <c r="GDI7" s="0"/>
      <c r="GDJ7" s="0"/>
      <c r="GDK7" s="0"/>
      <c r="GDL7" s="0"/>
      <c r="GDM7" s="0"/>
      <c r="GDN7" s="0"/>
      <c r="GDO7" s="0"/>
      <c r="GDP7" s="0"/>
      <c r="GDQ7" s="0"/>
      <c r="GDR7" s="0"/>
      <c r="GDS7" s="0"/>
      <c r="GDT7" s="0"/>
      <c r="GDU7" s="0"/>
      <c r="GDV7" s="0"/>
      <c r="GDW7" s="0"/>
      <c r="GDX7" s="0"/>
      <c r="GDY7" s="0"/>
      <c r="GDZ7" s="0"/>
      <c r="GEA7" s="0"/>
      <c r="GEB7" s="0"/>
      <c r="GEC7" s="0"/>
      <c r="GED7" s="0"/>
      <c r="GEE7" s="0"/>
      <c r="GEF7" s="0"/>
      <c r="GEG7" s="0"/>
      <c r="GEH7" s="0"/>
      <c r="GEI7" s="0"/>
      <c r="GEJ7" s="0"/>
      <c r="GEK7" s="0"/>
      <c r="GEL7" s="0"/>
      <c r="GEM7" s="0"/>
      <c r="GEN7" s="0"/>
      <c r="GEO7" s="0"/>
      <c r="GEP7" s="0"/>
      <c r="GEQ7" s="0"/>
      <c r="GER7" s="0"/>
      <c r="GES7" s="0"/>
      <c r="GET7" s="0"/>
      <c r="GEU7" s="0"/>
      <c r="GEV7" s="0"/>
      <c r="GEW7" s="0"/>
      <c r="GEX7" s="0"/>
      <c r="GEY7" s="0"/>
      <c r="GEZ7" s="0"/>
      <c r="GFA7" s="0"/>
      <c r="GFB7" s="0"/>
      <c r="GFC7" s="0"/>
      <c r="GFD7" s="0"/>
      <c r="GFE7" s="0"/>
      <c r="GFF7" s="0"/>
      <c r="GFG7" s="0"/>
      <c r="GFH7" s="0"/>
      <c r="GFI7" s="0"/>
      <c r="GFJ7" s="0"/>
      <c r="GFK7" s="0"/>
      <c r="GFL7" s="0"/>
      <c r="GFM7" s="0"/>
      <c r="GFN7" s="0"/>
      <c r="GFO7" s="0"/>
      <c r="GFP7" s="0"/>
      <c r="GFQ7" s="0"/>
      <c r="GFR7" s="0"/>
      <c r="GFS7" s="0"/>
      <c r="GFT7" s="0"/>
      <c r="GFU7" s="0"/>
      <c r="GFV7" s="0"/>
      <c r="GFW7" s="0"/>
      <c r="GFX7" s="0"/>
      <c r="GFY7" s="0"/>
      <c r="GFZ7" s="0"/>
      <c r="GGA7" s="0"/>
      <c r="GGB7" s="0"/>
      <c r="GGC7" s="0"/>
      <c r="GGD7" s="0"/>
      <c r="GGE7" s="0"/>
      <c r="GGF7" s="0"/>
      <c r="GGG7" s="0"/>
      <c r="GGH7" s="0"/>
      <c r="GGI7" s="0"/>
      <c r="GGJ7" s="0"/>
      <c r="GGK7" s="0"/>
      <c r="GGL7" s="0"/>
      <c r="GGM7" s="0"/>
      <c r="GGN7" s="0"/>
      <c r="GGO7" s="0"/>
      <c r="GGP7" s="0"/>
      <c r="GGQ7" s="0"/>
      <c r="GGR7" s="0"/>
      <c r="GGS7" s="0"/>
      <c r="GGT7" s="0"/>
      <c r="GGU7" s="0"/>
      <c r="GGV7" s="0"/>
      <c r="GGW7" s="0"/>
      <c r="GGX7" s="0"/>
      <c r="GGY7" s="0"/>
      <c r="GGZ7" s="0"/>
      <c r="GHA7" s="0"/>
      <c r="GHB7" s="0"/>
      <c r="GHC7" s="0"/>
      <c r="GHD7" s="0"/>
      <c r="GHE7" s="0"/>
      <c r="GHF7" s="0"/>
      <c r="GHG7" s="0"/>
      <c r="GHH7" s="0"/>
      <c r="GHI7" s="0"/>
      <c r="GHJ7" s="0"/>
      <c r="GHK7" s="0"/>
      <c r="GHL7" s="0"/>
      <c r="GHM7" s="0"/>
      <c r="GHN7" s="0"/>
      <c r="GHO7" s="0"/>
      <c r="GHP7" s="0"/>
      <c r="GHQ7" s="0"/>
      <c r="GHR7" s="0"/>
      <c r="GHS7" s="0"/>
      <c r="GHT7" s="0"/>
      <c r="GHU7" s="0"/>
      <c r="GHV7" s="0"/>
      <c r="GHW7" s="0"/>
      <c r="GHX7" s="0"/>
      <c r="GHY7" s="0"/>
      <c r="GHZ7" s="0"/>
      <c r="GIA7" s="0"/>
      <c r="GIB7" s="0"/>
      <c r="GIC7" s="0"/>
      <c r="GID7" s="0"/>
      <c r="GIE7" s="0"/>
      <c r="GIF7" s="0"/>
      <c r="GIG7" s="0"/>
      <c r="GIH7" s="0"/>
      <c r="GII7" s="0"/>
      <c r="GIJ7" s="0"/>
      <c r="GIK7" s="0"/>
      <c r="GIL7" s="0"/>
      <c r="GIM7" s="0"/>
      <c r="GIN7" s="0"/>
      <c r="GIO7" s="0"/>
      <c r="GIP7" s="0"/>
      <c r="GIQ7" s="0"/>
      <c r="GIR7" s="0"/>
      <c r="GIS7" s="0"/>
      <c r="GIT7" s="0"/>
      <c r="GIU7" s="0"/>
      <c r="GIV7" s="0"/>
      <c r="GIW7" s="0"/>
      <c r="GIX7" s="0"/>
      <c r="GIY7" s="0"/>
      <c r="GIZ7" s="0"/>
      <c r="GJA7" s="0"/>
      <c r="GJB7" s="0"/>
      <c r="GJC7" s="0"/>
      <c r="GJD7" s="0"/>
      <c r="GJE7" s="0"/>
      <c r="GJF7" s="0"/>
      <c r="GJG7" s="0"/>
      <c r="GJH7" s="0"/>
      <c r="GJI7" s="0"/>
      <c r="GJJ7" s="0"/>
      <c r="GJK7" s="0"/>
      <c r="GJL7" s="0"/>
      <c r="GJM7" s="0"/>
      <c r="GJN7" s="0"/>
      <c r="GJO7" s="0"/>
      <c r="GJP7" s="0"/>
      <c r="GJQ7" s="0"/>
      <c r="GJR7" s="0"/>
      <c r="GJS7" s="0"/>
      <c r="GJT7" s="0"/>
      <c r="GJU7" s="0"/>
      <c r="GJV7" s="0"/>
      <c r="GJW7" s="0"/>
      <c r="GJX7" s="0"/>
      <c r="GJY7" s="0"/>
      <c r="GJZ7" s="0"/>
      <c r="GKA7" s="0"/>
      <c r="GKB7" s="0"/>
      <c r="GKC7" s="0"/>
      <c r="GKD7" s="0"/>
      <c r="GKE7" s="0"/>
      <c r="GKF7" s="0"/>
      <c r="GKG7" s="0"/>
      <c r="GKH7" s="0"/>
      <c r="GKI7" s="0"/>
      <c r="GKJ7" s="0"/>
      <c r="GKK7" s="0"/>
      <c r="GKL7" s="0"/>
      <c r="GKM7" s="0"/>
      <c r="GKN7" s="0"/>
      <c r="GKO7" s="0"/>
      <c r="GKP7" s="0"/>
      <c r="GKQ7" s="0"/>
      <c r="GKR7" s="0"/>
      <c r="GKS7" s="0"/>
      <c r="GKT7" s="0"/>
      <c r="GKU7" s="0"/>
      <c r="GKV7" s="0"/>
      <c r="GKW7" s="0"/>
      <c r="GKX7" s="0"/>
      <c r="GKY7" s="0"/>
      <c r="GKZ7" s="0"/>
      <c r="GLA7" s="0"/>
      <c r="GLB7" s="0"/>
      <c r="GLC7" s="0"/>
      <c r="GLD7" s="0"/>
      <c r="GLE7" s="0"/>
      <c r="GLF7" s="0"/>
      <c r="GLG7" s="0"/>
      <c r="GLH7" s="0"/>
      <c r="GLI7" s="0"/>
      <c r="GLJ7" s="0"/>
      <c r="GLK7" s="0"/>
      <c r="GLL7" s="0"/>
      <c r="GLM7" s="0"/>
      <c r="GLN7" s="0"/>
      <c r="GLO7" s="0"/>
      <c r="GLP7" s="0"/>
      <c r="GLQ7" s="0"/>
      <c r="GLR7" s="0"/>
      <c r="GLS7" s="0"/>
      <c r="GLT7" s="0"/>
      <c r="GLU7" s="0"/>
      <c r="GLV7" s="0"/>
      <c r="GLW7" s="0"/>
      <c r="GLX7" s="0"/>
      <c r="GLY7" s="0"/>
      <c r="GLZ7" s="0"/>
      <c r="GMA7" s="0"/>
      <c r="GMB7" s="0"/>
      <c r="GMC7" s="0"/>
      <c r="GMD7" s="0"/>
      <c r="GME7" s="0"/>
      <c r="GMF7" s="0"/>
      <c r="GMG7" s="0"/>
      <c r="GMH7" s="0"/>
      <c r="GMI7" s="0"/>
      <c r="GMJ7" s="0"/>
      <c r="GMK7" s="0"/>
      <c r="GML7" s="0"/>
      <c r="GMM7" s="0"/>
      <c r="GMN7" s="0"/>
      <c r="GMO7" s="0"/>
      <c r="GMP7" s="0"/>
      <c r="GMQ7" s="0"/>
      <c r="GMR7" s="0"/>
      <c r="GMS7" s="0"/>
      <c r="GMT7" s="0"/>
      <c r="GMU7" s="0"/>
      <c r="GMV7" s="0"/>
      <c r="GMW7" s="0"/>
      <c r="GMX7" s="0"/>
      <c r="GMY7" s="0"/>
      <c r="GMZ7" s="0"/>
      <c r="GNA7" s="0"/>
      <c r="GNB7" s="0"/>
      <c r="GNC7" s="0"/>
      <c r="GND7" s="0"/>
      <c r="GNE7" s="0"/>
      <c r="GNF7" s="0"/>
      <c r="GNG7" s="0"/>
      <c r="GNH7" s="0"/>
      <c r="GNI7" s="0"/>
      <c r="GNJ7" s="0"/>
      <c r="GNK7" s="0"/>
      <c r="GNL7" s="0"/>
      <c r="GNM7" s="0"/>
      <c r="GNN7" s="0"/>
      <c r="GNO7" s="0"/>
      <c r="GNP7" s="0"/>
      <c r="GNQ7" s="0"/>
      <c r="GNR7" s="0"/>
      <c r="GNS7" s="0"/>
      <c r="GNT7" s="0"/>
      <c r="GNU7" s="0"/>
      <c r="GNV7" s="0"/>
      <c r="GNW7" s="0"/>
      <c r="GNX7" s="0"/>
      <c r="GNY7" s="0"/>
      <c r="GNZ7" s="0"/>
      <c r="GOA7" s="0"/>
      <c r="GOB7" s="0"/>
      <c r="GOC7" s="0"/>
      <c r="GOD7" s="0"/>
      <c r="GOE7" s="0"/>
      <c r="GOF7" s="0"/>
      <c r="GOG7" s="0"/>
      <c r="GOH7" s="0"/>
      <c r="GOI7" s="0"/>
      <c r="GOJ7" s="0"/>
      <c r="GOK7" s="0"/>
      <c r="GOL7" s="0"/>
      <c r="GOM7" s="0"/>
      <c r="GON7" s="0"/>
      <c r="GOO7" s="0"/>
      <c r="GOP7" s="0"/>
      <c r="GOQ7" s="0"/>
      <c r="GOR7" s="0"/>
      <c r="GOS7" s="0"/>
      <c r="GOT7" s="0"/>
      <c r="GOU7" s="0"/>
      <c r="GOV7" s="0"/>
      <c r="GOW7" s="0"/>
      <c r="GOX7" s="0"/>
      <c r="GOY7" s="0"/>
      <c r="GOZ7" s="0"/>
      <c r="GPA7" s="0"/>
      <c r="GPB7" s="0"/>
      <c r="GPC7" s="0"/>
      <c r="GPD7" s="0"/>
      <c r="GPE7" s="0"/>
      <c r="GPF7" s="0"/>
      <c r="GPG7" s="0"/>
      <c r="GPH7" s="0"/>
      <c r="GPI7" s="0"/>
      <c r="GPJ7" s="0"/>
      <c r="GPK7" s="0"/>
      <c r="GPL7" s="0"/>
      <c r="GPM7" s="0"/>
      <c r="GPN7" s="0"/>
      <c r="GPO7" s="0"/>
      <c r="GPP7" s="0"/>
      <c r="GPQ7" s="0"/>
      <c r="GPR7" s="0"/>
      <c r="GPS7" s="0"/>
      <c r="GPT7" s="0"/>
      <c r="GPU7" s="0"/>
      <c r="GPV7" s="0"/>
      <c r="GPW7" s="0"/>
      <c r="GPX7" s="0"/>
      <c r="GPY7" s="0"/>
      <c r="GPZ7" s="0"/>
      <c r="GQA7" s="0"/>
      <c r="GQB7" s="0"/>
      <c r="GQC7" s="0"/>
      <c r="GQD7" s="0"/>
      <c r="GQE7" s="0"/>
      <c r="GQF7" s="0"/>
      <c r="GQG7" s="0"/>
      <c r="GQH7" s="0"/>
      <c r="GQI7" s="0"/>
      <c r="GQJ7" s="0"/>
      <c r="GQK7" s="0"/>
      <c r="GQL7" s="0"/>
      <c r="GQM7" s="0"/>
      <c r="GQN7" s="0"/>
      <c r="GQO7" s="0"/>
      <c r="GQP7" s="0"/>
      <c r="GQQ7" s="0"/>
      <c r="GQR7" s="0"/>
      <c r="GQS7" s="0"/>
      <c r="GQT7" s="0"/>
      <c r="GQU7" s="0"/>
      <c r="GQV7" s="0"/>
      <c r="GQW7" s="0"/>
      <c r="GQX7" s="0"/>
      <c r="GQY7" s="0"/>
      <c r="GQZ7" s="0"/>
      <c r="GRA7" s="0"/>
      <c r="GRB7" s="0"/>
      <c r="GRC7" s="0"/>
      <c r="GRD7" s="0"/>
      <c r="GRE7" s="0"/>
      <c r="GRF7" s="0"/>
      <c r="GRG7" s="0"/>
      <c r="GRH7" s="0"/>
      <c r="GRI7" s="0"/>
      <c r="GRJ7" s="0"/>
      <c r="GRK7" s="0"/>
      <c r="GRL7" s="0"/>
      <c r="GRM7" s="0"/>
      <c r="GRN7" s="0"/>
      <c r="GRO7" s="0"/>
      <c r="GRP7" s="0"/>
      <c r="GRQ7" s="0"/>
      <c r="GRR7" s="0"/>
      <c r="GRS7" s="0"/>
      <c r="GRT7" s="0"/>
      <c r="GRU7" s="0"/>
      <c r="GRV7" s="0"/>
      <c r="GRW7" s="0"/>
      <c r="GRX7" s="0"/>
      <c r="GRY7" s="0"/>
      <c r="GRZ7" s="0"/>
      <c r="GSA7" s="0"/>
      <c r="GSB7" s="0"/>
      <c r="GSC7" s="0"/>
      <c r="GSD7" s="0"/>
      <c r="GSE7" s="0"/>
      <c r="GSF7" s="0"/>
      <c r="GSG7" s="0"/>
      <c r="GSH7" s="0"/>
      <c r="GSI7" s="0"/>
      <c r="GSJ7" s="0"/>
      <c r="GSK7" s="0"/>
      <c r="GSL7" s="0"/>
      <c r="GSM7" s="0"/>
      <c r="GSN7" s="0"/>
      <c r="GSO7" s="0"/>
      <c r="GSP7" s="0"/>
      <c r="GSQ7" s="0"/>
      <c r="GSR7" s="0"/>
      <c r="GSS7" s="0"/>
      <c r="GST7" s="0"/>
      <c r="GSU7" s="0"/>
      <c r="GSV7" s="0"/>
      <c r="GSW7" s="0"/>
      <c r="GSX7" s="0"/>
      <c r="GSY7" s="0"/>
      <c r="GSZ7" s="0"/>
      <c r="GTA7" s="0"/>
      <c r="GTB7" s="0"/>
      <c r="GTC7" s="0"/>
      <c r="GTD7" s="0"/>
      <c r="GTE7" s="0"/>
      <c r="GTF7" s="0"/>
      <c r="GTG7" s="0"/>
      <c r="GTH7" s="0"/>
      <c r="GTI7" s="0"/>
      <c r="GTJ7" s="0"/>
      <c r="GTK7" s="0"/>
      <c r="GTL7" s="0"/>
      <c r="GTM7" s="0"/>
      <c r="GTN7" s="0"/>
      <c r="GTO7" s="0"/>
      <c r="GTP7" s="0"/>
      <c r="GTQ7" s="0"/>
      <c r="GTR7" s="0"/>
      <c r="GTS7" s="0"/>
      <c r="GTT7" s="0"/>
      <c r="GTU7" s="0"/>
      <c r="GTV7" s="0"/>
      <c r="GTW7" s="0"/>
      <c r="GTX7" s="0"/>
      <c r="GTY7" s="0"/>
      <c r="GTZ7" s="0"/>
      <c r="GUA7" s="0"/>
      <c r="GUB7" s="0"/>
      <c r="GUC7" s="0"/>
      <c r="GUD7" s="0"/>
      <c r="GUE7" s="0"/>
      <c r="GUF7" s="0"/>
      <c r="GUG7" s="0"/>
      <c r="GUH7" s="0"/>
      <c r="GUI7" s="0"/>
      <c r="GUJ7" s="0"/>
      <c r="GUK7" s="0"/>
      <c r="GUL7" s="0"/>
      <c r="GUM7" s="0"/>
      <c r="GUN7" s="0"/>
      <c r="GUO7" s="0"/>
      <c r="GUP7" s="0"/>
      <c r="GUQ7" s="0"/>
      <c r="GUR7" s="0"/>
      <c r="GUS7" s="0"/>
      <c r="GUT7" s="0"/>
      <c r="GUU7" s="0"/>
      <c r="GUV7" s="0"/>
      <c r="GUW7" s="0"/>
      <c r="GUX7" s="0"/>
      <c r="GUY7" s="0"/>
      <c r="GUZ7" s="0"/>
      <c r="GVA7" s="0"/>
      <c r="GVB7" s="0"/>
      <c r="GVC7" s="0"/>
      <c r="GVD7" s="0"/>
      <c r="GVE7" s="0"/>
      <c r="GVF7" s="0"/>
      <c r="GVG7" s="0"/>
      <c r="GVH7" s="0"/>
      <c r="GVI7" s="0"/>
      <c r="GVJ7" s="0"/>
      <c r="GVK7" s="0"/>
      <c r="GVL7" s="0"/>
      <c r="GVM7" s="0"/>
      <c r="GVN7" s="0"/>
      <c r="GVO7" s="0"/>
      <c r="GVP7" s="0"/>
      <c r="GVQ7" s="0"/>
      <c r="GVR7" s="0"/>
      <c r="GVS7" s="0"/>
      <c r="GVT7" s="0"/>
      <c r="GVU7" s="0"/>
      <c r="GVV7" s="0"/>
      <c r="GVW7" s="0"/>
      <c r="GVX7" s="0"/>
      <c r="GVY7" s="0"/>
      <c r="GVZ7" s="0"/>
      <c r="GWA7" s="0"/>
      <c r="GWB7" s="0"/>
      <c r="GWC7" s="0"/>
      <c r="GWD7" s="0"/>
      <c r="GWE7" s="0"/>
      <c r="GWF7" s="0"/>
      <c r="GWG7" s="0"/>
      <c r="GWH7" s="0"/>
      <c r="GWI7" s="0"/>
      <c r="GWJ7" s="0"/>
      <c r="GWK7" s="0"/>
      <c r="GWL7" s="0"/>
      <c r="GWM7" s="0"/>
      <c r="GWN7" s="0"/>
      <c r="GWO7" s="0"/>
      <c r="GWP7" s="0"/>
      <c r="GWQ7" s="0"/>
      <c r="GWR7" s="0"/>
      <c r="GWS7" s="0"/>
      <c r="GWT7" s="0"/>
      <c r="GWU7" s="0"/>
      <c r="GWV7" s="0"/>
      <c r="GWW7" s="0"/>
      <c r="GWX7" s="0"/>
      <c r="GWY7" s="0"/>
      <c r="GWZ7" s="0"/>
      <c r="GXA7" s="0"/>
      <c r="GXB7" s="0"/>
      <c r="GXC7" s="0"/>
      <c r="GXD7" s="0"/>
      <c r="GXE7" s="0"/>
      <c r="GXF7" s="0"/>
      <c r="GXG7" s="0"/>
      <c r="GXH7" s="0"/>
      <c r="GXI7" s="0"/>
      <c r="GXJ7" s="0"/>
      <c r="GXK7" s="0"/>
      <c r="GXL7" s="0"/>
      <c r="GXM7" s="0"/>
      <c r="GXN7" s="0"/>
      <c r="GXO7" s="0"/>
      <c r="GXP7" s="0"/>
      <c r="GXQ7" s="0"/>
      <c r="GXR7" s="0"/>
      <c r="GXS7" s="0"/>
      <c r="GXT7" s="0"/>
      <c r="GXU7" s="0"/>
      <c r="GXV7" s="0"/>
      <c r="GXW7" s="0"/>
      <c r="GXX7" s="0"/>
      <c r="GXY7" s="0"/>
      <c r="GXZ7" s="0"/>
      <c r="GYA7" s="0"/>
      <c r="GYB7" s="0"/>
      <c r="GYC7" s="0"/>
      <c r="GYD7" s="0"/>
      <c r="GYE7" s="0"/>
      <c r="GYF7" s="0"/>
      <c r="GYG7" s="0"/>
      <c r="GYH7" s="0"/>
      <c r="GYI7" s="0"/>
      <c r="GYJ7" s="0"/>
      <c r="GYK7" s="0"/>
      <c r="GYL7" s="0"/>
      <c r="GYM7" s="0"/>
      <c r="GYN7" s="0"/>
      <c r="GYO7" s="0"/>
      <c r="GYP7" s="0"/>
      <c r="GYQ7" s="0"/>
      <c r="GYR7" s="0"/>
      <c r="GYS7" s="0"/>
      <c r="GYT7" s="0"/>
      <c r="GYU7" s="0"/>
      <c r="GYV7" s="0"/>
      <c r="GYW7" s="0"/>
      <c r="GYX7" s="0"/>
      <c r="GYY7" s="0"/>
      <c r="GYZ7" s="0"/>
      <c r="GZA7" s="0"/>
      <c r="GZB7" s="0"/>
      <c r="GZC7" s="0"/>
      <c r="GZD7" s="0"/>
      <c r="GZE7" s="0"/>
      <c r="GZF7" s="0"/>
      <c r="GZG7" s="0"/>
      <c r="GZH7" s="0"/>
      <c r="GZI7" s="0"/>
      <c r="GZJ7" s="0"/>
      <c r="GZK7" s="0"/>
      <c r="GZL7" s="0"/>
      <c r="GZM7" s="0"/>
      <c r="GZN7" s="0"/>
      <c r="GZO7" s="0"/>
      <c r="GZP7" s="0"/>
      <c r="GZQ7" s="0"/>
      <c r="GZR7" s="0"/>
      <c r="GZS7" s="0"/>
      <c r="GZT7" s="0"/>
      <c r="GZU7" s="0"/>
      <c r="GZV7" s="0"/>
      <c r="GZW7" s="0"/>
      <c r="GZX7" s="0"/>
      <c r="GZY7" s="0"/>
      <c r="GZZ7" s="0"/>
      <c r="HAA7" s="0"/>
      <c r="HAB7" s="0"/>
      <c r="HAC7" s="0"/>
      <c r="HAD7" s="0"/>
      <c r="HAE7" s="0"/>
      <c r="HAF7" s="0"/>
      <c r="HAG7" s="0"/>
      <c r="HAH7" s="0"/>
      <c r="HAI7" s="0"/>
      <c r="HAJ7" s="0"/>
      <c r="HAK7" s="0"/>
      <c r="HAL7" s="0"/>
      <c r="HAM7" s="0"/>
      <c r="HAN7" s="0"/>
      <c r="HAO7" s="0"/>
      <c r="HAP7" s="0"/>
      <c r="HAQ7" s="0"/>
      <c r="HAR7" s="0"/>
      <c r="HAS7" s="0"/>
      <c r="HAT7" s="0"/>
      <c r="HAU7" s="0"/>
      <c r="HAV7" s="0"/>
      <c r="HAW7" s="0"/>
      <c r="HAX7" s="0"/>
      <c r="HAY7" s="0"/>
      <c r="HAZ7" s="0"/>
      <c r="HBA7" s="0"/>
      <c r="HBB7" s="0"/>
      <c r="HBC7" s="0"/>
      <c r="HBD7" s="0"/>
      <c r="HBE7" s="0"/>
      <c r="HBF7" s="0"/>
      <c r="HBG7" s="0"/>
      <c r="HBH7" s="0"/>
      <c r="HBI7" s="0"/>
      <c r="HBJ7" s="0"/>
      <c r="HBK7" s="0"/>
      <c r="HBL7" s="0"/>
      <c r="HBM7" s="0"/>
      <c r="HBN7" s="0"/>
      <c r="HBO7" s="0"/>
      <c r="HBP7" s="0"/>
      <c r="HBQ7" s="0"/>
      <c r="HBR7" s="0"/>
      <c r="HBS7" s="0"/>
      <c r="HBT7" s="0"/>
      <c r="HBU7" s="0"/>
      <c r="HBV7" s="0"/>
      <c r="HBW7" s="0"/>
      <c r="HBX7" s="0"/>
      <c r="HBY7" s="0"/>
      <c r="HBZ7" s="0"/>
      <c r="HCA7" s="0"/>
      <c r="HCB7" s="0"/>
      <c r="HCC7" s="0"/>
      <c r="HCD7" s="0"/>
      <c r="HCE7" s="0"/>
      <c r="HCF7" s="0"/>
      <c r="HCG7" s="0"/>
      <c r="HCH7" s="0"/>
      <c r="HCI7" s="0"/>
      <c r="HCJ7" s="0"/>
      <c r="HCK7" s="0"/>
      <c r="HCL7" s="0"/>
      <c r="HCM7" s="0"/>
      <c r="HCN7" s="0"/>
      <c r="HCO7" s="0"/>
      <c r="HCP7" s="0"/>
      <c r="HCQ7" s="0"/>
      <c r="HCR7" s="0"/>
      <c r="HCS7" s="0"/>
      <c r="HCT7" s="0"/>
      <c r="HCU7" s="0"/>
      <c r="HCV7" s="0"/>
      <c r="HCW7" s="0"/>
      <c r="HCX7" s="0"/>
      <c r="HCY7" s="0"/>
      <c r="HCZ7" s="0"/>
      <c r="HDA7" s="0"/>
      <c r="HDB7" s="0"/>
      <c r="HDC7" s="0"/>
      <c r="HDD7" s="0"/>
      <c r="HDE7" s="0"/>
      <c r="HDF7" s="0"/>
      <c r="HDG7" s="0"/>
      <c r="HDH7" s="0"/>
      <c r="HDI7" s="0"/>
      <c r="HDJ7" s="0"/>
      <c r="HDK7" s="0"/>
      <c r="HDL7" s="0"/>
      <c r="HDM7" s="0"/>
      <c r="HDN7" s="0"/>
      <c r="HDO7" s="0"/>
      <c r="HDP7" s="0"/>
      <c r="HDQ7" s="0"/>
      <c r="HDR7" s="0"/>
      <c r="HDS7" s="0"/>
      <c r="HDT7" s="0"/>
      <c r="HDU7" s="0"/>
      <c r="HDV7" s="0"/>
      <c r="HDW7" s="0"/>
      <c r="HDX7" s="0"/>
      <c r="HDY7" s="0"/>
      <c r="HDZ7" s="0"/>
      <c r="HEA7" s="0"/>
      <c r="HEB7" s="0"/>
      <c r="HEC7" s="0"/>
      <c r="HED7" s="0"/>
      <c r="HEE7" s="0"/>
      <c r="HEF7" s="0"/>
      <c r="HEG7" s="0"/>
      <c r="HEH7" s="0"/>
      <c r="HEI7" s="0"/>
      <c r="HEJ7" s="0"/>
      <c r="HEK7" s="0"/>
      <c r="HEL7" s="0"/>
      <c r="HEM7" s="0"/>
      <c r="HEN7" s="0"/>
      <c r="HEO7" s="0"/>
      <c r="HEP7" s="0"/>
      <c r="HEQ7" s="0"/>
      <c r="HER7" s="0"/>
      <c r="HES7" s="0"/>
      <c r="HET7" s="0"/>
      <c r="HEU7" s="0"/>
      <c r="HEV7" s="0"/>
      <c r="HEW7" s="0"/>
      <c r="HEX7" s="0"/>
      <c r="HEY7" s="0"/>
      <c r="HEZ7" s="0"/>
      <c r="HFA7" s="0"/>
      <c r="HFB7" s="0"/>
      <c r="HFC7" s="0"/>
      <c r="HFD7" s="0"/>
      <c r="HFE7" s="0"/>
      <c r="HFF7" s="0"/>
      <c r="HFG7" s="0"/>
      <c r="HFH7" s="0"/>
      <c r="HFI7" s="0"/>
      <c r="HFJ7" s="0"/>
      <c r="HFK7" s="0"/>
      <c r="HFL7" s="0"/>
      <c r="HFM7" s="0"/>
      <c r="HFN7" s="0"/>
      <c r="HFO7" s="0"/>
      <c r="HFP7" s="0"/>
      <c r="HFQ7" s="0"/>
      <c r="HFR7" s="0"/>
      <c r="HFS7" s="0"/>
      <c r="HFT7" s="0"/>
      <c r="HFU7" s="0"/>
      <c r="HFV7" s="0"/>
      <c r="HFW7" s="0"/>
      <c r="HFX7" s="0"/>
      <c r="HFY7" s="0"/>
      <c r="HFZ7" s="0"/>
      <c r="HGA7" s="0"/>
      <c r="HGB7" s="0"/>
      <c r="HGC7" s="0"/>
      <c r="HGD7" s="0"/>
      <c r="HGE7" s="0"/>
      <c r="HGF7" s="0"/>
      <c r="HGG7" s="0"/>
      <c r="HGH7" s="0"/>
      <c r="HGI7" s="0"/>
      <c r="HGJ7" s="0"/>
      <c r="HGK7" s="0"/>
      <c r="HGL7" s="0"/>
      <c r="HGM7" s="0"/>
      <c r="HGN7" s="0"/>
      <c r="HGO7" s="0"/>
      <c r="HGP7" s="0"/>
      <c r="HGQ7" s="0"/>
      <c r="HGR7" s="0"/>
      <c r="HGS7" s="0"/>
      <c r="HGT7" s="0"/>
      <c r="HGU7" s="0"/>
      <c r="HGV7" s="0"/>
      <c r="HGW7" s="0"/>
      <c r="HGX7" s="0"/>
      <c r="HGY7" s="0"/>
      <c r="HGZ7" s="0"/>
      <c r="HHA7" s="0"/>
      <c r="HHB7" s="0"/>
      <c r="HHC7" s="0"/>
      <c r="HHD7" s="0"/>
      <c r="HHE7" s="0"/>
      <c r="HHF7" s="0"/>
      <c r="HHG7" s="0"/>
      <c r="HHH7" s="0"/>
      <c r="HHI7" s="0"/>
      <c r="HHJ7" s="0"/>
      <c r="HHK7" s="0"/>
      <c r="HHL7" s="0"/>
      <c r="HHM7" s="0"/>
      <c r="HHN7" s="0"/>
      <c r="HHO7" s="0"/>
      <c r="HHP7" s="0"/>
      <c r="HHQ7" s="0"/>
      <c r="HHR7" s="0"/>
      <c r="HHS7" s="0"/>
      <c r="HHT7" s="0"/>
      <c r="HHU7" s="0"/>
      <c r="HHV7" s="0"/>
      <c r="HHW7" s="0"/>
      <c r="HHX7" s="0"/>
      <c r="HHY7" s="0"/>
      <c r="HHZ7" s="0"/>
      <c r="HIA7" s="0"/>
      <c r="HIB7" s="0"/>
      <c r="HIC7" s="0"/>
      <c r="HID7" s="0"/>
      <c r="HIE7" s="0"/>
      <c r="HIF7" s="0"/>
      <c r="HIG7" s="0"/>
      <c r="HIH7" s="0"/>
      <c r="HII7" s="0"/>
      <c r="HIJ7" s="0"/>
      <c r="HIK7" s="0"/>
      <c r="HIL7" s="0"/>
      <c r="HIM7" s="0"/>
      <c r="HIN7" s="0"/>
      <c r="HIO7" s="0"/>
      <c r="HIP7" s="0"/>
      <c r="HIQ7" s="0"/>
      <c r="HIR7" s="0"/>
      <c r="HIS7" s="0"/>
      <c r="HIT7" s="0"/>
      <c r="HIU7" s="0"/>
      <c r="HIV7" s="0"/>
      <c r="HIW7" s="0"/>
      <c r="HIX7" s="0"/>
      <c r="HIY7" s="0"/>
      <c r="HIZ7" s="0"/>
      <c r="HJA7" s="0"/>
      <c r="HJB7" s="0"/>
      <c r="HJC7" s="0"/>
      <c r="HJD7" s="0"/>
      <c r="HJE7" s="0"/>
      <c r="HJF7" s="0"/>
      <c r="HJG7" s="0"/>
      <c r="HJH7" s="0"/>
      <c r="HJI7" s="0"/>
      <c r="HJJ7" s="0"/>
      <c r="HJK7" s="0"/>
      <c r="HJL7" s="0"/>
      <c r="HJM7" s="0"/>
      <c r="HJN7" s="0"/>
      <c r="HJO7" s="0"/>
      <c r="HJP7" s="0"/>
      <c r="HJQ7" s="0"/>
      <c r="HJR7" s="0"/>
      <c r="HJS7" s="0"/>
      <c r="HJT7" s="0"/>
      <c r="HJU7" s="0"/>
      <c r="HJV7" s="0"/>
      <c r="HJW7" s="0"/>
      <c r="HJX7" s="0"/>
      <c r="HJY7" s="0"/>
      <c r="HJZ7" s="0"/>
      <c r="HKA7" s="0"/>
      <c r="HKB7" s="0"/>
      <c r="HKC7" s="0"/>
      <c r="HKD7" s="0"/>
      <c r="HKE7" s="0"/>
      <c r="HKF7" s="0"/>
      <c r="HKG7" s="0"/>
      <c r="HKH7" s="0"/>
      <c r="HKI7" s="0"/>
      <c r="HKJ7" s="0"/>
      <c r="HKK7" s="0"/>
      <c r="HKL7" s="0"/>
      <c r="HKM7" s="0"/>
      <c r="HKN7" s="0"/>
      <c r="HKO7" s="0"/>
      <c r="HKP7" s="0"/>
      <c r="HKQ7" s="0"/>
      <c r="HKR7" s="0"/>
      <c r="HKS7" s="0"/>
      <c r="HKT7" s="0"/>
      <c r="HKU7" s="0"/>
      <c r="HKV7" s="0"/>
      <c r="HKW7" s="0"/>
      <c r="HKX7" s="0"/>
      <c r="HKY7" s="0"/>
      <c r="HKZ7" s="0"/>
      <c r="HLA7" s="0"/>
      <c r="HLB7" s="0"/>
      <c r="HLC7" s="0"/>
      <c r="HLD7" s="0"/>
      <c r="HLE7" s="0"/>
      <c r="HLF7" s="0"/>
      <c r="HLG7" s="0"/>
      <c r="HLH7" s="0"/>
      <c r="HLI7" s="0"/>
      <c r="HLJ7" s="0"/>
      <c r="HLK7" s="0"/>
      <c r="HLL7" s="0"/>
      <c r="HLM7" s="0"/>
      <c r="HLN7" s="0"/>
      <c r="HLO7" s="0"/>
      <c r="HLP7" s="0"/>
      <c r="HLQ7" s="0"/>
      <c r="HLR7" s="0"/>
      <c r="HLS7" s="0"/>
      <c r="HLT7" s="0"/>
      <c r="HLU7" s="0"/>
      <c r="HLV7" s="0"/>
      <c r="HLW7" s="0"/>
      <c r="HLX7" s="0"/>
      <c r="HLY7" s="0"/>
      <c r="HLZ7" s="0"/>
      <c r="HMA7" s="0"/>
      <c r="HMB7" s="0"/>
      <c r="HMC7" s="0"/>
      <c r="HMD7" s="0"/>
      <c r="HME7" s="0"/>
      <c r="HMF7" s="0"/>
      <c r="HMG7" s="0"/>
      <c r="HMH7" s="0"/>
      <c r="HMI7" s="0"/>
      <c r="HMJ7" s="0"/>
      <c r="HMK7" s="0"/>
      <c r="HML7" s="0"/>
      <c r="HMM7" s="0"/>
      <c r="HMN7" s="0"/>
      <c r="HMO7" s="0"/>
      <c r="HMP7" s="0"/>
      <c r="HMQ7" s="0"/>
      <c r="HMR7" s="0"/>
      <c r="HMS7" s="0"/>
      <c r="HMT7" s="0"/>
      <c r="HMU7" s="0"/>
      <c r="HMV7" s="0"/>
      <c r="HMW7" s="0"/>
      <c r="HMX7" s="0"/>
      <c r="HMY7" s="0"/>
      <c r="HMZ7" s="0"/>
      <c r="HNA7" s="0"/>
      <c r="HNB7" s="0"/>
      <c r="HNC7" s="0"/>
      <c r="HND7" s="0"/>
      <c r="HNE7" s="0"/>
      <c r="HNF7" s="0"/>
      <c r="HNG7" s="0"/>
      <c r="HNH7" s="0"/>
      <c r="HNI7" s="0"/>
      <c r="HNJ7" s="0"/>
      <c r="HNK7" s="0"/>
      <c r="HNL7" s="0"/>
      <c r="HNM7" s="0"/>
      <c r="HNN7" s="0"/>
      <c r="HNO7" s="0"/>
      <c r="HNP7" s="0"/>
      <c r="HNQ7" s="0"/>
      <c r="HNR7" s="0"/>
      <c r="HNS7" s="0"/>
      <c r="HNT7" s="0"/>
      <c r="HNU7" s="0"/>
      <c r="HNV7" s="0"/>
      <c r="HNW7" s="0"/>
      <c r="HNX7" s="0"/>
      <c r="HNY7" s="0"/>
      <c r="HNZ7" s="0"/>
      <c r="HOA7" s="0"/>
      <c r="HOB7" s="0"/>
      <c r="HOC7" s="0"/>
      <c r="HOD7" s="0"/>
      <c r="HOE7" s="0"/>
      <c r="HOF7" s="0"/>
      <c r="HOG7" s="0"/>
      <c r="HOH7" s="0"/>
      <c r="HOI7" s="0"/>
      <c r="HOJ7" s="0"/>
      <c r="HOK7" s="0"/>
      <c r="HOL7" s="0"/>
      <c r="HOM7" s="0"/>
      <c r="HON7" s="0"/>
      <c r="HOO7" s="0"/>
      <c r="HOP7" s="0"/>
      <c r="HOQ7" s="0"/>
      <c r="HOR7" s="0"/>
      <c r="HOS7" s="0"/>
      <c r="HOT7" s="0"/>
      <c r="HOU7" s="0"/>
      <c r="HOV7" s="0"/>
      <c r="HOW7" s="0"/>
      <c r="HOX7" s="0"/>
      <c r="HOY7" s="0"/>
      <c r="HOZ7" s="0"/>
      <c r="HPA7" s="0"/>
      <c r="HPB7" s="0"/>
      <c r="HPC7" s="0"/>
      <c r="HPD7" s="0"/>
      <c r="HPE7" s="0"/>
      <c r="HPF7" s="0"/>
      <c r="HPG7" s="0"/>
      <c r="HPH7" s="0"/>
      <c r="HPI7" s="0"/>
      <c r="HPJ7" s="0"/>
      <c r="HPK7" s="0"/>
      <c r="HPL7" s="0"/>
      <c r="HPM7" s="0"/>
      <c r="HPN7" s="0"/>
      <c r="HPO7" s="0"/>
      <c r="HPP7" s="0"/>
      <c r="HPQ7" s="0"/>
      <c r="HPR7" s="0"/>
      <c r="HPS7" s="0"/>
      <c r="HPT7" s="0"/>
      <c r="HPU7" s="0"/>
      <c r="HPV7" s="0"/>
      <c r="HPW7" s="0"/>
      <c r="HPX7" s="0"/>
      <c r="HPY7" s="0"/>
      <c r="HPZ7" s="0"/>
      <c r="HQA7" s="0"/>
      <c r="HQB7" s="0"/>
      <c r="HQC7" s="0"/>
      <c r="HQD7" s="0"/>
      <c r="HQE7" s="0"/>
      <c r="HQF7" s="0"/>
      <c r="HQG7" s="0"/>
      <c r="HQH7" s="0"/>
      <c r="HQI7" s="0"/>
      <c r="HQJ7" s="0"/>
      <c r="HQK7" s="0"/>
      <c r="HQL7" s="0"/>
      <c r="HQM7" s="0"/>
      <c r="HQN7" s="0"/>
      <c r="HQO7" s="0"/>
      <c r="HQP7" s="0"/>
      <c r="HQQ7" s="0"/>
      <c r="HQR7" s="0"/>
      <c r="HQS7" s="0"/>
      <c r="HQT7" s="0"/>
      <c r="HQU7" s="0"/>
      <c r="HQV7" s="0"/>
      <c r="HQW7" s="0"/>
      <c r="HQX7" s="0"/>
      <c r="HQY7" s="0"/>
      <c r="HQZ7" s="0"/>
      <c r="HRA7" s="0"/>
      <c r="HRB7" s="0"/>
      <c r="HRC7" s="0"/>
      <c r="HRD7" s="0"/>
      <c r="HRE7" s="0"/>
      <c r="HRF7" s="0"/>
      <c r="HRG7" s="0"/>
      <c r="HRH7" s="0"/>
      <c r="HRI7" s="0"/>
      <c r="HRJ7" s="0"/>
      <c r="HRK7" s="0"/>
      <c r="HRL7" s="0"/>
      <c r="HRM7" s="0"/>
      <c r="HRN7" s="0"/>
      <c r="HRO7" s="0"/>
      <c r="HRP7" s="0"/>
      <c r="HRQ7" s="0"/>
      <c r="HRR7" s="0"/>
      <c r="HRS7" s="0"/>
      <c r="HRT7" s="0"/>
      <c r="HRU7" s="0"/>
      <c r="HRV7" s="0"/>
      <c r="HRW7" s="0"/>
      <c r="HRX7" s="0"/>
      <c r="HRY7" s="0"/>
      <c r="HRZ7" s="0"/>
      <c r="HSA7" s="0"/>
      <c r="HSB7" s="0"/>
      <c r="HSC7" s="0"/>
      <c r="HSD7" s="0"/>
      <c r="HSE7" s="0"/>
      <c r="HSF7" s="0"/>
      <c r="HSG7" s="0"/>
      <c r="HSH7" s="0"/>
      <c r="HSI7" s="0"/>
      <c r="HSJ7" s="0"/>
      <c r="HSK7" s="0"/>
      <c r="HSL7" s="0"/>
      <c r="HSM7" s="0"/>
      <c r="HSN7" s="0"/>
      <c r="HSO7" s="0"/>
      <c r="HSP7" s="0"/>
      <c r="HSQ7" s="0"/>
      <c r="HSR7" s="0"/>
      <c r="HSS7" s="0"/>
      <c r="HST7" s="0"/>
      <c r="HSU7" s="0"/>
      <c r="HSV7" s="0"/>
      <c r="HSW7" s="0"/>
      <c r="HSX7" s="0"/>
      <c r="HSY7" s="0"/>
      <c r="HSZ7" s="0"/>
      <c r="HTA7" s="0"/>
      <c r="HTB7" s="0"/>
      <c r="HTC7" s="0"/>
      <c r="HTD7" s="0"/>
      <c r="HTE7" s="0"/>
      <c r="HTF7" s="0"/>
      <c r="HTG7" s="0"/>
      <c r="HTH7" s="0"/>
      <c r="HTI7" s="0"/>
      <c r="HTJ7" s="0"/>
      <c r="HTK7" s="0"/>
      <c r="HTL7" s="0"/>
      <c r="HTM7" s="0"/>
      <c r="HTN7" s="0"/>
      <c r="HTO7" s="0"/>
      <c r="HTP7" s="0"/>
      <c r="HTQ7" s="0"/>
      <c r="HTR7" s="0"/>
      <c r="HTS7" s="0"/>
      <c r="HTT7" s="0"/>
      <c r="HTU7" s="0"/>
      <c r="HTV7" s="0"/>
      <c r="HTW7" s="0"/>
      <c r="HTX7" s="0"/>
      <c r="HTY7" s="0"/>
      <c r="HTZ7" s="0"/>
      <c r="HUA7" s="0"/>
      <c r="HUB7" s="0"/>
      <c r="HUC7" s="0"/>
      <c r="HUD7" s="0"/>
      <c r="HUE7" s="0"/>
      <c r="HUF7" s="0"/>
      <c r="HUG7" s="0"/>
      <c r="HUH7" s="0"/>
      <c r="HUI7" s="0"/>
      <c r="HUJ7" s="0"/>
      <c r="HUK7" s="0"/>
      <c r="HUL7" s="0"/>
      <c r="HUM7" s="0"/>
      <c r="HUN7" s="0"/>
      <c r="HUO7" s="0"/>
      <c r="HUP7" s="0"/>
      <c r="HUQ7" s="0"/>
      <c r="HUR7" s="0"/>
      <c r="HUS7" s="0"/>
      <c r="HUT7" s="0"/>
      <c r="HUU7" s="0"/>
      <c r="HUV7" s="0"/>
      <c r="HUW7" s="0"/>
      <c r="HUX7" s="0"/>
      <c r="HUY7" s="0"/>
      <c r="HUZ7" s="0"/>
      <c r="HVA7" s="0"/>
      <c r="HVB7" s="0"/>
      <c r="HVC7" s="0"/>
      <c r="HVD7" s="0"/>
      <c r="HVE7" s="0"/>
      <c r="HVF7" s="0"/>
      <c r="HVG7" s="0"/>
      <c r="HVH7" s="0"/>
      <c r="HVI7" s="0"/>
      <c r="HVJ7" s="0"/>
      <c r="HVK7" s="0"/>
      <c r="HVL7" s="0"/>
      <c r="HVM7" s="0"/>
      <c r="HVN7" s="0"/>
      <c r="HVO7" s="0"/>
      <c r="HVP7" s="0"/>
      <c r="HVQ7" s="0"/>
      <c r="HVR7" s="0"/>
      <c r="HVS7" s="0"/>
      <c r="HVT7" s="0"/>
      <c r="HVU7" s="0"/>
      <c r="HVV7" s="0"/>
      <c r="HVW7" s="0"/>
      <c r="HVX7" s="0"/>
      <c r="HVY7" s="0"/>
      <c r="HVZ7" s="0"/>
      <c r="HWA7" s="0"/>
      <c r="HWB7" s="0"/>
      <c r="HWC7" s="0"/>
      <c r="HWD7" s="0"/>
      <c r="HWE7" s="0"/>
      <c r="HWF7" s="0"/>
      <c r="HWG7" s="0"/>
      <c r="HWH7" s="0"/>
      <c r="HWI7" s="0"/>
      <c r="HWJ7" s="0"/>
      <c r="HWK7" s="0"/>
      <c r="HWL7" s="0"/>
      <c r="HWM7" s="0"/>
      <c r="HWN7" s="0"/>
      <c r="HWO7" s="0"/>
      <c r="HWP7" s="0"/>
      <c r="HWQ7" s="0"/>
      <c r="HWR7" s="0"/>
      <c r="HWS7" s="0"/>
      <c r="HWT7" s="0"/>
      <c r="HWU7" s="0"/>
      <c r="HWV7" s="0"/>
      <c r="HWW7" s="0"/>
      <c r="HWX7" s="0"/>
      <c r="HWY7" s="0"/>
      <c r="HWZ7" s="0"/>
      <c r="HXA7" s="0"/>
      <c r="HXB7" s="0"/>
      <c r="HXC7" s="0"/>
      <c r="HXD7" s="0"/>
      <c r="HXE7" s="0"/>
      <c r="HXF7" s="0"/>
      <c r="HXG7" s="0"/>
      <c r="HXH7" s="0"/>
      <c r="HXI7" s="0"/>
      <c r="HXJ7" s="0"/>
      <c r="HXK7" s="0"/>
      <c r="HXL7" s="0"/>
      <c r="HXM7" s="0"/>
      <c r="HXN7" s="0"/>
      <c r="HXO7" s="0"/>
      <c r="HXP7" s="0"/>
      <c r="HXQ7" s="0"/>
      <c r="HXR7" s="0"/>
      <c r="HXS7" s="0"/>
      <c r="HXT7" s="0"/>
      <c r="HXU7" s="0"/>
      <c r="HXV7" s="0"/>
      <c r="HXW7" s="0"/>
      <c r="HXX7" s="0"/>
      <c r="HXY7" s="0"/>
      <c r="HXZ7" s="0"/>
      <c r="HYA7" s="0"/>
      <c r="HYB7" s="0"/>
      <c r="HYC7" s="0"/>
      <c r="HYD7" s="0"/>
      <c r="HYE7" s="0"/>
      <c r="HYF7" s="0"/>
      <c r="HYG7" s="0"/>
      <c r="HYH7" s="0"/>
      <c r="HYI7" s="0"/>
      <c r="HYJ7" s="0"/>
      <c r="HYK7" s="0"/>
      <c r="HYL7" s="0"/>
      <c r="HYM7" s="0"/>
      <c r="HYN7" s="0"/>
      <c r="HYO7" s="0"/>
      <c r="HYP7" s="0"/>
      <c r="HYQ7" s="0"/>
      <c r="HYR7" s="0"/>
      <c r="HYS7" s="0"/>
      <c r="HYT7" s="0"/>
      <c r="HYU7" s="0"/>
      <c r="HYV7" s="0"/>
      <c r="HYW7" s="0"/>
      <c r="HYX7" s="0"/>
      <c r="HYY7" s="0"/>
      <c r="HYZ7" s="0"/>
      <c r="HZA7" s="0"/>
      <c r="HZB7" s="0"/>
      <c r="HZC7" s="0"/>
      <c r="HZD7" s="0"/>
      <c r="HZE7" s="0"/>
      <c r="HZF7" s="0"/>
      <c r="HZG7" s="0"/>
      <c r="HZH7" s="0"/>
      <c r="HZI7" s="0"/>
      <c r="HZJ7" s="0"/>
      <c r="HZK7" s="0"/>
      <c r="HZL7" s="0"/>
      <c r="HZM7" s="0"/>
      <c r="HZN7" s="0"/>
      <c r="HZO7" s="0"/>
      <c r="HZP7" s="0"/>
      <c r="HZQ7" s="0"/>
      <c r="HZR7" s="0"/>
      <c r="HZS7" s="0"/>
      <c r="HZT7" s="0"/>
      <c r="HZU7" s="0"/>
      <c r="HZV7" s="0"/>
      <c r="HZW7" s="0"/>
      <c r="HZX7" s="0"/>
      <c r="HZY7" s="0"/>
      <c r="HZZ7" s="0"/>
      <c r="IAA7" s="0"/>
      <c r="IAB7" s="0"/>
      <c r="IAC7" s="0"/>
      <c r="IAD7" s="0"/>
      <c r="IAE7" s="0"/>
      <c r="IAF7" s="0"/>
      <c r="IAG7" s="0"/>
      <c r="IAH7" s="0"/>
      <c r="IAI7" s="0"/>
      <c r="IAJ7" s="0"/>
      <c r="IAK7" s="0"/>
      <c r="IAL7" s="0"/>
      <c r="IAM7" s="0"/>
      <c r="IAN7" s="0"/>
      <c r="IAO7" s="0"/>
      <c r="IAP7" s="0"/>
      <c r="IAQ7" s="0"/>
      <c r="IAR7" s="0"/>
      <c r="IAS7" s="0"/>
      <c r="IAT7" s="0"/>
      <c r="IAU7" s="0"/>
      <c r="IAV7" s="0"/>
      <c r="IAW7" s="0"/>
      <c r="IAX7" s="0"/>
      <c r="IAY7" s="0"/>
      <c r="IAZ7" s="0"/>
      <c r="IBA7" s="0"/>
      <c r="IBB7" s="0"/>
      <c r="IBC7" s="0"/>
      <c r="IBD7" s="0"/>
      <c r="IBE7" s="0"/>
      <c r="IBF7" s="0"/>
      <c r="IBG7" s="0"/>
      <c r="IBH7" s="0"/>
      <c r="IBI7" s="0"/>
      <c r="IBJ7" s="0"/>
      <c r="IBK7" s="0"/>
      <c r="IBL7" s="0"/>
      <c r="IBM7" s="0"/>
      <c r="IBN7" s="0"/>
      <c r="IBO7" s="0"/>
      <c r="IBP7" s="0"/>
      <c r="IBQ7" s="0"/>
      <c r="IBR7" s="0"/>
      <c r="IBS7" s="0"/>
      <c r="IBT7" s="0"/>
      <c r="IBU7" s="0"/>
      <c r="IBV7" s="0"/>
      <c r="IBW7" s="0"/>
      <c r="IBX7" s="0"/>
      <c r="IBY7" s="0"/>
      <c r="IBZ7" s="0"/>
      <c r="ICA7" s="0"/>
      <c r="ICB7" s="0"/>
      <c r="ICC7" s="0"/>
      <c r="ICD7" s="0"/>
      <c r="ICE7" s="0"/>
      <c r="ICF7" s="0"/>
      <c r="ICG7" s="0"/>
      <c r="ICH7" s="0"/>
      <c r="ICI7" s="0"/>
      <c r="ICJ7" s="0"/>
      <c r="ICK7" s="0"/>
      <c r="ICL7" s="0"/>
      <c r="ICM7" s="0"/>
      <c r="ICN7" s="0"/>
      <c r="ICO7" s="0"/>
      <c r="ICP7" s="0"/>
      <c r="ICQ7" s="0"/>
      <c r="ICR7" s="0"/>
      <c r="ICS7" s="0"/>
      <c r="ICT7" s="0"/>
      <c r="ICU7" s="0"/>
      <c r="ICV7" s="0"/>
      <c r="ICW7" s="0"/>
      <c r="ICX7" s="0"/>
      <c r="ICY7" s="0"/>
      <c r="ICZ7" s="0"/>
      <c r="IDA7" s="0"/>
      <c r="IDB7" s="0"/>
      <c r="IDC7" s="0"/>
      <c r="IDD7" s="0"/>
      <c r="IDE7" s="0"/>
      <c r="IDF7" s="0"/>
      <c r="IDG7" s="0"/>
      <c r="IDH7" s="0"/>
      <c r="IDI7" s="0"/>
      <c r="IDJ7" s="0"/>
      <c r="IDK7" s="0"/>
      <c r="IDL7" s="0"/>
      <c r="IDM7" s="0"/>
      <c r="IDN7" s="0"/>
      <c r="IDO7" s="0"/>
      <c r="IDP7" s="0"/>
      <c r="IDQ7" s="0"/>
      <c r="IDR7" s="0"/>
      <c r="IDS7" s="0"/>
      <c r="IDT7" s="0"/>
      <c r="IDU7" s="0"/>
      <c r="IDV7" s="0"/>
      <c r="IDW7" s="0"/>
      <c r="IDX7" s="0"/>
      <c r="IDY7" s="0"/>
      <c r="IDZ7" s="0"/>
      <c r="IEA7" s="0"/>
      <c r="IEB7" s="0"/>
      <c r="IEC7" s="0"/>
      <c r="IED7" s="0"/>
      <c r="IEE7" s="0"/>
      <c r="IEF7" s="0"/>
      <c r="IEG7" s="0"/>
      <c r="IEH7" s="0"/>
      <c r="IEI7" s="0"/>
      <c r="IEJ7" s="0"/>
      <c r="IEK7" s="0"/>
      <c r="IEL7" s="0"/>
      <c r="IEM7" s="0"/>
      <c r="IEN7" s="0"/>
      <c r="IEO7" s="0"/>
      <c r="IEP7" s="0"/>
      <c r="IEQ7" s="0"/>
      <c r="IER7" s="0"/>
      <c r="IES7" s="0"/>
      <c r="IET7" s="0"/>
      <c r="IEU7" s="0"/>
      <c r="IEV7" s="0"/>
      <c r="IEW7" s="0"/>
      <c r="IEX7" s="0"/>
      <c r="IEY7" s="0"/>
      <c r="IEZ7" s="0"/>
      <c r="IFA7" s="0"/>
      <c r="IFB7" s="0"/>
      <c r="IFC7" s="0"/>
      <c r="IFD7" s="0"/>
      <c r="IFE7" s="0"/>
      <c r="IFF7" s="0"/>
      <c r="IFG7" s="0"/>
      <c r="IFH7" s="0"/>
      <c r="IFI7" s="0"/>
      <c r="IFJ7" s="0"/>
      <c r="IFK7" s="0"/>
      <c r="IFL7" s="0"/>
      <c r="IFM7" s="0"/>
      <c r="IFN7" s="0"/>
      <c r="IFO7" s="0"/>
      <c r="IFP7" s="0"/>
      <c r="IFQ7" s="0"/>
      <c r="IFR7" s="0"/>
      <c r="IFS7" s="0"/>
      <c r="IFT7" s="0"/>
      <c r="IFU7" s="0"/>
      <c r="IFV7" s="0"/>
      <c r="IFW7" s="0"/>
      <c r="IFX7" s="0"/>
      <c r="IFY7" s="0"/>
      <c r="IFZ7" s="0"/>
      <c r="IGA7" s="0"/>
      <c r="IGB7" s="0"/>
      <c r="IGC7" s="0"/>
      <c r="IGD7" s="0"/>
      <c r="IGE7" s="0"/>
      <c r="IGF7" s="0"/>
      <c r="IGG7" s="0"/>
      <c r="IGH7" s="0"/>
      <c r="IGI7" s="0"/>
      <c r="IGJ7" s="0"/>
      <c r="IGK7" s="0"/>
      <c r="IGL7" s="0"/>
      <c r="IGM7" s="0"/>
      <c r="IGN7" s="0"/>
      <c r="IGO7" s="0"/>
      <c r="IGP7" s="0"/>
      <c r="IGQ7" s="0"/>
      <c r="IGR7" s="0"/>
      <c r="IGS7" s="0"/>
      <c r="IGT7" s="0"/>
      <c r="IGU7" s="0"/>
      <c r="IGV7" s="0"/>
      <c r="IGW7" s="0"/>
      <c r="IGX7" s="0"/>
      <c r="IGY7" s="0"/>
      <c r="IGZ7" s="0"/>
      <c r="IHA7" s="0"/>
      <c r="IHB7" s="0"/>
      <c r="IHC7" s="0"/>
      <c r="IHD7" s="0"/>
      <c r="IHE7" s="0"/>
      <c r="IHF7" s="0"/>
      <c r="IHG7" s="0"/>
      <c r="IHH7" s="0"/>
      <c r="IHI7" s="0"/>
      <c r="IHJ7" s="0"/>
      <c r="IHK7" s="0"/>
      <c r="IHL7" s="0"/>
      <c r="IHM7" s="0"/>
      <c r="IHN7" s="0"/>
      <c r="IHO7" s="0"/>
      <c r="IHP7" s="0"/>
      <c r="IHQ7" s="0"/>
      <c r="IHR7" s="0"/>
      <c r="IHS7" s="0"/>
      <c r="IHT7" s="0"/>
      <c r="IHU7" s="0"/>
      <c r="IHV7" s="0"/>
      <c r="IHW7" s="0"/>
      <c r="IHX7" s="0"/>
      <c r="IHY7" s="0"/>
      <c r="IHZ7" s="0"/>
      <c r="IIA7" s="0"/>
      <c r="IIB7" s="0"/>
      <c r="IIC7" s="0"/>
      <c r="IID7" s="0"/>
      <c r="IIE7" s="0"/>
      <c r="IIF7" s="0"/>
      <c r="IIG7" s="0"/>
      <c r="IIH7" s="0"/>
      <c r="III7" s="0"/>
      <c r="IIJ7" s="0"/>
      <c r="IIK7" s="0"/>
      <c r="IIL7" s="0"/>
      <c r="IIM7" s="0"/>
      <c r="IIN7" s="0"/>
      <c r="IIO7" s="0"/>
      <c r="IIP7" s="0"/>
      <c r="IIQ7" s="0"/>
      <c r="IIR7" s="0"/>
      <c r="IIS7" s="0"/>
      <c r="IIT7" s="0"/>
      <c r="IIU7" s="0"/>
      <c r="IIV7" s="0"/>
      <c r="IIW7" s="0"/>
      <c r="IIX7" s="0"/>
      <c r="IIY7" s="0"/>
      <c r="IIZ7" s="0"/>
      <c r="IJA7" s="0"/>
      <c r="IJB7" s="0"/>
      <c r="IJC7" s="0"/>
      <c r="IJD7" s="0"/>
      <c r="IJE7" s="0"/>
      <c r="IJF7" s="0"/>
      <c r="IJG7" s="0"/>
      <c r="IJH7" s="0"/>
      <c r="IJI7" s="0"/>
      <c r="IJJ7" s="0"/>
      <c r="IJK7" s="0"/>
      <c r="IJL7" s="0"/>
      <c r="IJM7" s="0"/>
      <c r="IJN7" s="0"/>
      <c r="IJO7" s="0"/>
      <c r="IJP7" s="0"/>
      <c r="IJQ7" s="0"/>
      <c r="IJR7" s="0"/>
      <c r="IJS7" s="0"/>
      <c r="IJT7" s="0"/>
      <c r="IJU7" s="0"/>
      <c r="IJV7" s="0"/>
      <c r="IJW7" s="0"/>
      <c r="IJX7" s="0"/>
      <c r="IJY7" s="0"/>
      <c r="IJZ7" s="0"/>
      <c r="IKA7" s="0"/>
      <c r="IKB7" s="0"/>
      <c r="IKC7" s="0"/>
      <c r="IKD7" s="0"/>
      <c r="IKE7" s="0"/>
      <c r="IKF7" s="0"/>
      <c r="IKG7" s="0"/>
      <c r="IKH7" s="0"/>
      <c r="IKI7" s="0"/>
      <c r="IKJ7" s="0"/>
      <c r="IKK7" s="0"/>
      <c r="IKL7" s="0"/>
      <c r="IKM7" s="0"/>
      <c r="IKN7" s="0"/>
      <c r="IKO7" s="0"/>
      <c r="IKP7" s="0"/>
      <c r="IKQ7" s="0"/>
      <c r="IKR7" s="0"/>
      <c r="IKS7" s="0"/>
      <c r="IKT7" s="0"/>
      <c r="IKU7" s="0"/>
      <c r="IKV7" s="0"/>
      <c r="IKW7" s="0"/>
      <c r="IKX7" s="0"/>
      <c r="IKY7" s="0"/>
      <c r="IKZ7" s="0"/>
      <c r="ILA7" s="0"/>
      <c r="ILB7" s="0"/>
      <c r="ILC7" s="0"/>
      <c r="ILD7" s="0"/>
      <c r="ILE7" s="0"/>
      <c r="ILF7" s="0"/>
      <c r="ILG7" s="0"/>
      <c r="ILH7" s="0"/>
      <c r="ILI7" s="0"/>
      <c r="ILJ7" s="0"/>
      <c r="ILK7" s="0"/>
      <c r="ILL7" s="0"/>
      <c r="ILM7" s="0"/>
      <c r="ILN7" s="0"/>
      <c r="ILO7" s="0"/>
      <c r="ILP7" s="0"/>
      <c r="ILQ7" s="0"/>
      <c r="ILR7" s="0"/>
      <c r="ILS7" s="0"/>
      <c r="ILT7" s="0"/>
      <c r="ILU7" s="0"/>
      <c r="ILV7" s="0"/>
      <c r="ILW7" s="0"/>
      <c r="ILX7" s="0"/>
      <c r="ILY7" s="0"/>
      <c r="ILZ7" s="0"/>
      <c r="IMA7" s="0"/>
      <c r="IMB7" s="0"/>
      <c r="IMC7" s="0"/>
      <c r="IMD7" s="0"/>
      <c r="IME7" s="0"/>
      <c r="IMF7" s="0"/>
      <c r="IMG7" s="0"/>
      <c r="IMH7" s="0"/>
      <c r="IMI7" s="0"/>
      <c r="IMJ7" s="0"/>
      <c r="IMK7" s="0"/>
      <c r="IML7" s="0"/>
      <c r="IMM7" s="0"/>
      <c r="IMN7" s="0"/>
      <c r="IMO7" s="0"/>
      <c r="IMP7" s="0"/>
      <c r="IMQ7" s="0"/>
      <c r="IMR7" s="0"/>
      <c r="IMS7" s="0"/>
      <c r="IMT7" s="0"/>
      <c r="IMU7" s="0"/>
      <c r="IMV7" s="0"/>
      <c r="IMW7" s="0"/>
      <c r="IMX7" s="0"/>
      <c r="IMY7" s="0"/>
      <c r="IMZ7" s="0"/>
      <c r="INA7" s="0"/>
      <c r="INB7" s="0"/>
      <c r="INC7" s="0"/>
      <c r="IND7" s="0"/>
      <c r="INE7" s="0"/>
      <c r="INF7" s="0"/>
      <c r="ING7" s="0"/>
      <c r="INH7" s="0"/>
      <c r="INI7" s="0"/>
      <c r="INJ7" s="0"/>
      <c r="INK7" s="0"/>
      <c r="INL7" s="0"/>
      <c r="INM7" s="0"/>
      <c r="INN7" s="0"/>
      <c r="INO7" s="0"/>
      <c r="INP7" s="0"/>
      <c r="INQ7" s="0"/>
      <c r="INR7" s="0"/>
      <c r="INS7" s="0"/>
      <c r="INT7" s="0"/>
      <c r="INU7" s="0"/>
      <c r="INV7" s="0"/>
      <c r="INW7" s="0"/>
      <c r="INX7" s="0"/>
      <c r="INY7" s="0"/>
      <c r="INZ7" s="0"/>
      <c r="IOA7" s="0"/>
      <c r="IOB7" s="0"/>
      <c r="IOC7" s="0"/>
      <c r="IOD7" s="0"/>
      <c r="IOE7" s="0"/>
      <c r="IOF7" s="0"/>
      <c r="IOG7" s="0"/>
      <c r="IOH7" s="0"/>
      <c r="IOI7" s="0"/>
      <c r="IOJ7" s="0"/>
      <c r="IOK7" s="0"/>
      <c r="IOL7" s="0"/>
      <c r="IOM7" s="0"/>
      <c r="ION7" s="0"/>
      <c r="IOO7" s="0"/>
      <c r="IOP7" s="0"/>
      <c r="IOQ7" s="0"/>
      <c r="IOR7" s="0"/>
      <c r="IOS7" s="0"/>
      <c r="IOT7" s="0"/>
      <c r="IOU7" s="0"/>
      <c r="IOV7" s="0"/>
      <c r="IOW7" s="0"/>
      <c r="IOX7" s="0"/>
      <c r="IOY7" s="0"/>
      <c r="IOZ7" s="0"/>
      <c r="IPA7" s="0"/>
      <c r="IPB7" s="0"/>
      <c r="IPC7" s="0"/>
      <c r="IPD7" s="0"/>
      <c r="IPE7" s="0"/>
      <c r="IPF7" s="0"/>
      <c r="IPG7" s="0"/>
      <c r="IPH7" s="0"/>
      <c r="IPI7" s="0"/>
      <c r="IPJ7" s="0"/>
      <c r="IPK7" s="0"/>
      <c r="IPL7" s="0"/>
      <c r="IPM7" s="0"/>
      <c r="IPN7" s="0"/>
      <c r="IPO7" s="0"/>
      <c r="IPP7" s="0"/>
      <c r="IPQ7" s="0"/>
      <c r="IPR7" s="0"/>
      <c r="IPS7" s="0"/>
      <c r="IPT7" s="0"/>
      <c r="IPU7" s="0"/>
      <c r="IPV7" s="0"/>
      <c r="IPW7" s="0"/>
      <c r="IPX7" s="0"/>
      <c r="IPY7" s="0"/>
      <c r="IPZ7" s="0"/>
      <c r="IQA7" s="0"/>
      <c r="IQB7" s="0"/>
      <c r="IQC7" s="0"/>
      <c r="IQD7" s="0"/>
      <c r="IQE7" s="0"/>
      <c r="IQF7" s="0"/>
      <c r="IQG7" s="0"/>
      <c r="IQH7" s="0"/>
      <c r="IQI7" s="0"/>
      <c r="IQJ7" s="0"/>
      <c r="IQK7" s="0"/>
      <c r="IQL7" s="0"/>
      <c r="IQM7" s="0"/>
      <c r="IQN7" s="0"/>
      <c r="IQO7" s="0"/>
      <c r="IQP7" s="0"/>
      <c r="IQQ7" s="0"/>
      <c r="IQR7" s="0"/>
      <c r="IQS7" s="0"/>
      <c r="IQT7" s="0"/>
      <c r="IQU7" s="0"/>
      <c r="IQV7" s="0"/>
      <c r="IQW7" s="0"/>
      <c r="IQX7" s="0"/>
      <c r="IQY7" s="0"/>
      <c r="IQZ7" s="0"/>
      <c r="IRA7" s="0"/>
      <c r="IRB7" s="0"/>
      <c r="IRC7" s="0"/>
      <c r="IRD7" s="0"/>
      <c r="IRE7" s="0"/>
      <c r="IRF7" s="0"/>
      <c r="IRG7" s="0"/>
      <c r="IRH7" s="0"/>
      <c r="IRI7" s="0"/>
      <c r="IRJ7" s="0"/>
      <c r="IRK7" s="0"/>
      <c r="IRL7" s="0"/>
      <c r="IRM7" s="0"/>
      <c r="IRN7" s="0"/>
      <c r="IRO7" s="0"/>
      <c r="IRP7" s="0"/>
      <c r="IRQ7" s="0"/>
      <c r="IRR7" s="0"/>
      <c r="IRS7" s="0"/>
      <c r="IRT7" s="0"/>
      <c r="IRU7" s="0"/>
      <c r="IRV7" s="0"/>
      <c r="IRW7" s="0"/>
      <c r="IRX7" s="0"/>
      <c r="IRY7" s="0"/>
      <c r="IRZ7" s="0"/>
      <c r="ISA7" s="0"/>
      <c r="ISB7" s="0"/>
      <c r="ISC7" s="0"/>
      <c r="ISD7" s="0"/>
      <c r="ISE7" s="0"/>
      <c r="ISF7" s="0"/>
      <c r="ISG7" s="0"/>
      <c r="ISH7" s="0"/>
      <c r="ISI7" s="0"/>
      <c r="ISJ7" s="0"/>
      <c r="ISK7" s="0"/>
      <c r="ISL7" s="0"/>
      <c r="ISM7" s="0"/>
      <c r="ISN7" s="0"/>
      <c r="ISO7" s="0"/>
      <c r="ISP7" s="0"/>
      <c r="ISQ7" s="0"/>
      <c r="ISR7" s="0"/>
      <c r="ISS7" s="0"/>
      <c r="IST7" s="0"/>
      <c r="ISU7" s="0"/>
      <c r="ISV7" s="0"/>
      <c r="ISW7" s="0"/>
      <c r="ISX7" s="0"/>
      <c r="ISY7" s="0"/>
      <c r="ISZ7" s="0"/>
      <c r="ITA7" s="0"/>
      <c r="ITB7" s="0"/>
      <c r="ITC7" s="0"/>
      <c r="ITD7" s="0"/>
      <c r="ITE7" s="0"/>
      <c r="ITF7" s="0"/>
      <c r="ITG7" s="0"/>
      <c r="ITH7" s="0"/>
      <c r="ITI7" s="0"/>
      <c r="ITJ7" s="0"/>
      <c r="ITK7" s="0"/>
      <c r="ITL7" s="0"/>
      <c r="ITM7" s="0"/>
      <c r="ITN7" s="0"/>
      <c r="ITO7" s="0"/>
      <c r="ITP7" s="0"/>
      <c r="ITQ7" s="0"/>
      <c r="ITR7" s="0"/>
      <c r="ITS7" s="0"/>
      <c r="ITT7" s="0"/>
      <c r="ITU7" s="0"/>
      <c r="ITV7" s="0"/>
      <c r="ITW7" s="0"/>
      <c r="ITX7" s="0"/>
      <c r="ITY7" s="0"/>
      <c r="ITZ7" s="0"/>
      <c r="IUA7" s="0"/>
      <c r="IUB7" s="0"/>
      <c r="IUC7" s="0"/>
      <c r="IUD7" s="0"/>
      <c r="IUE7" s="0"/>
      <c r="IUF7" s="0"/>
      <c r="IUG7" s="0"/>
      <c r="IUH7" s="0"/>
      <c r="IUI7" s="0"/>
      <c r="IUJ7" s="0"/>
      <c r="IUK7" s="0"/>
      <c r="IUL7" s="0"/>
      <c r="IUM7" s="0"/>
      <c r="IUN7" s="0"/>
      <c r="IUO7" s="0"/>
      <c r="IUP7" s="0"/>
      <c r="IUQ7" s="0"/>
      <c r="IUR7" s="0"/>
      <c r="IUS7" s="0"/>
      <c r="IUT7" s="0"/>
      <c r="IUU7" s="0"/>
      <c r="IUV7" s="0"/>
      <c r="IUW7" s="0"/>
      <c r="IUX7" s="0"/>
      <c r="IUY7" s="0"/>
      <c r="IUZ7" s="0"/>
      <c r="IVA7" s="0"/>
      <c r="IVB7" s="0"/>
      <c r="IVC7" s="0"/>
      <c r="IVD7" s="0"/>
      <c r="IVE7" s="0"/>
      <c r="IVF7" s="0"/>
      <c r="IVG7" s="0"/>
      <c r="IVH7" s="0"/>
      <c r="IVI7" s="0"/>
      <c r="IVJ7" s="0"/>
      <c r="IVK7" s="0"/>
      <c r="IVL7" s="0"/>
      <c r="IVM7" s="0"/>
      <c r="IVN7" s="0"/>
      <c r="IVO7" s="0"/>
      <c r="IVP7" s="0"/>
      <c r="IVQ7" s="0"/>
      <c r="IVR7" s="0"/>
      <c r="IVS7" s="0"/>
      <c r="IVT7" s="0"/>
      <c r="IVU7" s="0"/>
      <c r="IVV7" s="0"/>
      <c r="IVW7" s="0"/>
      <c r="IVX7" s="0"/>
      <c r="IVY7" s="0"/>
      <c r="IVZ7" s="0"/>
      <c r="IWA7" s="0"/>
      <c r="IWB7" s="0"/>
      <c r="IWC7" s="0"/>
      <c r="IWD7" s="0"/>
      <c r="IWE7" s="0"/>
      <c r="IWF7" s="0"/>
      <c r="IWG7" s="0"/>
      <c r="IWH7" s="0"/>
      <c r="IWI7" s="0"/>
      <c r="IWJ7" s="0"/>
      <c r="IWK7" s="0"/>
      <c r="IWL7" s="0"/>
      <c r="IWM7" s="0"/>
      <c r="IWN7" s="0"/>
      <c r="IWO7" s="0"/>
      <c r="IWP7" s="0"/>
      <c r="IWQ7" s="0"/>
      <c r="IWR7" s="0"/>
      <c r="IWS7" s="0"/>
      <c r="IWT7" s="0"/>
      <c r="IWU7" s="0"/>
      <c r="IWV7" s="0"/>
      <c r="IWW7" s="0"/>
      <c r="IWX7" s="0"/>
      <c r="IWY7" s="0"/>
      <c r="IWZ7" s="0"/>
      <c r="IXA7" s="0"/>
      <c r="IXB7" s="0"/>
      <c r="IXC7" s="0"/>
      <c r="IXD7" s="0"/>
      <c r="IXE7" s="0"/>
      <c r="IXF7" s="0"/>
      <c r="IXG7" s="0"/>
      <c r="IXH7" s="0"/>
      <c r="IXI7" s="0"/>
      <c r="IXJ7" s="0"/>
      <c r="IXK7" s="0"/>
      <c r="IXL7" s="0"/>
      <c r="IXM7" s="0"/>
      <c r="IXN7" s="0"/>
      <c r="IXO7" s="0"/>
      <c r="IXP7" s="0"/>
      <c r="IXQ7" s="0"/>
      <c r="IXR7" s="0"/>
      <c r="IXS7" s="0"/>
      <c r="IXT7" s="0"/>
      <c r="IXU7" s="0"/>
      <c r="IXV7" s="0"/>
      <c r="IXW7" s="0"/>
      <c r="IXX7" s="0"/>
      <c r="IXY7" s="0"/>
      <c r="IXZ7" s="0"/>
      <c r="IYA7" s="0"/>
      <c r="IYB7" s="0"/>
      <c r="IYC7" s="0"/>
      <c r="IYD7" s="0"/>
      <c r="IYE7" s="0"/>
      <c r="IYF7" s="0"/>
      <c r="IYG7" s="0"/>
      <c r="IYH7" s="0"/>
      <c r="IYI7" s="0"/>
      <c r="IYJ7" s="0"/>
      <c r="IYK7" s="0"/>
      <c r="IYL7" s="0"/>
      <c r="IYM7" s="0"/>
      <c r="IYN7" s="0"/>
      <c r="IYO7" s="0"/>
      <c r="IYP7" s="0"/>
      <c r="IYQ7" s="0"/>
      <c r="IYR7" s="0"/>
      <c r="IYS7" s="0"/>
      <c r="IYT7" s="0"/>
      <c r="IYU7" s="0"/>
      <c r="IYV7" s="0"/>
      <c r="IYW7" s="0"/>
      <c r="IYX7" s="0"/>
      <c r="IYY7" s="0"/>
      <c r="IYZ7" s="0"/>
      <c r="IZA7" s="0"/>
      <c r="IZB7" s="0"/>
      <c r="IZC7" s="0"/>
      <c r="IZD7" s="0"/>
      <c r="IZE7" s="0"/>
      <c r="IZF7" s="0"/>
      <c r="IZG7" s="0"/>
      <c r="IZH7" s="0"/>
      <c r="IZI7" s="0"/>
      <c r="IZJ7" s="0"/>
      <c r="IZK7" s="0"/>
      <c r="IZL7" s="0"/>
      <c r="IZM7" s="0"/>
      <c r="IZN7" s="0"/>
      <c r="IZO7" s="0"/>
      <c r="IZP7" s="0"/>
      <c r="IZQ7" s="0"/>
      <c r="IZR7" s="0"/>
      <c r="IZS7" s="0"/>
      <c r="IZT7" s="0"/>
      <c r="IZU7" s="0"/>
      <c r="IZV7" s="0"/>
      <c r="IZW7" s="0"/>
      <c r="IZX7" s="0"/>
      <c r="IZY7" s="0"/>
      <c r="IZZ7" s="0"/>
      <c r="JAA7" s="0"/>
      <c r="JAB7" s="0"/>
      <c r="JAC7" s="0"/>
      <c r="JAD7" s="0"/>
      <c r="JAE7" s="0"/>
      <c r="JAF7" s="0"/>
      <c r="JAG7" s="0"/>
      <c r="JAH7" s="0"/>
      <c r="JAI7" s="0"/>
      <c r="JAJ7" s="0"/>
      <c r="JAK7" s="0"/>
      <c r="JAL7" s="0"/>
      <c r="JAM7" s="0"/>
      <c r="JAN7" s="0"/>
      <c r="JAO7" s="0"/>
      <c r="JAP7" s="0"/>
      <c r="JAQ7" s="0"/>
      <c r="JAR7" s="0"/>
      <c r="JAS7" s="0"/>
      <c r="JAT7" s="0"/>
      <c r="JAU7" s="0"/>
      <c r="JAV7" s="0"/>
      <c r="JAW7" s="0"/>
      <c r="JAX7" s="0"/>
      <c r="JAY7" s="0"/>
      <c r="JAZ7" s="0"/>
      <c r="JBA7" s="0"/>
      <c r="JBB7" s="0"/>
      <c r="JBC7" s="0"/>
      <c r="JBD7" s="0"/>
      <c r="JBE7" s="0"/>
      <c r="JBF7" s="0"/>
      <c r="JBG7" s="0"/>
      <c r="JBH7" s="0"/>
      <c r="JBI7" s="0"/>
      <c r="JBJ7" s="0"/>
      <c r="JBK7" s="0"/>
      <c r="JBL7" s="0"/>
      <c r="JBM7" s="0"/>
      <c r="JBN7" s="0"/>
      <c r="JBO7" s="0"/>
      <c r="JBP7" s="0"/>
      <c r="JBQ7" s="0"/>
      <c r="JBR7" s="0"/>
      <c r="JBS7" s="0"/>
      <c r="JBT7" s="0"/>
      <c r="JBU7" s="0"/>
      <c r="JBV7" s="0"/>
      <c r="JBW7" s="0"/>
      <c r="JBX7" s="0"/>
      <c r="JBY7" s="0"/>
      <c r="JBZ7" s="0"/>
      <c r="JCA7" s="0"/>
      <c r="JCB7" s="0"/>
      <c r="JCC7" s="0"/>
      <c r="JCD7" s="0"/>
      <c r="JCE7" s="0"/>
      <c r="JCF7" s="0"/>
      <c r="JCG7" s="0"/>
      <c r="JCH7" s="0"/>
      <c r="JCI7" s="0"/>
      <c r="JCJ7" s="0"/>
      <c r="JCK7" s="0"/>
      <c r="JCL7" s="0"/>
      <c r="JCM7" s="0"/>
      <c r="JCN7" s="0"/>
      <c r="JCO7" s="0"/>
      <c r="JCP7" s="0"/>
      <c r="JCQ7" s="0"/>
      <c r="JCR7" s="0"/>
      <c r="JCS7" s="0"/>
      <c r="JCT7" s="0"/>
      <c r="JCU7" s="0"/>
      <c r="JCV7" s="0"/>
      <c r="JCW7" s="0"/>
      <c r="JCX7" s="0"/>
      <c r="JCY7" s="0"/>
      <c r="JCZ7" s="0"/>
      <c r="JDA7" s="0"/>
      <c r="JDB7" s="0"/>
      <c r="JDC7" s="0"/>
      <c r="JDD7" s="0"/>
      <c r="JDE7" s="0"/>
      <c r="JDF7" s="0"/>
      <c r="JDG7" s="0"/>
      <c r="JDH7" s="0"/>
      <c r="JDI7" s="0"/>
      <c r="JDJ7" s="0"/>
      <c r="JDK7" s="0"/>
      <c r="JDL7" s="0"/>
      <c r="JDM7" s="0"/>
      <c r="JDN7" s="0"/>
      <c r="JDO7" s="0"/>
      <c r="JDP7" s="0"/>
      <c r="JDQ7" s="0"/>
      <c r="JDR7" s="0"/>
      <c r="JDS7" s="0"/>
      <c r="JDT7" s="0"/>
      <c r="JDU7" s="0"/>
      <c r="JDV7" s="0"/>
      <c r="JDW7" s="0"/>
      <c r="JDX7" s="0"/>
      <c r="JDY7" s="0"/>
      <c r="JDZ7" s="0"/>
      <c r="JEA7" s="0"/>
      <c r="JEB7" s="0"/>
      <c r="JEC7" s="0"/>
      <c r="JED7" s="0"/>
      <c r="JEE7" s="0"/>
      <c r="JEF7" s="0"/>
      <c r="JEG7" s="0"/>
      <c r="JEH7" s="0"/>
      <c r="JEI7" s="0"/>
      <c r="JEJ7" s="0"/>
      <c r="JEK7" s="0"/>
      <c r="JEL7" s="0"/>
      <c r="JEM7" s="0"/>
      <c r="JEN7" s="0"/>
      <c r="JEO7" s="0"/>
      <c r="JEP7" s="0"/>
      <c r="JEQ7" s="0"/>
      <c r="JER7" s="0"/>
      <c r="JES7" s="0"/>
      <c r="JET7" s="0"/>
      <c r="JEU7" s="0"/>
      <c r="JEV7" s="0"/>
      <c r="JEW7" s="0"/>
      <c r="JEX7" s="0"/>
      <c r="JEY7" s="0"/>
      <c r="JEZ7" s="0"/>
      <c r="JFA7" s="0"/>
      <c r="JFB7" s="0"/>
      <c r="JFC7" s="0"/>
      <c r="JFD7" s="0"/>
      <c r="JFE7" s="0"/>
      <c r="JFF7" s="0"/>
      <c r="JFG7" s="0"/>
      <c r="JFH7" s="0"/>
      <c r="JFI7" s="0"/>
      <c r="JFJ7" s="0"/>
      <c r="JFK7" s="0"/>
      <c r="JFL7" s="0"/>
      <c r="JFM7" s="0"/>
      <c r="JFN7" s="0"/>
      <c r="JFO7" s="0"/>
      <c r="JFP7" s="0"/>
      <c r="JFQ7" s="0"/>
      <c r="JFR7" s="0"/>
      <c r="JFS7" s="0"/>
      <c r="JFT7" s="0"/>
      <c r="JFU7" s="0"/>
      <c r="JFV7" s="0"/>
      <c r="JFW7" s="0"/>
      <c r="JFX7" s="0"/>
      <c r="JFY7" s="0"/>
      <c r="JFZ7" s="0"/>
      <c r="JGA7" s="0"/>
      <c r="JGB7" s="0"/>
      <c r="JGC7" s="0"/>
      <c r="JGD7" s="0"/>
      <c r="JGE7" s="0"/>
      <c r="JGF7" s="0"/>
      <c r="JGG7" s="0"/>
      <c r="JGH7" s="0"/>
      <c r="JGI7" s="0"/>
      <c r="JGJ7" s="0"/>
      <c r="JGK7" s="0"/>
      <c r="JGL7" s="0"/>
      <c r="JGM7" s="0"/>
      <c r="JGN7" s="0"/>
      <c r="JGO7" s="0"/>
      <c r="JGP7" s="0"/>
      <c r="JGQ7" s="0"/>
      <c r="JGR7" s="0"/>
      <c r="JGS7" s="0"/>
      <c r="JGT7" s="0"/>
      <c r="JGU7" s="0"/>
      <c r="JGV7" s="0"/>
      <c r="JGW7" s="0"/>
      <c r="JGX7" s="0"/>
      <c r="JGY7" s="0"/>
      <c r="JGZ7" s="0"/>
      <c r="JHA7" s="0"/>
      <c r="JHB7" s="0"/>
      <c r="JHC7" s="0"/>
      <c r="JHD7" s="0"/>
      <c r="JHE7" s="0"/>
      <c r="JHF7" s="0"/>
      <c r="JHG7" s="0"/>
      <c r="JHH7" s="0"/>
      <c r="JHI7" s="0"/>
      <c r="JHJ7" s="0"/>
      <c r="JHK7" s="0"/>
      <c r="JHL7" s="0"/>
      <c r="JHM7" s="0"/>
      <c r="JHN7" s="0"/>
      <c r="JHO7" s="0"/>
      <c r="JHP7" s="0"/>
      <c r="JHQ7" s="0"/>
      <c r="JHR7" s="0"/>
      <c r="JHS7" s="0"/>
      <c r="JHT7" s="0"/>
      <c r="JHU7" s="0"/>
      <c r="JHV7" s="0"/>
      <c r="JHW7" s="0"/>
      <c r="JHX7" s="0"/>
      <c r="JHY7" s="0"/>
      <c r="JHZ7" s="0"/>
      <c r="JIA7" s="0"/>
      <c r="JIB7" s="0"/>
      <c r="JIC7" s="0"/>
      <c r="JID7" s="0"/>
      <c r="JIE7" s="0"/>
      <c r="JIF7" s="0"/>
      <c r="JIG7" s="0"/>
      <c r="JIH7" s="0"/>
      <c r="JII7" s="0"/>
      <c r="JIJ7" s="0"/>
      <c r="JIK7" s="0"/>
      <c r="JIL7" s="0"/>
      <c r="JIM7" s="0"/>
      <c r="JIN7" s="0"/>
      <c r="JIO7" s="0"/>
      <c r="JIP7" s="0"/>
      <c r="JIQ7" s="0"/>
      <c r="JIR7" s="0"/>
      <c r="JIS7" s="0"/>
      <c r="JIT7" s="0"/>
      <c r="JIU7" s="0"/>
      <c r="JIV7" s="0"/>
      <c r="JIW7" s="0"/>
      <c r="JIX7" s="0"/>
      <c r="JIY7" s="0"/>
      <c r="JIZ7" s="0"/>
      <c r="JJA7" s="0"/>
      <c r="JJB7" s="0"/>
      <c r="JJC7" s="0"/>
      <c r="JJD7" s="0"/>
      <c r="JJE7" s="0"/>
      <c r="JJF7" s="0"/>
      <c r="JJG7" s="0"/>
      <c r="JJH7" s="0"/>
      <c r="JJI7" s="0"/>
      <c r="JJJ7" s="0"/>
      <c r="JJK7" s="0"/>
      <c r="JJL7" s="0"/>
      <c r="JJM7" s="0"/>
      <c r="JJN7" s="0"/>
      <c r="JJO7" s="0"/>
      <c r="JJP7" s="0"/>
      <c r="JJQ7" s="0"/>
      <c r="JJR7" s="0"/>
      <c r="JJS7" s="0"/>
      <c r="JJT7" s="0"/>
      <c r="JJU7" s="0"/>
      <c r="JJV7" s="0"/>
      <c r="JJW7" s="0"/>
      <c r="JJX7" s="0"/>
      <c r="JJY7" s="0"/>
      <c r="JJZ7" s="0"/>
      <c r="JKA7" s="0"/>
      <c r="JKB7" s="0"/>
      <c r="JKC7" s="0"/>
      <c r="JKD7" s="0"/>
      <c r="JKE7" s="0"/>
      <c r="JKF7" s="0"/>
      <c r="JKG7" s="0"/>
      <c r="JKH7" s="0"/>
      <c r="JKI7" s="0"/>
      <c r="JKJ7" s="0"/>
      <c r="JKK7" s="0"/>
      <c r="JKL7" s="0"/>
      <c r="JKM7" s="0"/>
      <c r="JKN7" s="0"/>
      <c r="JKO7" s="0"/>
      <c r="JKP7" s="0"/>
      <c r="JKQ7" s="0"/>
      <c r="JKR7" s="0"/>
      <c r="JKS7" s="0"/>
      <c r="JKT7" s="0"/>
      <c r="JKU7" s="0"/>
      <c r="JKV7" s="0"/>
      <c r="JKW7" s="0"/>
      <c r="JKX7" s="0"/>
      <c r="JKY7" s="0"/>
      <c r="JKZ7" s="0"/>
      <c r="JLA7" s="0"/>
      <c r="JLB7" s="0"/>
      <c r="JLC7" s="0"/>
      <c r="JLD7" s="0"/>
      <c r="JLE7" s="0"/>
      <c r="JLF7" s="0"/>
      <c r="JLG7" s="0"/>
      <c r="JLH7" s="0"/>
      <c r="JLI7" s="0"/>
      <c r="JLJ7" s="0"/>
      <c r="JLK7" s="0"/>
      <c r="JLL7" s="0"/>
      <c r="JLM7" s="0"/>
      <c r="JLN7" s="0"/>
      <c r="JLO7" s="0"/>
      <c r="JLP7" s="0"/>
      <c r="JLQ7" s="0"/>
      <c r="JLR7" s="0"/>
      <c r="JLS7" s="0"/>
      <c r="JLT7" s="0"/>
      <c r="JLU7" s="0"/>
      <c r="JLV7" s="0"/>
      <c r="JLW7" s="0"/>
      <c r="JLX7" s="0"/>
      <c r="JLY7" s="0"/>
      <c r="JLZ7" s="0"/>
      <c r="JMA7" s="0"/>
      <c r="JMB7" s="0"/>
      <c r="JMC7" s="0"/>
      <c r="JMD7" s="0"/>
      <c r="JME7" s="0"/>
      <c r="JMF7" s="0"/>
      <c r="JMG7" s="0"/>
      <c r="JMH7" s="0"/>
      <c r="JMI7" s="0"/>
      <c r="JMJ7" s="0"/>
      <c r="JMK7" s="0"/>
      <c r="JML7" s="0"/>
      <c r="JMM7" s="0"/>
      <c r="JMN7" s="0"/>
      <c r="JMO7" s="0"/>
      <c r="JMP7" s="0"/>
      <c r="JMQ7" s="0"/>
      <c r="JMR7" s="0"/>
      <c r="JMS7" s="0"/>
      <c r="JMT7" s="0"/>
      <c r="JMU7" s="0"/>
      <c r="JMV7" s="0"/>
      <c r="JMW7" s="0"/>
      <c r="JMX7" s="0"/>
      <c r="JMY7" s="0"/>
      <c r="JMZ7" s="0"/>
      <c r="JNA7" s="0"/>
      <c r="JNB7" s="0"/>
      <c r="JNC7" s="0"/>
      <c r="JND7" s="0"/>
      <c r="JNE7" s="0"/>
      <c r="JNF7" s="0"/>
      <c r="JNG7" s="0"/>
      <c r="JNH7" s="0"/>
      <c r="JNI7" s="0"/>
      <c r="JNJ7" s="0"/>
      <c r="JNK7" s="0"/>
      <c r="JNL7" s="0"/>
      <c r="JNM7" s="0"/>
      <c r="JNN7" s="0"/>
      <c r="JNO7" s="0"/>
      <c r="JNP7" s="0"/>
      <c r="JNQ7" s="0"/>
      <c r="JNR7" s="0"/>
      <c r="JNS7" s="0"/>
      <c r="JNT7" s="0"/>
      <c r="JNU7" s="0"/>
      <c r="JNV7" s="0"/>
      <c r="JNW7" s="0"/>
      <c r="JNX7" s="0"/>
      <c r="JNY7" s="0"/>
      <c r="JNZ7" s="0"/>
      <c r="JOA7" s="0"/>
      <c r="JOB7" s="0"/>
      <c r="JOC7" s="0"/>
      <c r="JOD7" s="0"/>
      <c r="JOE7" s="0"/>
      <c r="JOF7" s="0"/>
      <c r="JOG7" s="0"/>
      <c r="JOH7" s="0"/>
      <c r="JOI7" s="0"/>
      <c r="JOJ7" s="0"/>
      <c r="JOK7" s="0"/>
      <c r="JOL7" s="0"/>
      <c r="JOM7" s="0"/>
      <c r="JON7" s="0"/>
      <c r="JOO7" s="0"/>
      <c r="JOP7" s="0"/>
      <c r="JOQ7" s="0"/>
      <c r="JOR7" s="0"/>
      <c r="JOS7" s="0"/>
      <c r="JOT7" s="0"/>
      <c r="JOU7" s="0"/>
      <c r="JOV7" s="0"/>
      <c r="JOW7" s="0"/>
      <c r="JOX7" s="0"/>
      <c r="JOY7" s="0"/>
      <c r="JOZ7" s="0"/>
      <c r="JPA7" s="0"/>
      <c r="JPB7" s="0"/>
      <c r="JPC7" s="0"/>
      <c r="JPD7" s="0"/>
      <c r="JPE7" s="0"/>
      <c r="JPF7" s="0"/>
      <c r="JPG7" s="0"/>
      <c r="JPH7" s="0"/>
      <c r="JPI7" s="0"/>
      <c r="JPJ7" s="0"/>
      <c r="JPK7" s="0"/>
      <c r="JPL7" s="0"/>
      <c r="JPM7" s="0"/>
      <c r="JPN7" s="0"/>
      <c r="JPO7" s="0"/>
      <c r="JPP7" s="0"/>
      <c r="JPQ7" s="0"/>
      <c r="JPR7" s="0"/>
      <c r="JPS7" s="0"/>
      <c r="JPT7" s="0"/>
      <c r="JPU7" s="0"/>
      <c r="JPV7" s="0"/>
      <c r="JPW7" s="0"/>
      <c r="JPX7" s="0"/>
      <c r="JPY7" s="0"/>
      <c r="JPZ7" s="0"/>
      <c r="JQA7" s="0"/>
      <c r="JQB7" s="0"/>
      <c r="JQC7" s="0"/>
      <c r="JQD7" s="0"/>
      <c r="JQE7" s="0"/>
      <c r="JQF7" s="0"/>
      <c r="JQG7" s="0"/>
      <c r="JQH7" s="0"/>
      <c r="JQI7" s="0"/>
      <c r="JQJ7" s="0"/>
      <c r="JQK7" s="0"/>
      <c r="JQL7" s="0"/>
      <c r="JQM7" s="0"/>
      <c r="JQN7" s="0"/>
      <c r="JQO7" s="0"/>
      <c r="JQP7" s="0"/>
      <c r="JQQ7" s="0"/>
      <c r="JQR7" s="0"/>
      <c r="JQS7" s="0"/>
      <c r="JQT7" s="0"/>
      <c r="JQU7" s="0"/>
      <c r="JQV7" s="0"/>
      <c r="JQW7" s="0"/>
      <c r="JQX7" s="0"/>
      <c r="JQY7" s="0"/>
      <c r="JQZ7" s="0"/>
      <c r="JRA7" s="0"/>
      <c r="JRB7" s="0"/>
      <c r="JRC7" s="0"/>
      <c r="JRD7" s="0"/>
      <c r="JRE7" s="0"/>
      <c r="JRF7" s="0"/>
      <c r="JRG7" s="0"/>
      <c r="JRH7" s="0"/>
      <c r="JRI7" s="0"/>
      <c r="JRJ7" s="0"/>
      <c r="JRK7" s="0"/>
      <c r="JRL7" s="0"/>
      <c r="JRM7" s="0"/>
      <c r="JRN7" s="0"/>
      <c r="JRO7" s="0"/>
      <c r="JRP7" s="0"/>
      <c r="JRQ7" s="0"/>
      <c r="JRR7" s="0"/>
      <c r="JRS7" s="0"/>
      <c r="JRT7" s="0"/>
      <c r="JRU7" s="0"/>
      <c r="JRV7" s="0"/>
      <c r="JRW7" s="0"/>
      <c r="JRX7" s="0"/>
      <c r="JRY7" s="0"/>
      <c r="JRZ7" s="0"/>
      <c r="JSA7" s="0"/>
      <c r="JSB7" s="0"/>
      <c r="JSC7" s="0"/>
      <c r="JSD7" s="0"/>
      <c r="JSE7" s="0"/>
      <c r="JSF7" s="0"/>
      <c r="JSG7" s="0"/>
      <c r="JSH7" s="0"/>
      <c r="JSI7" s="0"/>
      <c r="JSJ7" s="0"/>
      <c r="JSK7" s="0"/>
      <c r="JSL7" s="0"/>
      <c r="JSM7" s="0"/>
      <c r="JSN7" s="0"/>
      <c r="JSO7" s="0"/>
      <c r="JSP7" s="0"/>
      <c r="JSQ7" s="0"/>
      <c r="JSR7" s="0"/>
      <c r="JSS7" s="0"/>
      <c r="JST7" s="0"/>
      <c r="JSU7" s="0"/>
      <c r="JSV7" s="0"/>
      <c r="JSW7" s="0"/>
      <c r="JSX7" s="0"/>
      <c r="JSY7" s="0"/>
      <c r="JSZ7" s="0"/>
      <c r="JTA7" s="0"/>
      <c r="JTB7" s="0"/>
      <c r="JTC7" s="0"/>
      <c r="JTD7" s="0"/>
      <c r="JTE7" s="0"/>
      <c r="JTF7" s="0"/>
      <c r="JTG7" s="0"/>
      <c r="JTH7" s="0"/>
      <c r="JTI7" s="0"/>
      <c r="JTJ7" s="0"/>
      <c r="JTK7" s="0"/>
      <c r="JTL7" s="0"/>
      <c r="JTM7" s="0"/>
      <c r="JTN7" s="0"/>
      <c r="JTO7" s="0"/>
      <c r="JTP7" s="0"/>
      <c r="JTQ7" s="0"/>
      <c r="JTR7" s="0"/>
      <c r="JTS7" s="0"/>
      <c r="JTT7" s="0"/>
      <c r="JTU7" s="0"/>
      <c r="JTV7" s="0"/>
      <c r="JTW7" s="0"/>
      <c r="JTX7" s="0"/>
      <c r="JTY7" s="0"/>
      <c r="JTZ7" s="0"/>
      <c r="JUA7" s="0"/>
      <c r="JUB7" s="0"/>
      <c r="JUC7" s="0"/>
      <c r="JUD7" s="0"/>
      <c r="JUE7" s="0"/>
      <c r="JUF7" s="0"/>
      <c r="JUG7" s="0"/>
      <c r="JUH7" s="0"/>
      <c r="JUI7" s="0"/>
      <c r="JUJ7" s="0"/>
      <c r="JUK7" s="0"/>
      <c r="JUL7" s="0"/>
      <c r="JUM7" s="0"/>
      <c r="JUN7" s="0"/>
      <c r="JUO7" s="0"/>
      <c r="JUP7" s="0"/>
      <c r="JUQ7" s="0"/>
      <c r="JUR7" s="0"/>
      <c r="JUS7" s="0"/>
      <c r="JUT7" s="0"/>
      <c r="JUU7" s="0"/>
      <c r="JUV7" s="0"/>
      <c r="JUW7" s="0"/>
      <c r="JUX7" s="0"/>
      <c r="JUY7" s="0"/>
      <c r="JUZ7" s="0"/>
      <c r="JVA7" s="0"/>
      <c r="JVB7" s="0"/>
      <c r="JVC7" s="0"/>
      <c r="JVD7" s="0"/>
      <c r="JVE7" s="0"/>
      <c r="JVF7" s="0"/>
      <c r="JVG7" s="0"/>
      <c r="JVH7" s="0"/>
      <c r="JVI7" s="0"/>
      <c r="JVJ7" s="0"/>
      <c r="JVK7" s="0"/>
      <c r="JVL7" s="0"/>
      <c r="JVM7" s="0"/>
      <c r="JVN7" s="0"/>
      <c r="JVO7" s="0"/>
      <c r="JVP7" s="0"/>
      <c r="JVQ7" s="0"/>
      <c r="JVR7" s="0"/>
      <c r="JVS7" s="0"/>
      <c r="JVT7" s="0"/>
      <c r="JVU7" s="0"/>
      <c r="JVV7" s="0"/>
      <c r="JVW7" s="0"/>
      <c r="JVX7" s="0"/>
      <c r="JVY7" s="0"/>
      <c r="JVZ7" s="0"/>
      <c r="JWA7" s="0"/>
      <c r="JWB7" s="0"/>
      <c r="JWC7" s="0"/>
      <c r="JWD7" s="0"/>
      <c r="JWE7" s="0"/>
      <c r="JWF7" s="0"/>
      <c r="JWG7" s="0"/>
      <c r="JWH7" s="0"/>
      <c r="JWI7" s="0"/>
      <c r="JWJ7" s="0"/>
      <c r="JWK7" s="0"/>
      <c r="JWL7" s="0"/>
      <c r="JWM7" s="0"/>
      <c r="JWN7" s="0"/>
      <c r="JWO7" s="0"/>
      <c r="JWP7" s="0"/>
      <c r="JWQ7" s="0"/>
      <c r="JWR7" s="0"/>
      <c r="JWS7" s="0"/>
      <c r="JWT7" s="0"/>
      <c r="JWU7" s="0"/>
      <c r="JWV7" s="0"/>
      <c r="JWW7" s="0"/>
      <c r="JWX7" s="0"/>
      <c r="JWY7" s="0"/>
      <c r="JWZ7" s="0"/>
      <c r="JXA7" s="0"/>
      <c r="JXB7" s="0"/>
      <c r="JXC7" s="0"/>
      <c r="JXD7" s="0"/>
      <c r="JXE7" s="0"/>
      <c r="JXF7" s="0"/>
      <c r="JXG7" s="0"/>
      <c r="JXH7" s="0"/>
      <c r="JXI7" s="0"/>
      <c r="JXJ7" s="0"/>
      <c r="JXK7" s="0"/>
      <c r="JXL7" s="0"/>
      <c r="JXM7" s="0"/>
      <c r="JXN7" s="0"/>
      <c r="JXO7" s="0"/>
      <c r="JXP7" s="0"/>
      <c r="JXQ7" s="0"/>
      <c r="JXR7" s="0"/>
      <c r="JXS7" s="0"/>
      <c r="JXT7" s="0"/>
      <c r="JXU7" s="0"/>
      <c r="JXV7" s="0"/>
      <c r="JXW7" s="0"/>
      <c r="JXX7" s="0"/>
      <c r="JXY7" s="0"/>
      <c r="JXZ7" s="0"/>
      <c r="JYA7" s="0"/>
      <c r="JYB7" s="0"/>
      <c r="JYC7" s="0"/>
      <c r="JYD7" s="0"/>
      <c r="JYE7" s="0"/>
      <c r="JYF7" s="0"/>
      <c r="JYG7" s="0"/>
      <c r="JYH7" s="0"/>
      <c r="JYI7" s="0"/>
      <c r="JYJ7" s="0"/>
      <c r="JYK7" s="0"/>
      <c r="JYL7" s="0"/>
      <c r="JYM7" s="0"/>
      <c r="JYN7" s="0"/>
      <c r="JYO7" s="0"/>
      <c r="JYP7" s="0"/>
      <c r="JYQ7" s="0"/>
      <c r="JYR7" s="0"/>
      <c r="JYS7" s="0"/>
      <c r="JYT7" s="0"/>
      <c r="JYU7" s="0"/>
      <c r="JYV7" s="0"/>
      <c r="JYW7" s="0"/>
      <c r="JYX7" s="0"/>
      <c r="JYY7" s="0"/>
      <c r="JYZ7" s="0"/>
      <c r="JZA7" s="0"/>
      <c r="JZB7" s="0"/>
      <c r="JZC7" s="0"/>
      <c r="JZD7" s="0"/>
      <c r="JZE7" s="0"/>
      <c r="JZF7" s="0"/>
      <c r="JZG7" s="0"/>
      <c r="JZH7" s="0"/>
      <c r="JZI7" s="0"/>
      <c r="JZJ7" s="0"/>
      <c r="JZK7" s="0"/>
      <c r="JZL7" s="0"/>
      <c r="JZM7" s="0"/>
      <c r="JZN7" s="0"/>
      <c r="JZO7" s="0"/>
      <c r="JZP7" s="0"/>
      <c r="JZQ7" s="0"/>
      <c r="JZR7" s="0"/>
      <c r="JZS7" s="0"/>
      <c r="JZT7" s="0"/>
      <c r="JZU7" s="0"/>
      <c r="JZV7" s="0"/>
      <c r="JZW7" s="0"/>
      <c r="JZX7" s="0"/>
      <c r="JZY7" s="0"/>
      <c r="JZZ7" s="0"/>
      <c r="KAA7" s="0"/>
      <c r="KAB7" s="0"/>
      <c r="KAC7" s="0"/>
      <c r="KAD7" s="0"/>
      <c r="KAE7" s="0"/>
      <c r="KAF7" s="0"/>
      <c r="KAG7" s="0"/>
      <c r="KAH7" s="0"/>
      <c r="KAI7" s="0"/>
      <c r="KAJ7" s="0"/>
      <c r="KAK7" s="0"/>
      <c r="KAL7" s="0"/>
      <c r="KAM7" s="0"/>
      <c r="KAN7" s="0"/>
      <c r="KAO7" s="0"/>
      <c r="KAP7" s="0"/>
      <c r="KAQ7" s="0"/>
      <c r="KAR7" s="0"/>
      <c r="KAS7" s="0"/>
      <c r="KAT7" s="0"/>
      <c r="KAU7" s="0"/>
      <c r="KAV7" s="0"/>
      <c r="KAW7" s="0"/>
      <c r="KAX7" s="0"/>
      <c r="KAY7" s="0"/>
      <c r="KAZ7" s="0"/>
      <c r="KBA7" s="0"/>
      <c r="KBB7" s="0"/>
      <c r="KBC7" s="0"/>
      <c r="KBD7" s="0"/>
      <c r="KBE7" s="0"/>
      <c r="KBF7" s="0"/>
      <c r="KBG7" s="0"/>
      <c r="KBH7" s="0"/>
      <c r="KBI7" s="0"/>
      <c r="KBJ7" s="0"/>
      <c r="KBK7" s="0"/>
      <c r="KBL7" s="0"/>
      <c r="KBM7" s="0"/>
      <c r="KBN7" s="0"/>
      <c r="KBO7" s="0"/>
      <c r="KBP7" s="0"/>
      <c r="KBQ7" s="0"/>
      <c r="KBR7" s="0"/>
      <c r="KBS7" s="0"/>
      <c r="KBT7" s="0"/>
      <c r="KBU7" s="0"/>
      <c r="KBV7" s="0"/>
      <c r="KBW7" s="0"/>
      <c r="KBX7" s="0"/>
      <c r="KBY7" s="0"/>
      <c r="KBZ7" s="0"/>
      <c r="KCA7" s="0"/>
      <c r="KCB7" s="0"/>
      <c r="KCC7" s="0"/>
      <c r="KCD7" s="0"/>
      <c r="KCE7" s="0"/>
      <c r="KCF7" s="0"/>
      <c r="KCG7" s="0"/>
      <c r="KCH7" s="0"/>
      <c r="KCI7" s="0"/>
      <c r="KCJ7" s="0"/>
      <c r="KCK7" s="0"/>
      <c r="KCL7" s="0"/>
      <c r="KCM7" s="0"/>
      <c r="KCN7" s="0"/>
      <c r="KCO7" s="0"/>
      <c r="KCP7" s="0"/>
      <c r="KCQ7" s="0"/>
      <c r="KCR7" s="0"/>
      <c r="KCS7" s="0"/>
      <c r="KCT7" s="0"/>
      <c r="KCU7" s="0"/>
      <c r="KCV7" s="0"/>
      <c r="KCW7" s="0"/>
      <c r="KCX7" s="0"/>
      <c r="KCY7" s="0"/>
      <c r="KCZ7" s="0"/>
      <c r="KDA7" s="0"/>
      <c r="KDB7" s="0"/>
      <c r="KDC7" s="0"/>
      <c r="KDD7" s="0"/>
      <c r="KDE7" s="0"/>
      <c r="KDF7" s="0"/>
      <c r="KDG7" s="0"/>
      <c r="KDH7" s="0"/>
      <c r="KDI7" s="0"/>
      <c r="KDJ7" s="0"/>
      <c r="KDK7" s="0"/>
      <c r="KDL7" s="0"/>
      <c r="KDM7" s="0"/>
      <c r="KDN7" s="0"/>
      <c r="KDO7" s="0"/>
      <c r="KDP7" s="0"/>
      <c r="KDQ7" s="0"/>
      <c r="KDR7" s="0"/>
      <c r="KDS7" s="0"/>
      <c r="KDT7" s="0"/>
      <c r="KDU7" s="0"/>
      <c r="KDV7" s="0"/>
      <c r="KDW7" s="0"/>
      <c r="KDX7" s="0"/>
      <c r="KDY7" s="0"/>
      <c r="KDZ7" s="0"/>
      <c r="KEA7" s="0"/>
      <c r="KEB7" s="0"/>
      <c r="KEC7" s="0"/>
      <c r="KED7" s="0"/>
      <c r="KEE7" s="0"/>
      <c r="KEF7" s="0"/>
      <c r="KEG7" s="0"/>
      <c r="KEH7" s="0"/>
      <c r="KEI7" s="0"/>
      <c r="KEJ7" s="0"/>
      <c r="KEK7" s="0"/>
      <c r="KEL7" s="0"/>
      <c r="KEM7" s="0"/>
      <c r="KEN7" s="0"/>
      <c r="KEO7" s="0"/>
      <c r="KEP7" s="0"/>
      <c r="KEQ7" s="0"/>
      <c r="KER7" s="0"/>
      <c r="KES7" s="0"/>
      <c r="KET7" s="0"/>
      <c r="KEU7" s="0"/>
      <c r="KEV7" s="0"/>
      <c r="KEW7" s="0"/>
      <c r="KEX7" s="0"/>
      <c r="KEY7" s="0"/>
      <c r="KEZ7" s="0"/>
      <c r="KFA7" s="0"/>
      <c r="KFB7" s="0"/>
      <c r="KFC7" s="0"/>
      <c r="KFD7" s="0"/>
      <c r="KFE7" s="0"/>
      <c r="KFF7" s="0"/>
      <c r="KFG7" s="0"/>
      <c r="KFH7" s="0"/>
      <c r="KFI7" s="0"/>
      <c r="KFJ7" s="0"/>
      <c r="KFK7" s="0"/>
      <c r="KFL7" s="0"/>
      <c r="KFM7" s="0"/>
      <c r="KFN7" s="0"/>
      <c r="KFO7" s="0"/>
      <c r="KFP7" s="0"/>
      <c r="KFQ7" s="0"/>
      <c r="KFR7" s="0"/>
      <c r="KFS7" s="0"/>
      <c r="KFT7" s="0"/>
      <c r="KFU7" s="0"/>
      <c r="KFV7" s="0"/>
      <c r="KFW7" s="0"/>
      <c r="KFX7" s="0"/>
      <c r="KFY7" s="0"/>
      <c r="KFZ7" s="0"/>
      <c r="KGA7" s="0"/>
      <c r="KGB7" s="0"/>
      <c r="KGC7" s="0"/>
      <c r="KGD7" s="0"/>
      <c r="KGE7" s="0"/>
      <c r="KGF7" s="0"/>
      <c r="KGG7" s="0"/>
      <c r="KGH7" s="0"/>
      <c r="KGI7" s="0"/>
      <c r="KGJ7" s="0"/>
      <c r="KGK7" s="0"/>
      <c r="KGL7" s="0"/>
      <c r="KGM7" s="0"/>
      <c r="KGN7" s="0"/>
      <c r="KGO7" s="0"/>
      <c r="KGP7" s="0"/>
      <c r="KGQ7" s="0"/>
      <c r="KGR7" s="0"/>
      <c r="KGS7" s="0"/>
      <c r="KGT7" s="0"/>
      <c r="KGU7" s="0"/>
      <c r="KGV7" s="0"/>
      <c r="KGW7" s="0"/>
      <c r="KGX7" s="0"/>
      <c r="KGY7" s="0"/>
      <c r="KGZ7" s="0"/>
      <c r="KHA7" s="0"/>
      <c r="KHB7" s="0"/>
      <c r="KHC7" s="0"/>
      <c r="KHD7" s="0"/>
      <c r="KHE7" s="0"/>
      <c r="KHF7" s="0"/>
      <c r="KHG7" s="0"/>
      <c r="KHH7" s="0"/>
      <c r="KHI7" s="0"/>
      <c r="KHJ7" s="0"/>
      <c r="KHK7" s="0"/>
      <c r="KHL7" s="0"/>
      <c r="KHM7" s="0"/>
      <c r="KHN7" s="0"/>
      <c r="KHO7" s="0"/>
      <c r="KHP7" s="0"/>
      <c r="KHQ7" s="0"/>
      <c r="KHR7" s="0"/>
      <c r="KHS7" s="0"/>
      <c r="KHT7" s="0"/>
      <c r="KHU7" s="0"/>
      <c r="KHV7" s="0"/>
      <c r="KHW7" s="0"/>
      <c r="KHX7" s="0"/>
      <c r="KHY7" s="0"/>
      <c r="KHZ7" s="0"/>
      <c r="KIA7" s="0"/>
      <c r="KIB7" s="0"/>
      <c r="KIC7" s="0"/>
      <c r="KID7" s="0"/>
      <c r="KIE7" s="0"/>
      <c r="KIF7" s="0"/>
      <c r="KIG7" s="0"/>
      <c r="KIH7" s="0"/>
      <c r="KII7" s="0"/>
      <c r="KIJ7" s="0"/>
      <c r="KIK7" s="0"/>
      <c r="KIL7" s="0"/>
      <c r="KIM7" s="0"/>
      <c r="KIN7" s="0"/>
      <c r="KIO7" s="0"/>
      <c r="KIP7" s="0"/>
      <c r="KIQ7" s="0"/>
      <c r="KIR7" s="0"/>
      <c r="KIS7" s="0"/>
      <c r="KIT7" s="0"/>
      <c r="KIU7" s="0"/>
      <c r="KIV7" s="0"/>
      <c r="KIW7" s="0"/>
      <c r="KIX7" s="0"/>
      <c r="KIY7" s="0"/>
      <c r="KIZ7" s="0"/>
      <c r="KJA7" s="0"/>
      <c r="KJB7" s="0"/>
      <c r="KJC7" s="0"/>
      <c r="KJD7" s="0"/>
      <c r="KJE7" s="0"/>
      <c r="KJF7" s="0"/>
      <c r="KJG7" s="0"/>
      <c r="KJH7" s="0"/>
      <c r="KJI7" s="0"/>
      <c r="KJJ7" s="0"/>
      <c r="KJK7" s="0"/>
      <c r="KJL7" s="0"/>
      <c r="KJM7" s="0"/>
      <c r="KJN7" s="0"/>
      <c r="KJO7" s="0"/>
      <c r="KJP7" s="0"/>
      <c r="KJQ7" s="0"/>
      <c r="KJR7" s="0"/>
      <c r="KJS7" s="0"/>
      <c r="KJT7" s="0"/>
      <c r="KJU7" s="0"/>
      <c r="KJV7" s="0"/>
      <c r="KJW7" s="0"/>
      <c r="KJX7" s="0"/>
      <c r="KJY7" s="0"/>
      <c r="KJZ7" s="0"/>
      <c r="KKA7" s="0"/>
      <c r="KKB7" s="0"/>
      <c r="KKC7" s="0"/>
      <c r="KKD7" s="0"/>
      <c r="KKE7" s="0"/>
      <c r="KKF7" s="0"/>
      <c r="KKG7" s="0"/>
      <c r="KKH7" s="0"/>
      <c r="KKI7" s="0"/>
      <c r="KKJ7" s="0"/>
      <c r="KKK7" s="0"/>
      <c r="KKL7" s="0"/>
      <c r="KKM7" s="0"/>
      <c r="KKN7" s="0"/>
      <c r="KKO7" s="0"/>
      <c r="KKP7" s="0"/>
      <c r="KKQ7" s="0"/>
      <c r="KKR7" s="0"/>
      <c r="KKS7" s="0"/>
      <c r="KKT7" s="0"/>
      <c r="KKU7" s="0"/>
      <c r="KKV7" s="0"/>
      <c r="KKW7" s="0"/>
      <c r="KKX7" s="0"/>
      <c r="KKY7" s="0"/>
      <c r="KKZ7" s="0"/>
      <c r="KLA7" s="0"/>
      <c r="KLB7" s="0"/>
      <c r="KLC7" s="0"/>
      <c r="KLD7" s="0"/>
      <c r="KLE7" s="0"/>
      <c r="KLF7" s="0"/>
      <c r="KLG7" s="0"/>
      <c r="KLH7" s="0"/>
      <c r="KLI7" s="0"/>
      <c r="KLJ7" s="0"/>
      <c r="KLK7" s="0"/>
      <c r="KLL7" s="0"/>
      <c r="KLM7" s="0"/>
      <c r="KLN7" s="0"/>
      <c r="KLO7" s="0"/>
      <c r="KLP7" s="0"/>
      <c r="KLQ7" s="0"/>
      <c r="KLR7" s="0"/>
      <c r="KLS7" s="0"/>
      <c r="KLT7" s="0"/>
      <c r="KLU7" s="0"/>
      <c r="KLV7" s="0"/>
      <c r="KLW7" s="0"/>
      <c r="KLX7" s="0"/>
      <c r="KLY7" s="0"/>
      <c r="KLZ7" s="0"/>
      <c r="KMA7" s="0"/>
      <c r="KMB7" s="0"/>
      <c r="KMC7" s="0"/>
      <c r="KMD7" s="0"/>
      <c r="KME7" s="0"/>
      <c r="KMF7" s="0"/>
      <c r="KMG7" s="0"/>
      <c r="KMH7" s="0"/>
      <c r="KMI7" s="0"/>
      <c r="KMJ7" s="0"/>
      <c r="KMK7" s="0"/>
      <c r="KML7" s="0"/>
      <c r="KMM7" s="0"/>
      <c r="KMN7" s="0"/>
      <c r="KMO7" s="0"/>
      <c r="KMP7" s="0"/>
      <c r="KMQ7" s="0"/>
      <c r="KMR7" s="0"/>
      <c r="KMS7" s="0"/>
      <c r="KMT7" s="0"/>
      <c r="KMU7" s="0"/>
      <c r="KMV7" s="0"/>
      <c r="KMW7" s="0"/>
      <c r="KMX7" s="0"/>
      <c r="KMY7" s="0"/>
      <c r="KMZ7" s="0"/>
      <c r="KNA7" s="0"/>
      <c r="KNB7" s="0"/>
      <c r="KNC7" s="0"/>
      <c r="KND7" s="0"/>
      <c r="KNE7" s="0"/>
      <c r="KNF7" s="0"/>
      <c r="KNG7" s="0"/>
      <c r="KNH7" s="0"/>
      <c r="KNI7" s="0"/>
      <c r="KNJ7" s="0"/>
      <c r="KNK7" s="0"/>
      <c r="KNL7" s="0"/>
      <c r="KNM7" s="0"/>
      <c r="KNN7" s="0"/>
      <c r="KNO7" s="0"/>
      <c r="KNP7" s="0"/>
      <c r="KNQ7" s="0"/>
      <c r="KNR7" s="0"/>
      <c r="KNS7" s="0"/>
      <c r="KNT7" s="0"/>
      <c r="KNU7" s="0"/>
      <c r="KNV7" s="0"/>
      <c r="KNW7" s="0"/>
      <c r="KNX7" s="0"/>
      <c r="KNY7" s="0"/>
      <c r="KNZ7" s="0"/>
      <c r="KOA7" s="0"/>
      <c r="KOB7" s="0"/>
      <c r="KOC7" s="0"/>
      <c r="KOD7" s="0"/>
      <c r="KOE7" s="0"/>
      <c r="KOF7" s="0"/>
      <c r="KOG7" s="0"/>
      <c r="KOH7" s="0"/>
      <c r="KOI7" s="0"/>
      <c r="KOJ7" s="0"/>
      <c r="KOK7" s="0"/>
      <c r="KOL7" s="0"/>
      <c r="KOM7" s="0"/>
      <c r="KON7" s="0"/>
      <c r="KOO7" s="0"/>
      <c r="KOP7" s="0"/>
      <c r="KOQ7" s="0"/>
      <c r="KOR7" s="0"/>
      <c r="KOS7" s="0"/>
      <c r="KOT7" s="0"/>
      <c r="KOU7" s="0"/>
      <c r="KOV7" s="0"/>
      <c r="KOW7" s="0"/>
      <c r="KOX7" s="0"/>
      <c r="KOY7" s="0"/>
      <c r="KOZ7" s="0"/>
      <c r="KPA7" s="0"/>
      <c r="KPB7" s="0"/>
      <c r="KPC7" s="0"/>
      <c r="KPD7" s="0"/>
      <c r="KPE7" s="0"/>
      <c r="KPF7" s="0"/>
      <c r="KPG7" s="0"/>
      <c r="KPH7" s="0"/>
      <c r="KPI7" s="0"/>
      <c r="KPJ7" s="0"/>
      <c r="KPK7" s="0"/>
      <c r="KPL7" s="0"/>
      <c r="KPM7" s="0"/>
      <c r="KPN7" s="0"/>
      <c r="KPO7" s="0"/>
      <c r="KPP7" s="0"/>
      <c r="KPQ7" s="0"/>
      <c r="KPR7" s="0"/>
      <c r="KPS7" s="0"/>
      <c r="KPT7" s="0"/>
      <c r="KPU7" s="0"/>
      <c r="KPV7" s="0"/>
      <c r="KPW7" s="0"/>
      <c r="KPX7" s="0"/>
      <c r="KPY7" s="0"/>
      <c r="KPZ7" s="0"/>
      <c r="KQA7" s="0"/>
      <c r="KQB7" s="0"/>
      <c r="KQC7" s="0"/>
      <c r="KQD7" s="0"/>
      <c r="KQE7" s="0"/>
      <c r="KQF7" s="0"/>
      <c r="KQG7" s="0"/>
      <c r="KQH7" s="0"/>
      <c r="KQI7" s="0"/>
      <c r="KQJ7" s="0"/>
      <c r="KQK7" s="0"/>
      <c r="KQL7" s="0"/>
      <c r="KQM7" s="0"/>
      <c r="KQN7" s="0"/>
      <c r="KQO7" s="0"/>
      <c r="KQP7" s="0"/>
      <c r="KQQ7" s="0"/>
      <c r="KQR7" s="0"/>
      <c r="KQS7" s="0"/>
      <c r="KQT7" s="0"/>
      <c r="KQU7" s="0"/>
      <c r="KQV7" s="0"/>
      <c r="KQW7" s="0"/>
      <c r="KQX7" s="0"/>
      <c r="KQY7" s="0"/>
      <c r="KQZ7" s="0"/>
      <c r="KRA7" s="0"/>
      <c r="KRB7" s="0"/>
      <c r="KRC7" s="0"/>
      <c r="KRD7" s="0"/>
      <c r="KRE7" s="0"/>
      <c r="KRF7" s="0"/>
      <c r="KRG7" s="0"/>
      <c r="KRH7" s="0"/>
      <c r="KRI7" s="0"/>
      <c r="KRJ7" s="0"/>
      <c r="KRK7" s="0"/>
      <c r="KRL7" s="0"/>
      <c r="KRM7" s="0"/>
      <c r="KRN7" s="0"/>
      <c r="KRO7" s="0"/>
      <c r="KRP7" s="0"/>
      <c r="KRQ7" s="0"/>
      <c r="KRR7" s="0"/>
      <c r="KRS7" s="0"/>
      <c r="KRT7" s="0"/>
      <c r="KRU7" s="0"/>
      <c r="KRV7" s="0"/>
      <c r="KRW7" s="0"/>
      <c r="KRX7" s="0"/>
      <c r="KRY7" s="0"/>
      <c r="KRZ7" s="0"/>
      <c r="KSA7" s="0"/>
      <c r="KSB7" s="0"/>
      <c r="KSC7" s="0"/>
      <c r="KSD7" s="0"/>
      <c r="KSE7" s="0"/>
      <c r="KSF7" s="0"/>
      <c r="KSG7" s="0"/>
      <c r="KSH7" s="0"/>
      <c r="KSI7" s="0"/>
      <c r="KSJ7" s="0"/>
      <c r="KSK7" s="0"/>
      <c r="KSL7" s="0"/>
      <c r="KSM7" s="0"/>
      <c r="KSN7" s="0"/>
      <c r="KSO7" s="0"/>
      <c r="KSP7" s="0"/>
      <c r="KSQ7" s="0"/>
      <c r="KSR7" s="0"/>
      <c r="KSS7" s="0"/>
      <c r="KST7" s="0"/>
      <c r="KSU7" s="0"/>
      <c r="KSV7" s="0"/>
      <c r="KSW7" s="0"/>
      <c r="KSX7" s="0"/>
      <c r="KSY7" s="0"/>
      <c r="KSZ7" s="0"/>
      <c r="KTA7" s="0"/>
      <c r="KTB7" s="0"/>
      <c r="KTC7" s="0"/>
      <c r="KTD7" s="0"/>
      <c r="KTE7" s="0"/>
      <c r="KTF7" s="0"/>
      <c r="KTG7" s="0"/>
      <c r="KTH7" s="0"/>
      <c r="KTI7" s="0"/>
      <c r="KTJ7" s="0"/>
      <c r="KTK7" s="0"/>
      <c r="KTL7" s="0"/>
      <c r="KTM7" s="0"/>
      <c r="KTN7" s="0"/>
      <c r="KTO7" s="0"/>
      <c r="KTP7" s="0"/>
      <c r="KTQ7" s="0"/>
      <c r="KTR7" s="0"/>
      <c r="KTS7" s="0"/>
      <c r="KTT7" s="0"/>
      <c r="KTU7" s="0"/>
      <c r="KTV7" s="0"/>
      <c r="KTW7" s="0"/>
      <c r="KTX7" s="0"/>
      <c r="KTY7" s="0"/>
      <c r="KTZ7" s="0"/>
      <c r="KUA7" s="0"/>
      <c r="KUB7" s="0"/>
      <c r="KUC7" s="0"/>
      <c r="KUD7" s="0"/>
      <c r="KUE7" s="0"/>
      <c r="KUF7" s="0"/>
      <c r="KUG7" s="0"/>
      <c r="KUH7" s="0"/>
      <c r="KUI7" s="0"/>
      <c r="KUJ7" s="0"/>
      <c r="KUK7" s="0"/>
      <c r="KUL7" s="0"/>
      <c r="KUM7" s="0"/>
      <c r="KUN7" s="0"/>
      <c r="KUO7" s="0"/>
      <c r="KUP7" s="0"/>
      <c r="KUQ7" s="0"/>
      <c r="KUR7" s="0"/>
      <c r="KUS7" s="0"/>
      <c r="KUT7" s="0"/>
      <c r="KUU7" s="0"/>
      <c r="KUV7" s="0"/>
      <c r="KUW7" s="0"/>
      <c r="KUX7" s="0"/>
      <c r="KUY7" s="0"/>
      <c r="KUZ7" s="0"/>
      <c r="KVA7" s="0"/>
      <c r="KVB7" s="0"/>
      <c r="KVC7" s="0"/>
      <c r="KVD7" s="0"/>
      <c r="KVE7" s="0"/>
      <c r="KVF7" s="0"/>
      <c r="KVG7" s="0"/>
      <c r="KVH7" s="0"/>
      <c r="KVI7" s="0"/>
      <c r="KVJ7" s="0"/>
      <c r="KVK7" s="0"/>
      <c r="KVL7" s="0"/>
      <c r="KVM7" s="0"/>
      <c r="KVN7" s="0"/>
      <c r="KVO7" s="0"/>
      <c r="KVP7" s="0"/>
      <c r="KVQ7" s="0"/>
      <c r="KVR7" s="0"/>
      <c r="KVS7" s="0"/>
      <c r="KVT7" s="0"/>
      <c r="KVU7" s="0"/>
      <c r="KVV7" s="0"/>
      <c r="KVW7" s="0"/>
      <c r="KVX7" s="0"/>
      <c r="KVY7" s="0"/>
      <c r="KVZ7" s="0"/>
      <c r="KWA7" s="0"/>
      <c r="KWB7" s="0"/>
      <c r="KWC7" s="0"/>
      <c r="KWD7" s="0"/>
      <c r="KWE7" s="0"/>
      <c r="KWF7" s="0"/>
      <c r="KWG7" s="0"/>
      <c r="KWH7" s="0"/>
      <c r="KWI7" s="0"/>
      <c r="KWJ7" s="0"/>
      <c r="KWK7" s="0"/>
      <c r="KWL7" s="0"/>
      <c r="KWM7" s="0"/>
      <c r="KWN7" s="0"/>
      <c r="KWO7" s="0"/>
      <c r="KWP7" s="0"/>
      <c r="KWQ7" s="0"/>
      <c r="KWR7" s="0"/>
      <c r="KWS7" s="0"/>
      <c r="KWT7" s="0"/>
      <c r="KWU7" s="0"/>
      <c r="KWV7" s="0"/>
      <c r="KWW7" s="0"/>
      <c r="KWX7" s="0"/>
      <c r="KWY7" s="0"/>
      <c r="KWZ7" s="0"/>
      <c r="KXA7" s="0"/>
      <c r="KXB7" s="0"/>
      <c r="KXC7" s="0"/>
      <c r="KXD7" s="0"/>
      <c r="KXE7" s="0"/>
      <c r="KXF7" s="0"/>
      <c r="KXG7" s="0"/>
      <c r="KXH7" s="0"/>
      <c r="KXI7" s="0"/>
      <c r="KXJ7" s="0"/>
      <c r="KXK7" s="0"/>
      <c r="KXL7" s="0"/>
      <c r="KXM7" s="0"/>
      <c r="KXN7" s="0"/>
      <c r="KXO7" s="0"/>
      <c r="KXP7" s="0"/>
      <c r="KXQ7" s="0"/>
      <c r="KXR7" s="0"/>
      <c r="KXS7" s="0"/>
      <c r="KXT7" s="0"/>
      <c r="KXU7" s="0"/>
      <c r="KXV7" s="0"/>
      <c r="KXW7" s="0"/>
      <c r="KXX7" s="0"/>
      <c r="KXY7" s="0"/>
      <c r="KXZ7" s="0"/>
      <c r="KYA7" s="0"/>
      <c r="KYB7" s="0"/>
      <c r="KYC7" s="0"/>
      <c r="KYD7" s="0"/>
      <c r="KYE7" s="0"/>
      <c r="KYF7" s="0"/>
      <c r="KYG7" s="0"/>
      <c r="KYH7" s="0"/>
      <c r="KYI7" s="0"/>
      <c r="KYJ7" s="0"/>
      <c r="KYK7" s="0"/>
      <c r="KYL7" s="0"/>
      <c r="KYM7" s="0"/>
      <c r="KYN7" s="0"/>
      <c r="KYO7" s="0"/>
      <c r="KYP7" s="0"/>
      <c r="KYQ7" s="0"/>
      <c r="KYR7" s="0"/>
      <c r="KYS7" s="0"/>
      <c r="KYT7" s="0"/>
      <c r="KYU7" s="0"/>
      <c r="KYV7" s="0"/>
      <c r="KYW7" s="0"/>
      <c r="KYX7" s="0"/>
      <c r="KYY7" s="0"/>
      <c r="KYZ7" s="0"/>
      <c r="KZA7" s="0"/>
      <c r="KZB7" s="0"/>
      <c r="KZC7" s="0"/>
      <c r="KZD7" s="0"/>
      <c r="KZE7" s="0"/>
      <c r="KZF7" s="0"/>
      <c r="KZG7" s="0"/>
      <c r="KZH7" s="0"/>
      <c r="KZI7" s="0"/>
      <c r="KZJ7" s="0"/>
      <c r="KZK7" s="0"/>
      <c r="KZL7" s="0"/>
      <c r="KZM7" s="0"/>
      <c r="KZN7" s="0"/>
      <c r="KZO7" s="0"/>
      <c r="KZP7" s="0"/>
      <c r="KZQ7" s="0"/>
      <c r="KZR7" s="0"/>
      <c r="KZS7" s="0"/>
      <c r="KZT7" s="0"/>
      <c r="KZU7" s="0"/>
      <c r="KZV7" s="0"/>
      <c r="KZW7" s="0"/>
      <c r="KZX7" s="0"/>
      <c r="KZY7" s="0"/>
      <c r="KZZ7" s="0"/>
      <c r="LAA7" s="0"/>
      <c r="LAB7" s="0"/>
      <c r="LAC7" s="0"/>
      <c r="LAD7" s="0"/>
      <c r="LAE7" s="0"/>
      <c r="LAF7" s="0"/>
      <c r="LAG7" s="0"/>
      <c r="LAH7" s="0"/>
      <c r="LAI7" s="0"/>
      <c r="LAJ7" s="0"/>
      <c r="LAK7" s="0"/>
      <c r="LAL7" s="0"/>
      <c r="LAM7" s="0"/>
      <c r="LAN7" s="0"/>
      <c r="LAO7" s="0"/>
      <c r="LAP7" s="0"/>
      <c r="LAQ7" s="0"/>
      <c r="LAR7" s="0"/>
      <c r="LAS7" s="0"/>
      <c r="LAT7" s="0"/>
      <c r="LAU7" s="0"/>
      <c r="LAV7" s="0"/>
      <c r="LAW7" s="0"/>
      <c r="LAX7" s="0"/>
      <c r="LAY7" s="0"/>
      <c r="LAZ7" s="0"/>
      <c r="LBA7" s="0"/>
      <c r="LBB7" s="0"/>
      <c r="LBC7" s="0"/>
      <c r="LBD7" s="0"/>
      <c r="LBE7" s="0"/>
      <c r="LBF7" s="0"/>
      <c r="LBG7" s="0"/>
      <c r="LBH7" s="0"/>
      <c r="LBI7" s="0"/>
      <c r="LBJ7" s="0"/>
      <c r="LBK7" s="0"/>
      <c r="LBL7" s="0"/>
      <c r="LBM7" s="0"/>
      <c r="LBN7" s="0"/>
      <c r="LBO7" s="0"/>
      <c r="LBP7" s="0"/>
      <c r="LBQ7" s="0"/>
      <c r="LBR7" s="0"/>
      <c r="LBS7" s="0"/>
      <c r="LBT7" s="0"/>
      <c r="LBU7" s="0"/>
      <c r="LBV7" s="0"/>
      <c r="LBW7" s="0"/>
      <c r="LBX7" s="0"/>
      <c r="LBY7" s="0"/>
      <c r="LBZ7" s="0"/>
      <c r="LCA7" s="0"/>
      <c r="LCB7" s="0"/>
      <c r="LCC7" s="0"/>
      <c r="LCD7" s="0"/>
      <c r="LCE7" s="0"/>
      <c r="LCF7" s="0"/>
      <c r="LCG7" s="0"/>
      <c r="LCH7" s="0"/>
      <c r="LCI7" s="0"/>
      <c r="LCJ7" s="0"/>
      <c r="LCK7" s="0"/>
      <c r="LCL7" s="0"/>
      <c r="LCM7" s="0"/>
      <c r="LCN7" s="0"/>
      <c r="LCO7" s="0"/>
      <c r="LCP7" s="0"/>
      <c r="LCQ7" s="0"/>
      <c r="LCR7" s="0"/>
      <c r="LCS7" s="0"/>
      <c r="LCT7" s="0"/>
      <c r="LCU7" s="0"/>
      <c r="LCV7" s="0"/>
      <c r="LCW7" s="0"/>
      <c r="LCX7" s="0"/>
      <c r="LCY7" s="0"/>
      <c r="LCZ7" s="0"/>
      <c r="LDA7" s="0"/>
      <c r="LDB7" s="0"/>
      <c r="LDC7" s="0"/>
      <c r="LDD7" s="0"/>
      <c r="LDE7" s="0"/>
      <c r="LDF7" s="0"/>
      <c r="LDG7" s="0"/>
      <c r="LDH7" s="0"/>
      <c r="LDI7" s="0"/>
      <c r="LDJ7" s="0"/>
      <c r="LDK7" s="0"/>
      <c r="LDL7" s="0"/>
      <c r="LDM7" s="0"/>
      <c r="LDN7" s="0"/>
      <c r="LDO7" s="0"/>
      <c r="LDP7" s="0"/>
      <c r="LDQ7" s="0"/>
      <c r="LDR7" s="0"/>
      <c r="LDS7" s="0"/>
      <c r="LDT7" s="0"/>
      <c r="LDU7" s="0"/>
      <c r="LDV7" s="0"/>
      <c r="LDW7" s="0"/>
      <c r="LDX7" s="0"/>
      <c r="LDY7" s="0"/>
      <c r="LDZ7" s="0"/>
      <c r="LEA7" s="0"/>
      <c r="LEB7" s="0"/>
      <c r="LEC7" s="0"/>
      <c r="LED7" s="0"/>
      <c r="LEE7" s="0"/>
      <c r="LEF7" s="0"/>
      <c r="LEG7" s="0"/>
      <c r="LEH7" s="0"/>
      <c r="LEI7" s="0"/>
      <c r="LEJ7" s="0"/>
      <c r="LEK7" s="0"/>
      <c r="LEL7" s="0"/>
      <c r="LEM7" s="0"/>
      <c r="LEN7" s="0"/>
      <c r="LEO7" s="0"/>
      <c r="LEP7" s="0"/>
      <c r="LEQ7" s="0"/>
      <c r="LER7" s="0"/>
      <c r="LES7" s="0"/>
      <c r="LET7" s="0"/>
      <c r="LEU7" s="0"/>
      <c r="LEV7" s="0"/>
      <c r="LEW7" s="0"/>
      <c r="LEX7" s="0"/>
      <c r="LEY7" s="0"/>
      <c r="LEZ7" s="0"/>
      <c r="LFA7" s="0"/>
      <c r="LFB7" s="0"/>
      <c r="LFC7" s="0"/>
      <c r="LFD7" s="0"/>
      <c r="LFE7" s="0"/>
      <c r="LFF7" s="0"/>
      <c r="LFG7" s="0"/>
      <c r="LFH7" s="0"/>
      <c r="LFI7" s="0"/>
      <c r="LFJ7" s="0"/>
      <c r="LFK7" s="0"/>
      <c r="LFL7" s="0"/>
      <c r="LFM7" s="0"/>
      <c r="LFN7" s="0"/>
      <c r="LFO7" s="0"/>
      <c r="LFP7" s="0"/>
      <c r="LFQ7" s="0"/>
      <c r="LFR7" s="0"/>
      <c r="LFS7" s="0"/>
      <c r="LFT7" s="0"/>
      <c r="LFU7" s="0"/>
      <c r="LFV7" s="0"/>
      <c r="LFW7" s="0"/>
      <c r="LFX7" s="0"/>
      <c r="LFY7" s="0"/>
      <c r="LFZ7" s="0"/>
      <c r="LGA7" s="0"/>
      <c r="LGB7" s="0"/>
      <c r="LGC7" s="0"/>
      <c r="LGD7" s="0"/>
      <c r="LGE7" s="0"/>
      <c r="LGF7" s="0"/>
      <c r="LGG7" s="0"/>
      <c r="LGH7" s="0"/>
      <c r="LGI7" s="0"/>
      <c r="LGJ7" s="0"/>
      <c r="LGK7" s="0"/>
      <c r="LGL7" s="0"/>
      <c r="LGM7" s="0"/>
      <c r="LGN7" s="0"/>
      <c r="LGO7" s="0"/>
      <c r="LGP7" s="0"/>
      <c r="LGQ7" s="0"/>
      <c r="LGR7" s="0"/>
      <c r="LGS7" s="0"/>
      <c r="LGT7" s="0"/>
      <c r="LGU7" s="0"/>
      <c r="LGV7" s="0"/>
      <c r="LGW7" s="0"/>
      <c r="LGX7" s="0"/>
      <c r="LGY7" s="0"/>
      <c r="LGZ7" s="0"/>
      <c r="LHA7" s="0"/>
      <c r="LHB7" s="0"/>
      <c r="LHC7" s="0"/>
      <c r="LHD7" s="0"/>
      <c r="LHE7" s="0"/>
      <c r="LHF7" s="0"/>
      <c r="LHG7" s="0"/>
      <c r="LHH7" s="0"/>
      <c r="LHI7" s="0"/>
      <c r="LHJ7" s="0"/>
      <c r="LHK7" s="0"/>
      <c r="LHL7" s="0"/>
      <c r="LHM7" s="0"/>
      <c r="LHN7" s="0"/>
      <c r="LHO7" s="0"/>
      <c r="LHP7" s="0"/>
      <c r="LHQ7" s="0"/>
      <c r="LHR7" s="0"/>
      <c r="LHS7" s="0"/>
      <c r="LHT7" s="0"/>
      <c r="LHU7" s="0"/>
      <c r="LHV7" s="0"/>
      <c r="LHW7" s="0"/>
      <c r="LHX7" s="0"/>
      <c r="LHY7" s="0"/>
      <c r="LHZ7" s="0"/>
      <c r="LIA7" s="0"/>
      <c r="LIB7" s="0"/>
      <c r="LIC7" s="0"/>
      <c r="LID7" s="0"/>
      <c r="LIE7" s="0"/>
      <c r="LIF7" s="0"/>
      <c r="LIG7" s="0"/>
      <c r="LIH7" s="0"/>
      <c r="LII7" s="0"/>
      <c r="LIJ7" s="0"/>
      <c r="LIK7" s="0"/>
      <c r="LIL7" s="0"/>
      <c r="LIM7" s="0"/>
      <c r="LIN7" s="0"/>
      <c r="LIO7" s="0"/>
      <c r="LIP7" s="0"/>
      <c r="LIQ7" s="0"/>
      <c r="LIR7" s="0"/>
      <c r="LIS7" s="0"/>
      <c r="LIT7" s="0"/>
      <c r="LIU7" s="0"/>
      <c r="LIV7" s="0"/>
      <c r="LIW7" s="0"/>
      <c r="LIX7" s="0"/>
      <c r="LIY7" s="0"/>
      <c r="LIZ7" s="0"/>
      <c r="LJA7" s="0"/>
      <c r="LJB7" s="0"/>
      <c r="LJC7" s="0"/>
      <c r="LJD7" s="0"/>
      <c r="LJE7" s="0"/>
      <c r="LJF7" s="0"/>
      <c r="LJG7" s="0"/>
      <c r="LJH7" s="0"/>
      <c r="LJI7" s="0"/>
      <c r="LJJ7" s="0"/>
      <c r="LJK7" s="0"/>
      <c r="LJL7" s="0"/>
      <c r="LJM7" s="0"/>
      <c r="LJN7" s="0"/>
      <c r="LJO7" s="0"/>
      <c r="LJP7" s="0"/>
      <c r="LJQ7" s="0"/>
      <c r="LJR7" s="0"/>
      <c r="LJS7" s="0"/>
      <c r="LJT7" s="0"/>
      <c r="LJU7" s="0"/>
      <c r="LJV7" s="0"/>
      <c r="LJW7" s="0"/>
      <c r="LJX7" s="0"/>
      <c r="LJY7" s="0"/>
      <c r="LJZ7" s="0"/>
      <c r="LKA7" s="0"/>
      <c r="LKB7" s="0"/>
      <c r="LKC7" s="0"/>
      <c r="LKD7" s="0"/>
      <c r="LKE7" s="0"/>
      <c r="LKF7" s="0"/>
      <c r="LKG7" s="0"/>
      <c r="LKH7" s="0"/>
      <c r="LKI7" s="0"/>
      <c r="LKJ7" s="0"/>
      <c r="LKK7" s="0"/>
      <c r="LKL7" s="0"/>
      <c r="LKM7" s="0"/>
      <c r="LKN7" s="0"/>
      <c r="LKO7" s="0"/>
      <c r="LKP7" s="0"/>
      <c r="LKQ7" s="0"/>
      <c r="LKR7" s="0"/>
      <c r="LKS7" s="0"/>
      <c r="LKT7" s="0"/>
      <c r="LKU7" s="0"/>
      <c r="LKV7" s="0"/>
      <c r="LKW7" s="0"/>
      <c r="LKX7" s="0"/>
      <c r="LKY7" s="0"/>
      <c r="LKZ7" s="0"/>
      <c r="LLA7" s="0"/>
      <c r="LLB7" s="0"/>
      <c r="LLC7" s="0"/>
      <c r="LLD7" s="0"/>
      <c r="LLE7" s="0"/>
      <c r="LLF7" s="0"/>
      <c r="LLG7" s="0"/>
      <c r="LLH7" s="0"/>
      <c r="LLI7" s="0"/>
      <c r="LLJ7" s="0"/>
      <c r="LLK7" s="0"/>
      <c r="LLL7" s="0"/>
      <c r="LLM7" s="0"/>
      <c r="LLN7" s="0"/>
      <c r="LLO7" s="0"/>
      <c r="LLP7" s="0"/>
      <c r="LLQ7" s="0"/>
      <c r="LLR7" s="0"/>
      <c r="LLS7" s="0"/>
      <c r="LLT7" s="0"/>
      <c r="LLU7" s="0"/>
      <c r="LLV7" s="0"/>
      <c r="LLW7" s="0"/>
      <c r="LLX7" s="0"/>
      <c r="LLY7" s="0"/>
      <c r="LLZ7" s="0"/>
      <c r="LMA7" s="0"/>
      <c r="LMB7" s="0"/>
      <c r="LMC7" s="0"/>
      <c r="LMD7" s="0"/>
      <c r="LME7" s="0"/>
      <c r="LMF7" s="0"/>
      <c r="LMG7" s="0"/>
      <c r="LMH7" s="0"/>
      <c r="LMI7" s="0"/>
      <c r="LMJ7" s="0"/>
      <c r="LMK7" s="0"/>
      <c r="LML7" s="0"/>
      <c r="LMM7" s="0"/>
      <c r="LMN7" s="0"/>
      <c r="LMO7" s="0"/>
      <c r="LMP7" s="0"/>
      <c r="LMQ7" s="0"/>
      <c r="LMR7" s="0"/>
      <c r="LMS7" s="0"/>
      <c r="LMT7" s="0"/>
      <c r="LMU7" s="0"/>
      <c r="LMV7" s="0"/>
      <c r="LMW7" s="0"/>
      <c r="LMX7" s="0"/>
      <c r="LMY7" s="0"/>
      <c r="LMZ7" s="0"/>
      <c r="LNA7" s="0"/>
      <c r="LNB7" s="0"/>
      <c r="LNC7" s="0"/>
      <c r="LND7" s="0"/>
      <c r="LNE7" s="0"/>
      <c r="LNF7" s="0"/>
      <c r="LNG7" s="0"/>
      <c r="LNH7" s="0"/>
      <c r="LNI7" s="0"/>
      <c r="LNJ7" s="0"/>
      <c r="LNK7" s="0"/>
      <c r="LNL7" s="0"/>
      <c r="LNM7" s="0"/>
      <c r="LNN7" s="0"/>
      <c r="LNO7" s="0"/>
      <c r="LNP7" s="0"/>
      <c r="LNQ7" s="0"/>
      <c r="LNR7" s="0"/>
      <c r="LNS7" s="0"/>
      <c r="LNT7" s="0"/>
      <c r="LNU7" s="0"/>
      <c r="LNV7" s="0"/>
      <c r="LNW7" s="0"/>
      <c r="LNX7" s="0"/>
      <c r="LNY7" s="0"/>
      <c r="LNZ7" s="0"/>
      <c r="LOA7" s="0"/>
      <c r="LOB7" s="0"/>
      <c r="LOC7" s="0"/>
      <c r="LOD7" s="0"/>
      <c r="LOE7" s="0"/>
      <c r="LOF7" s="0"/>
      <c r="LOG7" s="0"/>
      <c r="LOH7" s="0"/>
      <c r="LOI7" s="0"/>
      <c r="LOJ7" s="0"/>
      <c r="LOK7" s="0"/>
      <c r="LOL7" s="0"/>
      <c r="LOM7" s="0"/>
      <c r="LON7" s="0"/>
      <c r="LOO7" s="0"/>
      <c r="LOP7" s="0"/>
      <c r="LOQ7" s="0"/>
      <c r="LOR7" s="0"/>
      <c r="LOS7" s="0"/>
      <c r="LOT7" s="0"/>
      <c r="LOU7" s="0"/>
      <c r="LOV7" s="0"/>
      <c r="LOW7" s="0"/>
      <c r="LOX7" s="0"/>
      <c r="LOY7" s="0"/>
      <c r="LOZ7" s="0"/>
      <c r="LPA7" s="0"/>
      <c r="LPB7" s="0"/>
      <c r="LPC7" s="0"/>
      <c r="LPD7" s="0"/>
      <c r="LPE7" s="0"/>
      <c r="LPF7" s="0"/>
      <c r="LPG7" s="0"/>
      <c r="LPH7" s="0"/>
      <c r="LPI7" s="0"/>
      <c r="LPJ7" s="0"/>
      <c r="LPK7" s="0"/>
      <c r="LPL7" s="0"/>
      <c r="LPM7" s="0"/>
      <c r="LPN7" s="0"/>
      <c r="LPO7" s="0"/>
      <c r="LPP7" s="0"/>
      <c r="LPQ7" s="0"/>
      <c r="LPR7" s="0"/>
      <c r="LPS7" s="0"/>
      <c r="LPT7" s="0"/>
      <c r="LPU7" s="0"/>
      <c r="LPV7" s="0"/>
      <c r="LPW7" s="0"/>
      <c r="LPX7" s="0"/>
      <c r="LPY7" s="0"/>
      <c r="LPZ7" s="0"/>
      <c r="LQA7" s="0"/>
      <c r="LQB7" s="0"/>
      <c r="LQC7" s="0"/>
      <c r="LQD7" s="0"/>
      <c r="LQE7" s="0"/>
      <c r="LQF7" s="0"/>
      <c r="LQG7" s="0"/>
      <c r="LQH7" s="0"/>
      <c r="LQI7" s="0"/>
      <c r="LQJ7" s="0"/>
      <c r="LQK7" s="0"/>
      <c r="LQL7" s="0"/>
      <c r="LQM7" s="0"/>
      <c r="LQN7" s="0"/>
      <c r="LQO7" s="0"/>
      <c r="LQP7" s="0"/>
      <c r="LQQ7" s="0"/>
      <c r="LQR7" s="0"/>
      <c r="LQS7" s="0"/>
      <c r="LQT7" s="0"/>
      <c r="LQU7" s="0"/>
      <c r="LQV7" s="0"/>
      <c r="LQW7" s="0"/>
      <c r="LQX7" s="0"/>
      <c r="LQY7" s="0"/>
      <c r="LQZ7" s="0"/>
      <c r="LRA7" s="0"/>
      <c r="LRB7" s="0"/>
      <c r="LRC7" s="0"/>
      <c r="LRD7" s="0"/>
      <c r="LRE7" s="0"/>
      <c r="LRF7" s="0"/>
      <c r="LRG7" s="0"/>
      <c r="LRH7" s="0"/>
      <c r="LRI7" s="0"/>
      <c r="LRJ7" s="0"/>
      <c r="LRK7" s="0"/>
      <c r="LRL7" s="0"/>
      <c r="LRM7" s="0"/>
      <c r="LRN7" s="0"/>
      <c r="LRO7" s="0"/>
      <c r="LRP7" s="0"/>
      <c r="LRQ7" s="0"/>
      <c r="LRR7" s="0"/>
      <c r="LRS7" s="0"/>
      <c r="LRT7" s="0"/>
      <c r="LRU7" s="0"/>
      <c r="LRV7" s="0"/>
      <c r="LRW7" s="0"/>
      <c r="LRX7" s="0"/>
      <c r="LRY7" s="0"/>
      <c r="LRZ7" s="0"/>
      <c r="LSA7" s="0"/>
      <c r="LSB7" s="0"/>
      <c r="LSC7" s="0"/>
      <c r="LSD7" s="0"/>
      <c r="LSE7" s="0"/>
      <c r="LSF7" s="0"/>
      <c r="LSG7" s="0"/>
      <c r="LSH7" s="0"/>
      <c r="LSI7" s="0"/>
      <c r="LSJ7" s="0"/>
      <c r="LSK7" s="0"/>
      <c r="LSL7" s="0"/>
      <c r="LSM7" s="0"/>
      <c r="LSN7" s="0"/>
      <c r="LSO7" s="0"/>
      <c r="LSP7" s="0"/>
      <c r="LSQ7" s="0"/>
      <c r="LSR7" s="0"/>
      <c r="LSS7" s="0"/>
      <c r="LST7" s="0"/>
      <c r="LSU7" s="0"/>
      <c r="LSV7" s="0"/>
      <c r="LSW7" s="0"/>
      <c r="LSX7" s="0"/>
      <c r="LSY7" s="0"/>
      <c r="LSZ7" s="0"/>
      <c r="LTA7" s="0"/>
      <c r="LTB7" s="0"/>
      <c r="LTC7" s="0"/>
      <c r="LTD7" s="0"/>
      <c r="LTE7" s="0"/>
      <c r="LTF7" s="0"/>
      <c r="LTG7" s="0"/>
      <c r="LTH7" s="0"/>
      <c r="LTI7" s="0"/>
      <c r="LTJ7" s="0"/>
      <c r="LTK7" s="0"/>
      <c r="LTL7" s="0"/>
      <c r="LTM7" s="0"/>
      <c r="LTN7" s="0"/>
      <c r="LTO7" s="0"/>
      <c r="LTP7" s="0"/>
      <c r="LTQ7" s="0"/>
      <c r="LTR7" s="0"/>
      <c r="LTS7" s="0"/>
      <c r="LTT7" s="0"/>
      <c r="LTU7" s="0"/>
      <c r="LTV7" s="0"/>
      <c r="LTW7" s="0"/>
      <c r="LTX7" s="0"/>
      <c r="LTY7" s="0"/>
      <c r="LTZ7" s="0"/>
      <c r="LUA7" s="0"/>
      <c r="LUB7" s="0"/>
      <c r="LUC7" s="0"/>
      <c r="LUD7" s="0"/>
      <c r="LUE7" s="0"/>
      <c r="LUF7" s="0"/>
      <c r="LUG7" s="0"/>
      <c r="LUH7" s="0"/>
      <c r="LUI7" s="0"/>
      <c r="LUJ7" s="0"/>
      <c r="LUK7" s="0"/>
      <c r="LUL7" s="0"/>
      <c r="LUM7" s="0"/>
      <c r="LUN7" s="0"/>
      <c r="LUO7" s="0"/>
      <c r="LUP7" s="0"/>
      <c r="LUQ7" s="0"/>
      <c r="LUR7" s="0"/>
      <c r="LUS7" s="0"/>
      <c r="LUT7" s="0"/>
      <c r="LUU7" s="0"/>
      <c r="LUV7" s="0"/>
      <c r="LUW7" s="0"/>
      <c r="LUX7" s="0"/>
      <c r="LUY7" s="0"/>
      <c r="LUZ7" s="0"/>
      <c r="LVA7" s="0"/>
      <c r="LVB7" s="0"/>
      <c r="LVC7" s="0"/>
      <c r="LVD7" s="0"/>
      <c r="LVE7" s="0"/>
      <c r="LVF7" s="0"/>
      <c r="LVG7" s="0"/>
      <c r="LVH7" s="0"/>
      <c r="LVI7" s="0"/>
      <c r="LVJ7" s="0"/>
      <c r="LVK7" s="0"/>
      <c r="LVL7" s="0"/>
      <c r="LVM7" s="0"/>
      <c r="LVN7" s="0"/>
      <c r="LVO7" s="0"/>
      <c r="LVP7" s="0"/>
      <c r="LVQ7" s="0"/>
      <c r="LVR7" s="0"/>
      <c r="LVS7" s="0"/>
      <c r="LVT7" s="0"/>
      <c r="LVU7" s="0"/>
      <c r="LVV7" s="0"/>
      <c r="LVW7" s="0"/>
      <c r="LVX7" s="0"/>
      <c r="LVY7" s="0"/>
      <c r="LVZ7" s="0"/>
      <c r="LWA7" s="0"/>
      <c r="LWB7" s="0"/>
      <c r="LWC7" s="0"/>
      <c r="LWD7" s="0"/>
      <c r="LWE7" s="0"/>
      <c r="LWF7" s="0"/>
      <c r="LWG7" s="0"/>
      <c r="LWH7" s="0"/>
      <c r="LWI7" s="0"/>
      <c r="LWJ7" s="0"/>
      <c r="LWK7" s="0"/>
      <c r="LWL7" s="0"/>
      <c r="LWM7" s="0"/>
      <c r="LWN7" s="0"/>
      <c r="LWO7" s="0"/>
      <c r="LWP7" s="0"/>
      <c r="LWQ7" s="0"/>
      <c r="LWR7" s="0"/>
      <c r="LWS7" s="0"/>
      <c r="LWT7" s="0"/>
      <c r="LWU7" s="0"/>
      <c r="LWV7" s="0"/>
      <c r="LWW7" s="0"/>
      <c r="LWX7" s="0"/>
      <c r="LWY7" s="0"/>
      <c r="LWZ7" s="0"/>
      <c r="LXA7" s="0"/>
      <c r="LXB7" s="0"/>
      <c r="LXC7" s="0"/>
      <c r="LXD7" s="0"/>
      <c r="LXE7" s="0"/>
      <c r="LXF7" s="0"/>
      <c r="LXG7" s="0"/>
      <c r="LXH7" s="0"/>
      <c r="LXI7" s="0"/>
      <c r="LXJ7" s="0"/>
      <c r="LXK7" s="0"/>
      <c r="LXL7" s="0"/>
      <c r="LXM7" s="0"/>
      <c r="LXN7" s="0"/>
      <c r="LXO7" s="0"/>
      <c r="LXP7" s="0"/>
      <c r="LXQ7" s="0"/>
      <c r="LXR7" s="0"/>
      <c r="LXS7" s="0"/>
      <c r="LXT7" s="0"/>
      <c r="LXU7" s="0"/>
      <c r="LXV7" s="0"/>
      <c r="LXW7" s="0"/>
      <c r="LXX7" s="0"/>
      <c r="LXY7" s="0"/>
      <c r="LXZ7" s="0"/>
      <c r="LYA7" s="0"/>
      <c r="LYB7" s="0"/>
      <c r="LYC7" s="0"/>
      <c r="LYD7" s="0"/>
      <c r="LYE7" s="0"/>
      <c r="LYF7" s="0"/>
      <c r="LYG7" s="0"/>
      <c r="LYH7" s="0"/>
      <c r="LYI7" s="0"/>
      <c r="LYJ7" s="0"/>
      <c r="LYK7" s="0"/>
      <c r="LYL7" s="0"/>
      <c r="LYM7" s="0"/>
      <c r="LYN7" s="0"/>
      <c r="LYO7" s="0"/>
      <c r="LYP7" s="0"/>
      <c r="LYQ7" s="0"/>
      <c r="LYR7" s="0"/>
      <c r="LYS7" s="0"/>
      <c r="LYT7" s="0"/>
      <c r="LYU7" s="0"/>
      <c r="LYV7" s="0"/>
      <c r="LYW7" s="0"/>
      <c r="LYX7" s="0"/>
      <c r="LYY7" s="0"/>
      <c r="LYZ7" s="0"/>
      <c r="LZA7" s="0"/>
      <c r="LZB7" s="0"/>
      <c r="LZC7" s="0"/>
      <c r="LZD7" s="0"/>
      <c r="LZE7" s="0"/>
      <c r="LZF7" s="0"/>
      <c r="LZG7" s="0"/>
      <c r="LZH7" s="0"/>
      <c r="LZI7" s="0"/>
      <c r="LZJ7" s="0"/>
      <c r="LZK7" s="0"/>
      <c r="LZL7" s="0"/>
      <c r="LZM7" s="0"/>
      <c r="LZN7" s="0"/>
      <c r="LZO7" s="0"/>
      <c r="LZP7" s="0"/>
      <c r="LZQ7" s="0"/>
      <c r="LZR7" s="0"/>
      <c r="LZS7" s="0"/>
      <c r="LZT7" s="0"/>
      <c r="LZU7" s="0"/>
      <c r="LZV7" s="0"/>
      <c r="LZW7" s="0"/>
      <c r="LZX7" s="0"/>
      <c r="LZY7" s="0"/>
      <c r="LZZ7" s="0"/>
      <c r="MAA7" s="0"/>
      <c r="MAB7" s="0"/>
      <c r="MAC7" s="0"/>
      <c r="MAD7" s="0"/>
      <c r="MAE7" s="0"/>
      <c r="MAF7" s="0"/>
      <c r="MAG7" s="0"/>
      <c r="MAH7" s="0"/>
      <c r="MAI7" s="0"/>
      <c r="MAJ7" s="0"/>
      <c r="MAK7" s="0"/>
      <c r="MAL7" s="0"/>
      <c r="MAM7" s="0"/>
      <c r="MAN7" s="0"/>
      <c r="MAO7" s="0"/>
      <c r="MAP7" s="0"/>
      <c r="MAQ7" s="0"/>
      <c r="MAR7" s="0"/>
      <c r="MAS7" s="0"/>
      <c r="MAT7" s="0"/>
      <c r="MAU7" s="0"/>
      <c r="MAV7" s="0"/>
      <c r="MAW7" s="0"/>
      <c r="MAX7" s="0"/>
      <c r="MAY7" s="0"/>
      <c r="MAZ7" s="0"/>
      <c r="MBA7" s="0"/>
      <c r="MBB7" s="0"/>
      <c r="MBC7" s="0"/>
      <c r="MBD7" s="0"/>
      <c r="MBE7" s="0"/>
      <c r="MBF7" s="0"/>
      <c r="MBG7" s="0"/>
      <c r="MBH7" s="0"/>
      <c r="MBI7" s="0"/>
      <c r="MBJ7" s="0"/>
      <c r="MBK7" s="0"/>
      <c r="MBL7" s="0"/>
      <c r="MBM7" s="0"/>
      <c r="MBN7" s="0"/>
      <c r="MBO7" s="0"/>
      <c r="MBP7" s="0"/>
      <c r="MBQ7" s="0"/>
      <c r="MBR7" s="0"/>
      <c r="MBS7" s="0"/>
      <c r="MBT7" s="0"/>
      <c r="MBU7" s="0"/>
      <c r="MBV7" s="0"/>
      <c r="MBW7" s="0"/>
      <c r="MBX7" s="0"/>
      <c r="MBY7" s="0"/>
      <c r="MBZ7" s="0"/>
      <c r="MCA7" s="0"/>
      <c r="MCB7" s="0"/>
      <c r="MCC7" s="0"/>
      <c r="MCD7" s="0"/>
      <c r="MCE7" s="0"/>
      <c r="MCF7" s="0"/>
      <c r="MCG7" s="0"/>
      <c r="MCH7" s="0"/>
      <c r="MCI7" s="0"/>
      <c r="MCJ7" s="0"/>
      <c r="MCK7" s="0"/>
      <c r="MCL7" s="0"/>
      <c r="MCM7" s="0"/>
      <c r="MCN7" s="0"/>
      <c r="MCO7" s="0"/>
      <c r="MCP7" s="0"/>
      <c r="MCQ7" s="0"/>
      <c r="MCR7" s="0"/>
      <c r="MCS7" s="0"/>
      <c r="MCT7" s="0"/>
      <c r="MCU7" s="0"/>
      <c r="MCV7" s="0"/>
      <c r="MCW7" s="0"/>
      <c r="MCX7" s="0"/>
      <c r="MCY7" s="0"/>
      <c r="MCZ7" s="0"/>
      <c r="MDA7" s="0"/>
      <c r="MDB7" s="0"/>
      <c r="MDC7" s="0"/>
      <c r="MDD7" s="0"/>
      <c r="MDE7" s="0"/>
      <c r="MDF7" s="0"/>
      <c r="MDG7" s="0"/>
      <c r="MDH7" s="0"/>
      <c r="MDI7" s="0"/>
      <c r="MDJ7" s="0"/>
      <c r="MDK7" s="0"/>
      <c r="MDL7" s="0"/>
      <c r="MDM7" s="0"/>
      <c r="MDN7" s="0"/>
      <c r="MDO7" s="0"/>
      <c r="MDP7" s="0"/>
      <c r="MDQ7" s="0"/>
      <c r="MDR7" s="0"/>
      <c r="MDS7" s="0"/>
      <c r="MDT7" s="0"/>
      <c r="MDU7" s="0"/>
      <c r="MDV7" s="0"/>
      <c r="MDW7" s="0"/>
      <c r="MDX7" s="0"/>
      <c r="MDY7" s="0"/>
      <c r="MDZ7" s="0"/>
      <c r="MEA7" s="0"/>
      <c r="MEB7" s="0"/>
      <c r="MEC7" s="0"/>
      <c r="MED7" s="0"/>
      <c r="MEE7" s="0"/>
      <c r="MEF7" s="0"/>
      <c r="MEG7" s="0"/>
      <c r="MEH7" s="0"/>
      <c r="MEI7" s="0"/>
      <c r="MEJ7" s="0"/>
      <c r="MEK7" s="0"/>
      <c r="MEL7" s="0"/>
      <c r="MEM7" s="0"/>
      <c r="MEN7" s="0"/>
      <c r="MEO7" s="0"/>
      <c r="MEP7" s="0"/>
      <c r="MEQ7" s="0"/>
      <c r="MER7" s="0"/>
      <c r="MES7" s="0"/>
      <c r="MET7" s="0"/>
      <c r="MEU7" s="0"/>
      <c r="MEV7" s="0"/>
      <c r="MEW7" s="0"/>
      <c r="MEX7" s="0"/>
      <c r="MEY7" s="0"/>
      <c r="MEZ7" s="0"/>
      <c r="MFA7" s="0"/>
      <c r="MFB7" s="0"/>
      <c r="MFC7" s="0"/>
      <c r="MFD7" s="0"/>
      <c r="MFE7" s="0"/>
      <c r="MFF7" s="0"/>
      <c r="MFG7" s="0"/>
      <c r="MFH7" s="0"/>
      <c r="MFI7" s="0"/>
      <c r="MFJ7" s="0"/>
      <c r="MFK7" s="0"/>
      <c r="MFL7" s="0"/>
      <c r="MFM7" s="0"/>
      <c r="MFN7" s="0"/>
      <c r="MFO7" s="0"/>
      <c r="MFP7" s="0"/>
      <c r="MFQ7" s="0"/>
      <c r="MFR7" s="0"/>
      <c r="MFS7" s="0"/>
      <c r="MFT7" s="0"/>
      <c r="MFU7" s="0"/>
      <c r="MFV7" s="0"/>
      <c r="MFW7" s="0"/>
      <c r="MFX7" s="0"/>
      <c r="MFY7" s="0"/>
      <c r="MFZ7" s="0"/>
      <c r="MGA7" s="0"/>
      <c r="MGB7" s="0"/>
      <c r="MGC7" s="0"/>
      <c r="MGD7" s="0"/>
      <c r="MGE7" s="0"/>
      <c r="MGF7" s="0"/>
      <c r="MGG7" s="0"/>
      <c r="MGH7" s="0"/>
      <c r="MGI7" s="0"/>
      <c r="MGJ7" s="0"/>
      <c r="MGK7" s="0"/>
      <c r="MGL7" s="0"/>
      <c r="MGM7" s="0"/>
      <c r="MGN7" s="0"/>
      <c r="MGO7" s="0"/>
      <c r="MGP7" s="0"/>
      <c r="MGQ7" s="0"/>
      <c r="MGR7" s="0"/>
      <c r="MGS7" s="0"/>
      <c r="MGT7" s="0"/>
      <c r="MGU7" s="0"/>
      <c r="MGV7" s="0"/>
      <c r="MGW7" s="0"/>
      <c r="MGX7" s="0"/>
      <c r="MGY7" s="0"/>
      <c r="MGZ7" s="0"/>
      <c r="MHA7" s="0"/>
      <c r="MHB7" s="0"/>
      <c r="MHC7" s="0"/>
      <c r="MHD7" s="0"/>
      <c r="MHE7" s="0"/>
      <c r="MHF7" s="0"/>
      <c r="MHG7" s="0"/>
      <c r="MHH7" s="0"/>
      <c r="MHI7" s="0"/>
      <c r="MHJ7" s="0"/>
      <c r="MHK7" s="0"/>
      <c r="MHL7" s="0"/>
      <c r="MHM7" s="0"/>
      <c r="MHN7" s="0"/>
      <c r="MHO7" s="0"/>
      <c r="MHP7" s="0"/>
      <c r="MHQ7" s="0"/>
      <c r="MHR7" s="0"/>
      <c r="MHS7" s="0"/>
      <c r="MHT7" s="0"/>
      <c r="MHU7" s="0"/>
      <c r="MHV7" s="0"/>
      <c r="MHW7" s="0"/>
      <c r="MHX7" s="0"/>
      <c r="MHY7" s="0"/>
      <c r="MHZ7" s="0"/>
      <c r="MIA7" s="0"/>
      <c r="MIB7" s="0"/>
      <c r="MIC7" s="0"/>
      <c r="MID7" s="0"/>
      <c r="MIE7" s="0"/>
      <c r="MIF7" s="0"/>
      <c r="MIG7" s="0"/>
      <c r="MIH7" s="0"/>
      <c r="MII7" s="0"/>
      <c r="MIJ7" s="0"/>
      <c r="MIK7" s="0"/>
      <c r="MIL7" s="0"/>
      <c r="MIM7" s="0"/>
      <c r="MIN7" s="0"/>
      <c r="MIO7" s="0"/>
      <c r="MIP7" s="0"/>
      <c r="MIQ7" s="0"/>
      <c r="MIR7" s="0"/>
      <c r="MIS7" s="0"/>
      <c r="MIT7" s="0"/>
      <c r="MIU7" s="0"/>
      <c r="MIV7" s="0"/>
      <c r="MIW7" s="0"/>
      <c r="MIX7" s="0"/>
      <c r="MIY7" s="0"/>
      <c r="MIZ7" s="0"/>
      <c r="MJA7" s="0"/>
      <c r="MJB7" s="0"/>
      <c r="MJC7" s="0"/>
      <c r="MJD7" s="0"/>
      <c r="MJE7" s="0"/>
      <c r="MJF7" s="0"/>
      <c r="MJG7" s="0"/>
      <c r="MJH7" s="0"/>
      <c r="MJI7" s="0"/>
      <c r="MJJ7" s="0"/>
      <c r="MJK7" s="0"/>
      <c r="MJL7" s="0"/>
      <c r="MJM7" s="0"/>
      <c r="MJN7" s="0"/>
      <c r="MJO7" s="0"/>
      <c r="MJP7" s="0"/>
      <c r="MJQ7" s="0"/>
      <c r="MJR7" s="0"/>
      <c r="MJS7" s="0"/>
      <c r="MJT7" s="0"/>
      <c r="MJU7" s="0"/>
      <c r="MJV7" s="0"/>
      <c r="MJW7" s="0"/>
      <c r="MJX7" s="0"/>
      <c r="MJY7" s="0"/>
      <c r="MJZ7" s="0"/>
      <c r="MKA7" s="0"/>
      <c r="MKB7" s="0"/>
      <c r="MKC7" s="0"/>
      <c r="MKD7" s="0"/>
      <c r="MKE7" s="0"/>
      <c r="MKF7" s="0"/>
      <c r="MKG7" s="0"/>
      <c r="MKH7" s="0"/>
      <c r="MKI7" s="0"/>
      <c r="MKJ7" s="0"/>
      <c r="MKK7" s="0"/>
      <c r="MKL7" s="0"/>
      <c r="MKM7" s="0"/>
      <c r="MKN7" s="0"/>
      <c r="MKO7" s="0"/>
      <c r="MKP7" s="0"/>
      <c r="MKQ7" s="0"/>
      <c r="MKR7" s="0"/>
      <c r="MKS7" s="0"/>
      <c r="MKT7" s="0"/>
      <c r="MKU7" s="0"/>
      <c r="MKV7" s="0"/>
      <c r="MKW7" s="0"/>
      <c r="MKX7" s="0"/>
      <c r="MKY7" s="0"/>
      <c r="MKZ7" s="0"/>
      <c r="MLA7" s="0"/>
      <c r="MLB7" s="0"/>
      <c r="MLC7" s="0"/>
      <c r="MLD7" s="0"/>
      <c r="MLE7" s="0"/>
      <c r="MLF7" s="0"/>
      <c r="MLG7" s="0"/>
      <c r="MLH7" s="0"/>
      <c r="MLI7" s="0"/>
      <c r="MLJ7" s="0"/>
      <c r="MLK7" s="0"/>
      <c r="MLL7" s="0"/>
      <c r="MLM7" s="0"/>
      <c r="MLN7" s="0"/>
      <c r="MLO7" s="0"/>
      <c r="MLP7" s="0"/>
      <c r="MLQ7" s="0"/>
      <c r="MLR7" s="0"/>
      <c r="MLS7" s="0"/>
      <c r="MLT7" s="0"/>
      <c r="MLU7" s="0"/>
      <c r="MLV7" s="0"/>
      <c r="MLW7" s="0"/>
      <c r="MLX7" s="0"/>
      <c r="MLY7" s="0"/>
      <c r="MLZ7" s="0"/>
      <c r="MMA7" s="0"/>
      <c r="MMB7" s="0"/>
      <c r="MMC7" s="0"/>
      <c r="MMD7" s="0"/>
      <c r="MME7" s="0"/>
      <c r="MMF7" s="0"/>
      <c r="MMG7" s="0"/>
      <c r="MMH7" s="0"/>
      <c r="MMI7" s="0"/>
      <c r="MMJ7" s="0"/>
      <c r="MMK7" s="0"/>
      <c r="MML7" s="0"/>
      <c r="MMM7" s="0"/>
      <c r="MMN7" s="0"/>
      <c r="MMO7" s="0"/>
      <c r="MMP7" s="0"/>
      <c r="MMQ7" s="0"/>
      <c r="MMR7" s="0"/>
      <c r="MMS7" s="0"/>
      <c r="MMT7" s="0"/>
      <c r="MMU7" s="0"/>
      <c r="MMV7" s="0"/>
      <c r="MMW7" s="0"/>
      <c r="MMX7" s="0"/>
      <c r="MMY7" s="0"/>
      <c r="MMZ7" s="0"/>
      <c r="MNA7" s="0"/>
      <c r="MNB7" s="0"/>
      <c r="MNC7" s="0"/>
      <c r="MND7" s="0"/>
      <c r="MNE7" s="0"/>
      <c r="MNF7" s="0"/>
      <c r="MNG7" s="0"/>
      <c r="MNH7" s="0"/>
      <c r="MNI7" s="0"/>
      <c r="MNJ7" s="0"/>
      <c r="MNK7" s="0"/>
      <c r="MNL7" s="0"/>
      <c r="MNM7" s="0"/>
      <c r="MNN7" s="0"/>
      <c r="MNO7" s="0"/>
      <c r="MNP7" s="0"/>
      <c r="MNQ7" s="0"/>
      <c r="MNR7" s="0"/>
      <c r="MNS7" s="0"/>
      <c r="MNT7" s="0"/>
      <c r="MNU7" s="0"/>
      <c r="MNV7" s="0"/>
      <c r="MNW7" s="0"/>
      <c r="MNX7" s="0"/>
      <c r="MNY7" s="0"/>
      <c r="MNZ7" s="0"/>
      <c r="MOA7" s="0"/>
      <c r="MOB7" s="0"/>
      <c r="MOC7" s="0"/>
      <c r="MOD7" s="0"/>
      <c r="MOE7" s="0"/>
      <c r="MOF7" s="0"/>
      <c r="MOG7" s="0"/>
      <c r="MOH7" s="0"/>
      <c r="MOI7" s="0"/>
      <c r="MOJ7" s="0"/>
      <c r="MOK7" s="0"/>
      <c r="MOL7" s="0"/>
      <c r="MOM7" s="0"/>
      <c r="MON7" s="0"/>
      <c r="MOO7" s="0"/>
      <c r="MOP7" s="0"/>
      <c r="MOQ7" s="0"/>
      <c r="MOR7" s="0"/>
      <c r="MOS7" s="0"/>
      <c r="MOT7" s="0"/>
      <c r="MOU7" s="0"/>
      <c r="MOV7" s="0"/>
      <c r="MOW7" s="0"/>
      <c r="MOX7" s="0"/>
      <c r="MOY7" s="0"/>
      <c r="MOZ7" s="0"/>
      <c r="MPA7" s="0"/>
      <c r="MPB7" s="0"/>
      <c r="MPC7" s="0"/>
      <c r="MPD7" s="0"/>
      <c r="MPE7" s="0"/>
      <c r="MPF7" s="0"/>
      <c r="MPG7" s="0"/>
      <c r="MPH7" s="0"/>
      <c r="MPI7" s="0"/>
      <c r="MPJ7" s="0"/>
      <c r="MPK7" s="0"/>
      <c r="MPL7" s="0"/>
      <c r="MPM7" s="0"/>
      <c r="MPN7" s="0"/>
      <c r="MPO7" s="0"/>
      <c r="MPP7" s="0"/>
      <c r="MPQ7" s="0"/>
      <c r="MPR7" s="0"/>
      <c r="MPS7" s="0"/>
      <c r="MPT7" s="0"/>
      <c r="MPU7" s="0"/>
      <c r="MPV7" s="0"/>
      <c r="MPW7" s="0"/>
      <c r="MPX7" s="0"/>
      <c r="MPY7" s="0"/>
      <c r="MPZ7" s="0"/>
      <c r="MQA7" s="0"/>
      <c r="MQB7" s="0"/>
      <c r="MQC7" s="0"/>
      <c r="MQD7" s="0"/>
      <c r="MQE7" s="0"/>
      <c r="MQF7" s="0"/>
      <c r="MQG7" s="0"/>
      <c r="MQH7" s="0"/>
      <c r="MQI7" s="0"/>
      <c r="MQJ7" s="0"/>
      <c r="MQK7" s="0"/>
      <c r="MQL7" s="0"/>
      <c r="MQM7" s="0"/>
      <c r="MQN7" s="0"/>
      <c r="MQO7" s="0"/>
      <c r="MQP7" s="0"/>
      <c r="MQQ7" s="0"/>
      <c r="MQR7" s="0"/>
      <c r="MQS7" s="0"/>
      <c r="MQT7" s="0"/>
      <c r="MQU7" s="0"/>
      <c r="MQV7" s="0"/>
      <c r="MQW7" s="0"/>
      <c r="MQX7" s="0"/>
      <c r="MQY7" s="0"/>
      <c r="MQZ7" s="0"/>
      <c r="MRA7" s="0"/>
      <c r="MRB7" s="0"/>
      <c r="MRC7" s="0"/>
      <c r="MRD7" s="0"/>
      <c r="MRE7" s="0"/>
      <c r="MRF7" s="0"/>
      <c r="MRG7" s="0"/>
      <c r="MRH7" s="0"/>
      <c r="MRI7" s="0"/>
      <c r="MRJ7" s="0"/>
      <c r="MRK7" s="0"/>
      <c r="MRL7" s="0"/>
      <c r="MRM7" s="0"/>
      <c r="MRN7" s="0"/>
      <c r="MRO7" s="0"/>
      <c r="MRP7" s="0"/>
      <c r="MRQ7" s="0"/>
      <c r="MRR7" s="0"/>
      <c r="MRS7" s="0"/>
      <c r="MRT7" s="0"/>
      <c r="MRU7" s="0"/>
      <c r="MRV7" s="0"/>
      <c r="MRW7" s="0"/>
      <c r="MRX7" s="0"/>
      <c r="MRY7" s="0"/>
      <c r="MRZ7" s="0"/>
      <c r="MSA7" s="0"/>
      <c r="MSB7" s="0"/>
      <c r="MSC7" s="0"/>
      <c r="MSD7" s="0"/>
      <c r="MSE7" s="0"/>
      <c r="MSF7" s="0"/>
      <c r="MSG7" s="0"/>
      <c r="MSH7" s="0"/>
      <c r="MSI7" s="0"/>
      <c r="MSJ7" s="0"/>
      <c r="MSK7" s="0"/>
      <c r="MSL7" s="0"/>
      <c r="MSM7" s="0"/>
      <c r="MSN7" s="0"/>
      <c r="MSO7" s="0"/>
      <c r="MSP7" s="0"/>
      <c r="MSQ7" s="0"/>
      <c r="MSR7" s="0"/>
      <c r="MSS7" s="0"/>
      <c r="MST7" s="0"/>
      <c r="MSU7" s="0"/>
      <c r="MSV7" s="0"/>
      <c r="MSW7" s="0"/>
      <c r="MSX7" s="0"/>
      <c r="MSY7" s="0"/>
      <c r="MSZ7" s="0"/>
      <c r="MTA7" s="0"/>
      <c r="MTB7" s="0"/>
      <c r="MTC7" s="0"/>
      <c r="MTD7" s="0"/>
      <c r="MTE7" s="0"/>
      <c r="MTF7" s="0"/>
      <c r="MTG7" s="0"/>
      <c r="MTH7" s="0"/>
      <c r="MTI7" s="0"/>
      <c r="MTJ7" s="0"/>
      <c r="MTK7" s="0"/>
      <c r="MTL7" s="0"/>
      <c r="MTM7" s="0"/>
      <c r="MTN7" s="0"/>
      <c r="MTO7" s="0"/>
      <c r="MTP7" s="0"/>
      <c r="MTQ7" s="0"/>
      <c r="MTR7" s="0"/>
      <c r="MTS7" s="0"/>
      <c r="MTT7" s="0"/>
      <c r="MTU7" s="0"/>
      <c r="MTV7" s="0"/>
      <c r="MTW7" s="0"/>
      <c r="MTX7" s="0"/>
      <c r="MTY7" s="0"/>
      <c r="MTZ7" s="0"/>
      <c r="MUA7" s="0"/>
      <c r="MUB7" s="0"/>
      <c r="MUC7" s="0"/>
      <c r="MUD7" s="0"/>
      <c r="MUE7" s="0"/>
      <c r="MUF7" s="0"/>
      <c r="MUG7" s="0"/>
      <c r="MUH7" s="0"/>
      <c r="MUI7" s="0"/>
      <c r="MUJ7" s="0"/>
      <c r="MUK7" s="0"/>
      <c r="MUL7" s="0"/>
      <c r="MUM7" s="0"/>
      <c r="MUN7" s="0"/>
      <c r="MUO7" s="0"/>
      <c r="MUP7" s="0"/>
      <c r="MUQ7" s="0"/>
      <c r="MUR7" s="0"/>
      <c r="MUS7" s="0"/>
      <c r="MUT7" s="0"/>
      <c r="MUU7" s="0"/>
      <c r="MUV7" s="0"/>
      <c r="MUW7" s="0"/>
      <c r="MUX7" s="0"/>
      <c r="MUY7" s="0"/>
      <c r="MUZ7" s="0"/>
      <c r="MVA7" s="0"/>
      <c r="MVB7" s="0"/>
      <c r="MVC7" s="0"/>
      <c r="MVD7" s="0"/>
      <c r="MVE7" s="0"/>
      <c r="MVF7" s="0"/>
      <c r="MVG7" s="0"/>
      <c r="MVH7" s="0"/>
      <c r="MVI7" s="0"/>
      <c r="MVJ7" s="0"/>
      <c r="MVK7" s="0"/>
      <c r="MVL7" s="0"/>
      <c r="MVM7" s="0"/>
      <c r="MVN7" s="0"/>
      <c r="MVO7" s="0"/>
      <c r="MVP7" s="0"/>
      <c r="MVQ7" s="0"/>
      <c r="MVR7" s="0"/>
      <c r="MVS7" s="0"/>
      <c r="MVT7" s="0"/>
      <c r="MVU7" s="0"/>
      <c r="MVV7" s="0"/>
      <c r="MVW7" s="0"/>
      <c r="MVX7" s="0"/>
      <c r="MVY7" s="0"/>
      <c r="MVZ7" s="0"/>
      <c r="MWA7" s="0"/>
      <c r="MWB7" s="0"/>
      <c r="MWC7" s="0"/>
      <c r="MWD7" s="0"/>
      <c r="MWE7" s="0"/>
      <c r="MWF7" s="0"/>
      <c r="MWG7" s="0"/>
      <c r="MWH7" s="0"/>
      <c r="MWI7" s="0"/>
      <c r="MWJ7" s="0"/>
      <c r="MWK7" s="0"/>
      <c r="MWL7" s="0"/>
      <c r="MWM7" s="0"/>
      <c r="MWN7" s="0"/>
      <c r="MWO7" s="0"/>
      <c r="MWP7" s="0"/>
      <c r="MWQ7" s="0"/>
      <c r="MWR7" s="0"/>
      <c r="MWS7" s="0"/>
      <c r="MWT7" s="0"/>
      <c r="MWU7" s="0"/>
      <c r="MWV7" s="0"/>
      <c r="MWW7" s="0"/>
      <c r="MWX7" s="0"/>
      <c r="MWY7" s="0"/>
      <c r="MWZ7" s="0"/>
      <c r="MXA7" s="0"/>
      <c r="MXB7" s="0"/>
      <c r="MXC7" s="0"/>
      <c r="MXD7" s="0"/>
      <c r="MXE7" s="0"/>
      <c r="MXF7" s="0"/>
      <c r="MXG7" s="0"/>
      <c r="MXH7" s="0"/>
      <c r="MXI7" s="0"/>
      <c r="MXJ7" s="0"/>
      <c r="MXK7" s="0"/>
      <c r="MXL7" s="0"/>
      <c r="MXM7" s="0"/>
      <c r="MXN7" s="0"/>
      <c r="MXO7" s="0"/>
      <c r="MXP7" s="0"/>
      <c r="MXQ7" s="0"/>
      <c r="MXR7" s="0"/>
      <c r="MXS7" s="0"/>
      <c r="MXT7" s="0"/>
      <c r="MXU7" s="0"/>
      <c r="MXV7" s="0"/>
      <c r="MXW7" s="0"/>
      <c r="MXX7" s="0"/>
      <c r="MXY7" s="0"/>
      <c r="MXZ7" s="0"/>
      <c r="MYA7" s="0"/>
      <c r="MYB7" s="0"/>
      <c r="MYC7" s="0"/>
      <c r="MYD7" s="0"/>
      <c r="MYE7" s="0"/>
      <c r="MYF7" s="0"/>
      <c r="MYG7" s="0"/>
      <c r="MYH7" s="0"/>
      <c r="MYI7" s="0"/>
      <c r="MYJ7" s="0"/>
      <c r="MYK7" s="0"/>
      <c r="MYL7" s="0"/>
      <c r="MYM7" s="0"/>
      <c r="MYN7" s="0"/>
      <c r="MYO7" s="0"/>
      <c r="MYP7" s="0"/>
      <c r="MYQ7" s="0"/>
      <c r="MYR7" s="0"/>
      <c r="MYS7" s="0"/>
      <c r="MYT7" s="0"/>
      <c r="MYU7" s="0"/>
      <c r="MYV7" s="0"/>
      <c r="MYW7" s="0"/>
      <c r="MYX7" s="0"/>
      <c r="MYY7" s="0"/>
      <c r="MYZ7" s="0"/>
      <c r="MZA7" s="0"/>
      <c r="MZB7" s="0"/>
      <c r="MZC7" s="0"/>
      <c r="MZD7" s="0"/>
      <c r="MZE7" s="0"/>
      <c r="MZF7" s="0"/>
      <c r="MZG7" s="0"/>
      <c r="MZH7" s="0"/>
      <c r="MZI7" s="0"/>
      <c r="MZJ7" s="0"/>
      <c r="MZK7" s="0"/>
      <c r="MZL7" s="0"/>
      <c r="MZM7" s="0"/>
      <c r="MZN7" s="0"/>
      <c r="MZO7" s="0"/>
      <c r="MZP7" s="0"/>
      <c r="MZQ7" s="0"/>
      <c r="MZR7" s="0"/>
      <c r="MZS7" s="0"/>
      <c r="MZT7" s="0"/>
      <c r="MZU7" s="0"/>
      <c r="MZV7" s="0"/>
      <c r="MZW7" s="0"/>
      <c r="MZX7" s="0"/>
      <c r="MZY7" s="0"/>
      <c r="MZZ7" s="0"/>
      <c r="NAA7" s="0"/>
      <c r="NAB7" s="0"/>
      <c r="NAC7" s="0"/>
      <c r="NAD7" s="0"/>
      <c r="NAE7" s="0"/>
      <c r="NAF7" s="0"/>
      <c r="NAG7" s="0"/>
      <c r="NAH7" s="0"/>
      <c r="NAI7" s="0"/>
      <c r="NAJ7" s="0"/>
      <c r="NAK7" s="0"/>
      <c r="NAL7" s="0"/>
      <c r="NAM7" s="0"/>
      <c r="NAN7" s="0"/>
      <c r="NAO7" s="0"/>
      <c r="NAP7" s="0"/>
      <c r="NAQ7" s="0"/>
      <c r="NAR7" s="0"/>
      <c r="NAS7" s="0"/>
      <c r="NAT7" s="0"/>
      <c r="NAU7" s="0"/>
      <c r="NAV7" s="0"/>
      <c r="NAW7" s="0"/>
      <c r="NAX7" s="0"/>
      <c r="NAY7" s="0"/>
      <c r="NAZ7" s="0"/>
      <c r="NBA7" s="0"/>
      <c r="NBB7" s="0"/>
      <c r="NBC7" s="0"/>
      <c r="NBD7" s="0"/>
      <c r="NBE7" s="0"/>
      <c r="NBF7" s="0"/>
      <c r="NBG7" s="0"/>
      <c r="NBH7" s="0"/>
      <c r="NBI7" s="0"/>
      <c r="NBJ7" s="0"/>
      <c r="NBK7" s="0"/>
      <c r="NBL7" s="0"/>
      <c r="NBM7" s="0"/>
      <c r="NBN7" s="0"/>
      <c r="NBO7" s="0"/>
      <c r="NBP7" s="0"/>
      <c r="NBQ7" s="0"/>
      <c r="NBR7" s="0"/>
      <c r="NBS7" s="0"/>
      <c r="NBT7" s="0"/>
      <c r="NBU7" s="0"/>
      <c r="NBV7" s="0"/>
      <c r="NBW7" s="0"/>
      <c r="NBX7" s="0"/>
      <c r="NBY7" s="0"/>
      <c r="NBZ7" s="0"/>
      <c r="NCA7" s="0"/>
      <c r="NCB7" s="0"/>
      <c r="NCC7" s="0"/>
      <c r="NCD7" s="0"/>
      <c r="NCE7" s="0"/>
      <c r="NCF7" s="0"/>
      <c r="NCG7" s="0"/>
      <c r="NCH7" s="0"/>
      <c r="NCI7" s="0"/>
      <c r="NCJ7" s="0"/>
      <c r="NCK7" s="0"/>
      <c r="NCL7" s="0"/>
      <c r="NCM7" s="0"/>
      <c r="NCN7" s="0"/>
      <c r="NCO7" s="0"/>
      <c r="NCP7" s="0"/>
      <c r="NCQ7" s="0"/>
      <c r="NCR7" s="0"/>
      <c r="NCS7" s="0"/>
      <c r="NCT7" s="0"/>
      <c r="NCU7" s="0"/>
      <c r="NCV7" s="0"/>
      <c r="NCW7" s="0"/>
      <c r="NCX7" s="0"/>
      <c r="NCY7" s="0"/>
      <c r="NCZ7" s="0"/>
      <c r="NDA7" s="0"/>
      <c r="NDB7" s="0"/>
      <c r="NDC7" s="0"/>
      <c r="NDD7" s="0"/>
      <c r="NDE7" s="0"/>
      <c r="NDF7" s="0"/>
      <c r="NDG7" s="0"/>
      <c r="NDH7" s="0"/>
      <c r="NDI7" s="0"/>
      <c r="NDJ7" s="0"/>
      <c r="NDK7" s="0"/>
      <c r="NDL7" s="0"/>
      <c r="NDM7" s="0"/>
      <c r="NDN7" s="0"/>
      <c r="NDO7" s="0"/>
      <c r="NDP7" s="0"/>
      <c r="NDQ7" s="0"/>
      <c r="NDR7" s="0"/>
      <c r="NDS7" s="0"/>
      <c r="NDT7" s="0"/>
      <c r="NDU7" s="0"/>
      <c r="NDV7" s="0"/>
      <c r="NDW7" s="0"/>
      <c r="NDX7" s="0"/>
      <c r="NDY7" s="0"/>
      <c r="NDZ7" s="0"/>
      <c r="NEA7" s="0"/>
      <c r="NEB7" s="0"/>
      <c r="NEC7" s="0"/>
      <c r="NED7" s="0"/>
      <c r="NEE7" s="0"/>
      <c r="NEF7" s="0"/>
      <c r="NEG7" s="0"/>
      <c r="NEH7" s="0"/>
      <c r="NEI7" s="0"/>
      <c r="NEJ7" s="0"/>
      <c r="NEK7" s="0"/>
      <c r="NEL7" s="0"/>
      <c r="NEM7" s="0"/>
      <c r="NEN7" s="0"/>
      <c r="NEO7" s="0"/>
      <c r="NEP7" s="0"/>
      <c r="NEQ7" s="0"/>
      <c r="NER7" s="0"/>
      <c r="NES7" s="0"/>
      <c r="NET7" s="0"/>
      <c r="NEU7" s="0"/>
      <c r="NEV7" s="0"/>
      <c r="NEW7" s="0"/>
      <c r="NEX7" s="0"/>
      <c r="NEY7" s="0"/>
      <c r="NEZ7" s="0"/>
      <c r="NFA7" s="0"/>
      <c r="NFB7" s="0"/>
      <c r="NFC7" s="0"/>
      <c r="NFD7" s="0"/>
      <c r="NFE7" s="0"/>
      <c r="NFF7" s="0"/>
      <c r="NFG7" s="0"/>
      <c r="NFH7" s="0"/>
      <c r="NFI7" s="0"/>
      <c r="NFJ7" s="0"/>
      <c r="NFK7" s="0"/>
      <c r="NFL7" s="0"/>
      <c r="NFM7" s="0"/>
      <c r="NFN7" s="0"/>
      <c r="NFO7" s="0"/>
      <c r="NFP7" s="0"/>
      <c r="NFQ7" s="0"/>
      <c r="NFR7" s="0"/>
      <c r="NFS7" s="0"/>
      <c r="NFT7" s="0"/>
      <c r="NFU7" s="0"/>
      <c r="NFV7" s="0"/>
      <c r="NFW7" s="0"/>
      <c r="NFX7" s="0"/>
      <c r="NFY7" s="0"/>
      <c r="NFZ7" s="0"/>
      <c r="NGA7" s="0"/>
      <c r="NGB7" s="0"/>
      <c r="NGC7" s="0"/>
      <c r="NGD7" s="0"/>
      <c r="NGE7" s="0"/>
      <c r="NGF7" s="0"/>
      <c r="NGG7" s="0"/>
      <c r="NGH7" s="0"/>
      <c r="NGI7" s="0"/>
      <c r="NGJ7" s="0"/>
      <c r="NGK7" s="0"/>
      <c r="NGL7" s="0"/>
      <c r="NGM7" s="0"/>
      <c r="NGN7" s="0"/>
      <c r="NGO7" s="0"/>
      <c r="NGP7" s="0"/>
      <c r="NGQ7" s="0"/>
      <c r="NGR7" s="0"/>
      <c r="NGS7" s="0"/>
      <c r="NGT7" s="0"/>
      <c r="NGU7" s="0"/>
      <c r="NGV7" s="0"/>
      <c r="NGW7" s="0"/>
      <c r="NGX7" s="0"/>
      <c r="NGY7" s="0"/>
      <c r="NGZ7" s="0"/>
      <c r="NHA7" s="0"/>
      <c r="NHB7" s="0"/>
      <c r="NHC7" s="0"/>
      <c r="NHD7" s="0"/>
      <c r="NHE7" s="0"/>
      <c r="NHF7" s="0"/>
      <c r="NHG7" s="0"/>
      <c r="NHH7" s="0"/>
      <c r="NHI7" s="0"/>
      <c r="NHJ7" s="0"/>
      <c r="NHK7" s="0"/>
      <c r="NHL7" s="0"/>
      <c r="NHM7" s="0"/>
      <c r="NHN7" s="0"/>
      <c r="NHO7" s="0"/>
      <c r="NHP7" s="0"/>
      <c r="NHQ7" s="0"/>
      <c r="NHR7" s="0"/>
      <c r="NHS7" s="0"/>
      <c r="NHT7" s="0"/>
      <c r="NHU7" s="0"/>
      <c r="NHV7" s="0"/>
      <c r="NHW7" s="0"/>
      <c r="NHX7" s="0"/>
      <c r="NHY7" s="0"/>
      <c r="NHZ7" s="0"/>
      <c r="NIA7" s="0"/>
      <c r="NIB7" s="0"/>
      <c r="NIC7" s="0"/>
      <c r="NID7" s="0"/>
      <c r="NIE7" s="0"/>
      <c r="NIF7" s="0"/>
      <c r="NIG7" s="0"/>
      <c r="NIH7" s="0"/>
      <c r="NII7" s="0"/>
      <c r="NIJ7" s="0"/>
      <c r="NIK7" s="0"/>
      <c r="NIL7" s="0"/>
      <c r="NIM7" s="0"/>
      <c r="NIN7" s="0"/>
      <c r="NIO7" s="0"/>
      <c r="NIP7" s="0"/>
      <c r="NIQ7" s="0"/>
      <c r="NIR7" s="0"/>
      <c r="NIS7" s="0"/>
      <c r="NIT7" s="0"/>
      <c r="NIU7" s="0"/>
      <c r="NIV7" s="0"/>
      <c r="NIW7" s="0"/>
      <c r="NIX7" s="0"/>
      <c r="NIY7" s="0"/>
      <c r="NIZ7" s="0"/>
      <c r="NJA7" s="0"/>
      <c r="NJB7" s="0"/>
      <c r="NJC7" s="0"/>
      <c r="NJD7" s="0"/>
      <c r="NJE7" s="0"/>
      <c r="NJF7" s="0"/>
      <c r="NJG7" s="0"/>
      <c r="NJH7" s="0"/>
      <c r="NJI7" s="0"/>
      <c r="NJJ7" s="0"/>
      <c r="NJK7" s="0"/>
      <c r="NJL7" s="0"/>
      <c r="NJM7" s="0"/>
      <c r="NJN7" s="0"/>
      <c r="NJO7" s="0"/>
      <c r="NJP7" s="0"/>
      <c r="NJQ7" s="0"/>
      <c r="NJR7" s="0"/>
      <c r="NJS7" s="0"/>
      <c r="NJT7" s="0"/>
      <c r="NJU7" s="0"/>
      <c r="NJV7" s="0"/>
      <c r="NJW7" s="0"/>
      <c r="NJX7" s="0"/>
      <c r="NJY7" s="0"/>
      <c r="NJZ7" s="0"/>
      <c r="NKA7" s="0"/>
      <c r="NKB7" s="0"/>
      <c r="NKC7" s="0"/>
      <c r="NKD7" s="0"/>
      <c r="NKE7" s="0"/>
      <c r="NKF7" s="0"/>
      <c r="NKG7" s="0"/>
      <c r="NKH7" s="0"/>
      <c r="NKI7" s="0"/>
      <c r="NKJ7" s="0"/>
      <c r="NKK7" s="0"/>
      <c r="NKL7" s="0"/>
      <c r="NKM7" s="0"/>
      <c r="NKN7" s="0"/>
      <c r="NKO7" s="0"/>
      <c r="NKP7" s="0"/>
      <c r="NKQ7" s="0"/>
      <c r="NKR7" s="0"/>
      <c r="NKS7" s="0"/>
      <c r="NKT7" s="0"/>
      <c r="NKU7" s="0"/>
      <c r="NKV7" s="0"/>
      <c r="NKW7" s="0"/>
      <c r="NKX7" s="0"/>
      <c r="NKY7" s="0"/>
      <c r="NKZ7" s="0"/>
      <c r="NLA7" s="0"/>
      <c r="NLB7" s="0"/>
      <c r="NLC7" s="0"/>
      <c r="NLD7" s="0"/>
      <c r="NLE7" s="0"/>
      <c r="NLF7" s="0"/>
      <c r="NLG7" s="0"/>
      <c r="NLH7" s="0"/>
      <c r="NLI7" s="0"/>
      <c r="NLJ7" s="0"/>
      <c r="NLK7" s="0"/>
      <c r="NLL7" s="0"/>
      <c r="NLM7" s="0"/>
      <c r="NLN7" s="0"/>
      <c r="NLO7" s="0"/>
      <c r="NLP7" s="0"/>
      <c r="NLQ7" s="0"/>
      <c r="NLR7" s="0"/>
      <c r="NLS7" s="0"/>
      <c r="NLT7" s="0"/>
      <c r="NLU7" s="0"/>
      <c r="NLV7" s="0"/>
      <c r="NLW7" s="0"/>
      <c r="NLX7" s="0"/>
      <c r="NLY7" s="0"/>
      <c r="NLZ7" s="0"/>
      <c r="NMA7" s="0"/>
      <c r="NMB7" s="0"/>
      <c r="NMC7" s="0"/>
      <c r="NMD7" s="0"/>
      <c r="NME7" s="0"/>
      <c r="NMF7" s="0"/>
      <c r="NMG7" s="0"/>
      <c r="NMH7" s="0"/>
      <c r="NMI7" s="0"/>
      <c r="NMJ7" s="0"/>
      <c r="NMK7" s="0"/>
      <c r="NML7" s="0"/>
      <c r="NMM7" s="0"/>
      <c r="NMN7" s="0"/>
      <c r="NMO7" s="0"/>
      <c r="NMP7" s="0"/>
      <c r="NMQ7" s="0"/>
      <c r="NMR7" s="0"/>
      <c r="NMS7" s="0"/>
      <c r="NMT7" s="0"/>
      <c r="NMU7" s="0"/>
      <c r="NMV7" s="0"/>
      <c r="NMW7" s="0"/>
      <c r="NMX7" s="0"/>
      <c r="NMY7" s="0"/>
      <c r="NMZ7" s="0"/>
      <c r="NNA7" s="0"/>
      <c r="NNB7" s="0"/>
      <c r="NNC7" s="0"/>
      <c r="NND7" s="0"/>
      <c r="NNE7" s="0"/>
      <c r="NNF7" s="0"/>
      <c r="NNG7" s="0"/>
      <c r="NNH7" s="0"/>
      <c r="NNI7" s="0"/>
      <c r="NNJ7" s="0"/>
      <c r="NNK7" s="0"/>
      <c r="NNL7" s="0"/>
      <c r="NNM7" s="0"/>
      <c r="NNN7" s="0"/>
      <c r="NNO7" s="0"/>
      <c r="NNP7" s="0"/>
      <c r="NNQ7" s="0"/>
      <c r="NNR7" s="0"/>
      <c r="NNS7" s="0"/>
      <c r="NNT7" s="0"/>
      <c r="NNU7" s="0"/>
      <c r="NNV7" s="0"/>
      <c r="NNW7" s="0"/>
      <c r="NNX7" s="0"/>
      <c r="NNY7" s="0"/>
      <c r="NNZ7" s="0"/>
      <c r="NOA7" s="0"/>
      <c r="NOB7" s="0"/>
      <c r="NOC7" s="0"/>
      <c r="NOD7" s="0"/>
      <c r="NOE7" s="0"/>
      <c r="NOF7" s="0"/>
      <c r="NOG7" s="0"/>
      <c r="NOH7" s="0"/>
      <c r="NOI7" s="0"/>
      <c r="NOJ7" s="0"/>
      <c r="NOK7" s="0"/>
      <c r="NOL7" s="0"/>
      <c r="NOM7" s="0"/>
      <c r="NON7" s="0"/>
      <c r="NOO7" s="0"/>
      <c r="NOP7" s="0"/>
      <c r="NOQ7" s="0"/>
      <c r="NOR7" s="0"/>
      <c r="NOS7" s="0"/>
      <c r="NOT7" s="0"/>
      <c r="NOU7" s="0"/>
      <c r="NOV7" s="0"/>
      <c r="NOW7" s="0"/>
      <c r="NOX7" s="0"/>
      <c r="NOY7" s="0"/>
      <c r="NOZ7" s="0"/>
      <c r="NPA7" s="0"/>
      <c r="NPB7" s="0"/>
      <c r="NPC7" s="0"/>
      <c r="NPD7" s="0"/>
      <c r="NPE7" s="0"/>
      <c r="NPF7" s="0"/>
      <c r="NPG7" s="0"/>
      <c r="NPH7" s="0"/>
      <c r="NPI7" s="0"/>
      <c r="NPJ7" s="0"/>
      <c r="NPK7" s="0"/>
      <c r="NPL7" s="0"/>
      <c r="NPM7" s="0"/>
      <c r="NPN7" s="0"/>
      <c r="NPO7" s="0"/>
      <c r="NPP7" s="0"/>
      <c r="NPQ7" s="0"/>
      <c r="NPR7" s="0"/>
      <c r="NPS7" s="0"/>
      <c r="NPT7" s="0"/>
      <c r="NPU7" s="0"/>
      <c r="NPV7" s="0"/>
      <c r="NPW7" s="0"/>
      <c r="NPX7" s="0"/>
      <c r="NPY7" s="0"/>
      <c r="NPZ7" s="0"/>
      <c r="NQA7" s="0"/>
      <c r="NQB7" s="0"/>
      <c r="NQC7" s="0"/>
      <c r="NQD7" s="0"/>
      <c r="NQE7" s="0"/>
      <c r="NQF7" s="0"/>
      <c r="NQG7" s="0"/>
      <c r="NQH7" s="0"/>
      <c r="NQI7" s="0"/>
      <c r="NQJ7" s="0"/>
      <c r="NQK7" s="0"/>
      <c r="NQL7" s="0"/>
      <c r="NQM7" s="0"/>
      <c r="NQN7" s="0"/>
      <c r="NQO7" s="0"/>
      <c r="NQP7" s="0"/>
      <c r="NQQ7" s="0"/>
      <c r="NQR7" s="0"/>
      <c r="NQS7" s="0"/>
      <c r="NQT7" s="0"/>
      <c r="NQU7" s="0"/>
      <c r="NQV7" s="0"/>
      <c r="NQW7" s="0"/>
      <c r="NQX7" s="0"/>
      <c r="NQY7" s="0"/>
      <c r="NQZ7" s="0"/>
      <c r="NRA7" s="0"/>
      <c r="NRB7" s="0"/>
      <c r="NRC7" s="0"/>
      <c r="NRD7" s="0"/>
      <c r="NRE7" s="0"/>
      <c r="NRF7" s="0"/>
      <c r="NRG7" s="0"/>
      <c r="NRH7" s="0"/>
      <c r="NRI7" s="0"/>
      <c r="NRJ7" s="0"/>
      <c r="NRK7" s="0"/>
      <c r="NRL7" s="0"/>
      <c r="NRM7" s="0"/>
      <c r="NRN7" s="0"/>
      <c r="NRO7" s="0"/>
      <c r="NRP7" s="0"/>
      <c r="NRQ7" s="0"/>
      <c r="NRR7" s="0"/>
      <c r="NRS7" s="0"/>
      <c r="NRT7" s="0"/>
      <c r="NRU7" s="0"/>
      <c r="NRV7" s="0"/>
      <c r="NRW7" s="0"/>
      <c r="NRX7" s="0"/>
      <c r="NRY7" s="0"/>
      <c r="NRZ7" s="0"/>
      <c r="NSA7" s="0"/>
      <c r="NSB7" s="0"/>
      <c r="NSC7" s="0"/>
      <c r="NSD7" s="0"/>
      <c r="NSE7" s="0"/>
      <c r="NSF7" s="0"/>
      <c r="NSG7" s="0"/>
      <c r="NSH7" s="0"/>
      <c r="NSI7" s="0"/>
      <c r="NSJ7" s="0"/>
      <c r="NSK7" s="0"/>
      <c r="NSL7" s="0"/>
      <c r="NSM7" s="0"/>
      <c r="NSN7" s="0"/>
      <c r="NSO7" s="0"/>
      <c r="NSP7" s="0"/>
      <c r="NSQ7" s="0"/>
      <c r="NSR7" s="0"/>
      <c r="NSS7" s="0"/>
      <c r="NST7" s="0"/>
      <c r="NSU7" s="0"/>
      <c r="NSV7" s="0"/>
      <c r="NSW7" s="0"/>
      <c r="NSX7" s="0"/>
      <c r="NSY7" s="0"/>
      <c r="NSZ7" s="0"/>
      <c r="NTA7" s="0"/>
      <c r="NTB7" s="0"/>
      <c r="NTC7" s="0"/>
      <c r="NTD7" s="0"/>
      <c r="NTE7" s="0"/>
      <c r="NTF7" s="0"/>
      <c r="NTG7" s="0"/>
      <c r="NTH7" s="0"/>
      <c r="NTI7" s="0"/>
      <c r="NTJ7" s="0"/>
      <c r="NTK7" s="0"/>
      <c r="NTL7" s="0"/>
      <c r="NTM7" s="0"/>
      <c r="NTN7" s="0"/>
      <c r="NTO7" s="0"/>
      <c r="NTP7" s="0"/>
      <c r="NTQ7" s="0"/>
      <c r="NTR7" s="0"/>
      <c r="NTS7" s="0"/>
      <c r="NTT7" s="0"/>
      <c r="NTU7" s="0"/>
      <c r="NTV7" s="0"/>
      <c r="NTW7" s="0"/>
      <c r="NTX7" s="0"/>
      <c r="NTY7" s="0"/>
      <c r="NTZ7" s="0"/>
      <c r="NUA7" s="0"/>
      <c r="NUB7" s="0"/>
      <c r="NUC7" s="0"/>
      <c r="NUD7" s="0"/>
      <c r="NUE7" s="0"/>
      <c r="NUF7" s="0"/>
      <c r="NUG7" s="0"/>
      <c r="NUH7" s="0"/>
      <c r="NUI7" s="0"/>
      <c r="NUJ7" s="0"/>
      <c r="NUK7" s="0"/>
      <c r="NUL7" s="0"/>
      <c r="NUM7" s="0"/>
      <c r="NUN7" s="0"/>
      <c r="NUO7" s="0"/>
      <c r="NUP7" s="0"/>
      <c r="NUQ7" s="0"/>
      <c r="NUR7" s="0"/>
      <c r="NUS7" s="0"/>
      <c r="NUT7" s="0"/>
      <c r="NUU7" s="0"/>
      <c r="NUV7" s="0"/>
      <c r="NUW7" s="0"/>
      <c r="NUX7" s="0"/>
      <c r="NUY7" s="0"/>
      <c r="NUZ7" s="0"/>
      <c r="NVA7" s="0"/>
      <c r="NVB7" s="0"/>
      <c r="NVC7" s="0"/>
      <c r="NVD7" s="0"/>
      <c r="NVE7" s="0"/>
      <c r="NVF7" s="0"/>
      <c r="NVG7" s="0"/>
      <c r="NVH7" s="0"/>
      <c r="NVI7" s="0"/>
      <c r="NVJ7" s="0"/>
      <c r="NVK7" s="0"/>
      <c r="NVL7" s="0"/>
      <c r="NVM7" s="0"/>
      <c r="NVN7" s="0"/>
      <c r="NVO7" s="0"/>
      <c r="NVP7" s="0"/>
      <c r="NVQ7" s="0"/>
      <c r="NVR7" s="0"/>
      <c r="NVS7" s="0"/>
      <c r="NVT7" s="0"/>
      <c r="NVU7" s="0"/>
      <c r="NVV7" s="0"/>
      <c r="NVW7" s="0"/>
      <c r="NVX7" s="0"/>
      <c r="NVY7" s="0"/>
      <c r="NVZ7" s="0"/>
      <c r="NWA7" s="0"/>
      <c r="NWB7" s="0"/>
      <c r="NWC7" s="0"/>
      <c r="NWD7" s="0"/>
      <c r="NWE7" s="0"/>
      <c r="NWF7" s="0"/>
      <c r="NWG7" s="0"/>
      <c r="NWH7" s="0"/>
      <c r="NWI7" s="0"/>
      <c r="NWJ7" s="0"/>
      <c r="NWK7" s="0"/>
      <c r="NWL7" s="0"/>
      <c r="NWM7" s="0"/>
      <c r="NWN7" s="0"/>
      <c r="NWO7" s="0"/>
      <c r="NWP7" s="0"/>
      <c r="NWQ7" s="0"/>
      <c r="NWR7" s="0"/>
      <c r="NWS7" s="0"/>
      <c r="NWT7" s="0"/>
      <c r="NWU7" s="0"/>
      <c r="NWV7" s="0"/>
      <c r="NWW7" s="0"/>
      <c r="NWX7" s="0"/>
      <c r="NWY7" s="0"/>
      <c r="NWZ7" s="0"/>
      <c r="NXA7" s="0"/>
      <c r="NXB7" s="0"/>
      <c r="NXC7" s="0"/>
      <c r="NXD7" s="0"/>
      <c r="NXE7" s="0"/>
      <c r="NXF7" s="0"/>
      <c r="NXG7" s="0"/>
      <c r="NXH7" s="0"/>
      <c r="NXI7" s="0"/>
      <c r="NXJ7" s="0"/>
      <c r="NXK7" s="0"/>
      <c r="NXL7" s="0"/>
      <c r="NXM7" s="0"/>
      <c r="NXN7" s="0"/>
      <c r="NXO7" s="0"/>
      <c r="NXP7" s="0"/>
      <c r="NXQ7" s="0"/>
      <c r="NXR7" s="0"/>
      <c r="NXS7" s="0"/>
      <c r="NXT7" s="0"/>
      <c r="NXU7" s="0"/>
      <c r="NXV7" s="0"/>
      <c r="NXW7" s="0"/>
      <c r="NXX7" s="0"/>
      <c r="NXY7" s="0"/>
      <c r="NXZ7" s="0"/>
      <c r="NYA7" s="0"/>
      <c r="NYB7" s="0"/>
      <c r="NYC7" s="0"/>
      <c r="NYD7" s="0"/>
      <c r="NYE7" s="0"/>
      <c r="NYF7" s="0"/>
      <c r="NYG7" s="0"/>
      <c r="NYH7" s="0"/>
      <c r="NYI7" s="0"/>
      <c r="NYJ7" s="0"/>
      <c r="NYK7" s="0"/>
      <c r="NYL7" s="0"/>
      <c r="NYM7" s="0"/>
      <c r="NYN7" s="0"/>
      <c r="NYO7" s="0"/>
      <c r="NYP7" s="0"/>
      <c r="NYQ7" s="0"/>
      <c r="NYR7" s="0"/>
      <c r="NYS7" s="0"/>
      <c r="NYT7" s="0"/>
      <c r="NYU7" s="0"/>
      <c r="NYV7" s="0"/>
      <c r="NYW7" s="0"/>
      <c r="NYX7" s="0"/>
      <c r="NYY7" s="0"/>
      <c r="NYZ7" s="0"/>
      <c r="NZA7" s="0"/>
      <c r="NZB7" s="0"/>
      <c r="NZC7" s="0"/>
      <c r="NZD7" s="0"/>
      <c r="NZE7" s="0"/>
      <c r="NZF7" s="0"/>
      <c r="NZG7" s="0"/>
      <c r="NZH7" s="0"/>
      <c r="NZI7" s="0"/>
      <c r="NZJ7" s="0"/>
      <c r="NZK7" s="0"/>
      <c r="NZL7" s="0"/>
      <c r="NZM7" s="0"/>
      <c r="NZN7" s="0"/>
      <c r="NZO7" s="0"/>
      <c r="NZP7" s="0"/>
      <c r="NZQ7" s="0"/>
      <c r="NZR7" s="0"/>
      <c r="NZS7" s="0"/>
      <c r="NZT7" s="0"/>
      <c r="NZU7" s="0"/>
      <c r="NZV7" s="0"/>
      <c r="NZW7" s="0"/>
      <c r="NZX7" s="0"/>
      <c r="NZY7" s="0"/>
      <c r="NZZ7" s="0"/>
      <c r="OAA7" s="0"/>
      <c r="OAB7" s="0"/>
      <c r="OAC7" s="0"/>
      <c r="OAD7" s="0"/>
      <c r="OAE7" s="0"/>
      <c r="OAF7" s="0"/>
      <c r="OAG7" s="0"/>
      <c r="OAH7" s="0"/>
      <c r="OAI7" s="0"/>
      <c r="OAJ7" s="0"/>
      <c r="OAK7" s="0"/>
      <c r="OAL7" s="0"/>
      <c r="OAM7" s="0"/>
      <c r="OAN7" s="0"/>
      <c r="OAO7" s="0"/>
      <c r="OAP7" s="0"/>
      <c r="OAQ7" s="0"/>
      <c r="OAR7" s="0"/>
      <c r="OAS7" s="0"/>
      <c r="OAT7" s="0"/>
      <c r="OAU7" s="0"/>
      <c r="OAV7" s="0"/>
      <c r="OAW7" s="0"/>
      <c r="OAX7" s="0"/>
      <c r="OAY7" s="0"/>
      <c r="OAZ7" s="0"/>
      <c r="OBA7" s="0"/>
      <c r="OBB7" s="0"/>
      <c r="OBC7" s="0"/>
      <c r="OBD7" s="0"/>
      <c r="OBE7" s="0"/>
      <c r="OBF7" s="0"/>
      <c r="OBG7" s="0"/>
      <c r="OBH7" s="0"/>
      <c r="OBI7" s="0"/>
      <c r="OBJ7" s="0"/>
      <c r="OBK7" s="0"/>
      <c r="OBL7" s="0"/>
      <c r="OBM7" s="0"/>
      <c r="OBN7" s="0"/>
      <c r="OBO7" s="0"/>
      <c r="OBP7" s="0"/>
      <c r="OBQ7" s="0"/>
      <c r="OBR7" s="0"/>
      <c r="OBS7" s="0"/>
      <c r="OBT7" s="0"/>
      <c r="OBU7" s="0"/>
      <c r="OBV7" s="0"/>
      <c r="OBW7" s="0"/>
      <c r="OBX7" s="0"/>
      <c r="OBY7" s="0"/>
      <c r="OBZ7" s="0"/>
      <c r="OCA7" s="0"/>
      <c r="OCB7" s="0"/>
      <c r="OCC7" s="0"/>
      <c r="OCD7" s="0"/>
      <c r="OCE7" s="0"/>
      <c r="OCF7" s="0"/>
      <c r="OCG7" s="0"/>
      <c r="OCH7" s="0"/>
      <c r="OCI7" s="0"/>
      <c r="OCJ7" s="0"/>
      <c r="OCK7" s="0"/>
      <c r="OCL7" s="0"/>
      <c r="OCM7" s="0"/>
      <c r="OCN7" s="0"/>
      <c r="OCO7" s="0"/>
      <c r="OCP7" s="0"/>
      <c r="OCQ7" s="0"/>
      <c r="OCR7" s="0"/>
      <c r="OCS7" s="0"/>
      <c r="OCT7" s="0"/>
      <c r="OCU7" s="0"/>
      <c r="OCV7" s="0"/>
      <c r="OCW7" s="0"/>
      <c r="OCX7" s="0"/>
      <c r="OCY7" s="0"/>
      <c r="OCZ7" s="0"/>
      <c r="ODA7" s="0"/>
      <c r="ODB7" s="0"/>
      <c r="ODC7" s="0"/>
      <c r="ODD7" s="0"/>
      <c r="ODE7" s="0"/>
      <c r="ODF7" s="0"/>
      <c r="ODG7" s="0"/>
      <c r="ODH7" s="0"/>
      <c r="ODI7" s="0"/>
      <c r="ODJ7" s="0"/>
      <c r="ODK7" s="0"/>
      <c r="ODL7" s="0"/>
      <c r="ODM7" s="0"/>
      <c r="ODN7" s="0"/>
      <c r="ODO7" s="0"/>
      <c r="ODP7" s="0"/>
      <c r="ODQ7" s="0"/>
      <c r="ODR7" s="0"/>
      <c r="ODS7" s="0"/>
      <c r="ODT7" s="0"/>
      <c r="ODU7" s="0"/>
      <c r="ODV7" s="0"/>
      <c r="ODW7" s="0"/>
      <c r="ODX7" s="0"/>
      <c r="ODY7" s="0"/>
      <c r="ODZ7" s="0"/>
      <c r="OEA7" s="0"/>
      <c r="OEB7" s="0"/>
      <c r="OEC7" s="0"/>
      <c r="OED7" s="0"/>
      <c r="OEE7" s="0"/>
      <c r="OEF7" s="0"/>
      <c r="OEG7" s="0"/>
      <c r="OEH7" s="0"/>
      <c r="OEI7" s="0"/>
      <c r="OEJ7" s="0"/>
      <c r="OEK7" s="0"/>
      <c r="OEL7" s="0"/>
      <c r="OEM7" s="0"/>
      <c r="OEN7" s="0"/>
      <c r="OEO7" s="0"/>
      <c r="OEP7" s="0"/>
      <c r="OEQ7" s="0"/>
      <c r="OER7" s="0"/>
      <c r="OES7" s="0"/>
      <c r="OET7" s="0"/>
      <c r="OEU7" s="0"/>
      <c r="OEV7" s="0"/>
      <c r="OEW7" s="0"/>
      <c r="OEX7" s="0"/>
      <c r="OEY7" s="0"/>
      <c r="OEZ7" s="0"/>
      <c r="OFA7" s="0"/>
      <c r="OFB7" s="0"/>
      <c r="OFC7" s="0"/>
      <c r="OFD7" s="0"/>
      <c r="OFE7" s="0"/>
      <c r="OFF7" s="0"/>
      <c r="OFG7" s="0"/>
      <c r="OFH7" s="0"/>
      <c r="OFI7" s="0"/>
      <c r="OFJ7" s="0"/>
      <c r="OFK7" s="0"/>
      <c r="OFL7" s="0"/>
      <c r="OFM7" s="0"/>
      <c r="OFN7" s="0"/>
      <c r="OFO7" s="0"/>
      <c r="OFP7" s="0"/>
      <c r="OFQ7" s="0"/>
      <c r="OFR7" s="0"/>
      <c r="OFS7" s="0"/>
      <c r="OFT7" s="0"/>
      <c r="OFU7" s="0"/>
      <c r="OFV7" s="0"/>
      <c r="OFW7" s="0"/>
      <c r="OFX7" s="0"/>
      <c r="OFY7" s="0"/>
      <c r="OFZ7" s="0"/>
      <c r="OGA7" s="0"/>
      <c r="OGB7" s="0"/>
      <c r="OGC7" s="0"/>
      <c r="OGD7" s="0"/>
      <c r="OGE7" s="0"/>
      <c r="OGF7" s="0"/>
      <c r="OGG7" s="0"/>
      <c r="OGH7" s="0"/>
      <c r="OGI7" s="0"/>
      <c r="OGJ7" s="0"/>
      <c r="OGK7" s="0"/>
      <c r="OGL7" s="0"/>
      <c r="OGM7" s="0"/>
      <c r="OGN7" s="0"/>
      <c r="OGO7" s="0"/>
      <c r="OGP7" s="0"/>
      <c r="OGQ7" s="0"/>
      <c r="OGR7" s="0"/>
      <c r="OGS7" s="0"/>
      <c r="OGT7" s="0"/>
      <c r="OGU7" s="0"/>
      <c r="OGV7" s="0"/>
      <c r="OGW7" s="0"/>
      <c r="OGX7" s="0"/>
      <c r="OGY7" s="0"/>
      <c r="OGZ7" s="0"/>
      <c r="OHA7" s="0"/>
      <c r="OHB7" s="0"/>
      <c r="OHC7" s="0"/>
      <c r="OHD7" s="0"/>
      <c r="OHE7" s="0"/>
      <c r="OHF7" s="0"/>
      <c r="OHG7" s="0"/>
      <c r="OHH7" s="0"/>
      <c r="OHI7" s="0"/>
      <c r="OHJ7" s="0"/>
      <c r="OHK7" s="0"/>
      <c r="OHL7" s="0"/>
      <c r="OHM7" s="0"/>
      <c r="OHN7" s="0"/>
      <c r="OHO7" s="0"/>
      <c r="OHP7" s="0"/>
      <c r="OHQ7" s="0"/>
      <c r="OHR7" s="0"/>
      <c r="OHS7" s="0"/>
      <c r="OHT7" s="0"/>
      <c r="OHU7" s="0"/>
      <c r="OHV7" s="0"/>
      <c r="OHW7" s="0"/>
      <c r="OHX7" s="0"/>
      <c r="OHY7" s="0"/>
      <c r="OHZ7" s="0"/>
      <c r="OIA7" s="0"/>
      <c r="OIB7" s="0"/>
      <c r="OIC7" s="0"/>
      <c r="OID7" s="0"/>
      <c r="OIE7" s="0"/>
      <c r="OIF7" s="0"/>
      <c r="OIG7" s="0"/>
      <c r="OIH7" s="0"/>
      <c r="OII7" s="0"/>
      <c r="OIJ7" s="0"/>
      <c r="OIK7" s="0"/>
      <c r="OIL7" s="0"/>
      <c r="OIM7" s="0"/>
      <c r="OIN7" s="0"/>
      <c r="OIO7" s="0"/>
      <c r="OIP7" s="0"/>
      <c r="OIQ7" s="0"/>
      <c r="OIR7" s="0"/>
      <c r="OIS7" s="0"/>
      <c r="OIT7" s="0"/>
      <c r="OIU7" s="0"/>
      <c r="OIV7" s="0"/>
      <c r="OIW7" s="0"/>
      <c r="OIX7" s="0"/>
      <c r="OIY7" s="0"/>
      <c r="OIZ7" s="0"/>
      <c r="OJA7" s="0"/>
      <c r="OJB7" s="0"/>
      <c r="OJC7" s="0"/>
      <c r="OJD7" s="0"/>
      <c r="OJE7" s="0"/>
      <c r="OJF7" s="0"/>
      <c r="OJG7" s="0"/>
      <c r="OJH7" s="0"/>
      <c r="OJI7" s="0"/>
      <c r="OJJ7" s="0"/>
      <c r="OJK7" s="0"/>
      <c r="OJL7" s="0"/>
      <c r="OJM7" s="0"/>
      <c r="OJN7" s="0"/>
      <c r="OJO7" s="0"/>
      <c r="OJP7" s="0"/>
      <c r="OJQ7" s="0"/>
      <c r="OJR7" s="0"/>
      <c r="OJS7" s="0"/>
      <c r="OJT7" s="0"/>
      <c r="OJU7" s="0"/>
      <c r="OJV7" s="0"/>
      <c r="OJW7" s="0"/>
      <c r="OJX7" s="0"/>
      <c r="OJY7" s="0"/>
      <c r="OJZ7" s="0"/>
      <c r="OKA7" s="0"/>
      <c r="OKB7" s="0"/>
      <c r="OKC7" s="0"/>
      <c r="OKD7" s="0"/>
      <c r="OKE7" s="0"/>
      <c r="OKF7" s="0"/>
      <c r="OKG7" s="0"/>
      <c r="OKH7" s="0"/>
      <c r="OKI7" s="0"/>
      <c r="OKJ7" s="0"/>
      <c r="OKK7" s="0"/>
      <c r="OKL7" s="0"/>
      <c r="OKM7" s="0"/>
      <c r="OKN7" s="0"/>
      <c r="OKO7" s="0"/>
      <c r="OKP7" s="0"/>
      <c r="OKQ7" s="0"/>
      <c r="OKR7" s="0"/>
      <c r="OKS7" s="0"/>
      <c r="OKT7" s="0"/>
      <c r="OKU7" s="0"/>
      <c r="OKV7" s="0"/>
      <c r="OKW7" s="0"/>
      <c r="OKX7" s="0"/>
      <c r="OKY7" s="0"/>
      <c r="OKZ7" s="0"/>
      <c r="OLA7" s="0"/>
      <c r="OLB7" s="0"/>
      <c r="OLC7" s="0"/>
      <c r="OLD7" s="0"/>
      <c r="OLE7" s="0"/>
      <c r="OLF7" s="0"/>
      <c r="OLG7" s="0"/>
      <c r="OLH7" s="0"/>
      <c r="OLI7" s="0"/>
      <c r="OLJ7" s="0"/>
      <c r="OLK7" s="0"/>
      <c r="OLL7" s="0"/>
      <c r="OLM7" s="0"/>
      <c r="OLN7" s="0"/>
      <c r="OLO7" s="0"/>
      <c r="OLP7" s="0"/>
      <c r="OLQ7" s="0"/>
      <c r="OLR7" s="0"/>
      <c r="OLS7" s="0"/>
      <c r="OLT7" s="0"/>
      <c r="OLU7" s="0"/>
      <c r="OLV7" s="0"/>
      <c r="OLW7" s="0"/>
      <c r="OLX7" s="0"/>
      <c r="OLY7" s="0"/>
      <c r="OLZ7" s="0"/>
      <c r="OMA7" s="0"/>
      <c r="OMB7" s="0"/>
      <c r="OMC7" s="0"/>
      <c r="OMD7" s="0"/>
      <c r="OME7" s="0"/>
      <c r="OMF7" s="0"/>
      <c r="OMG7" s="0"/>
      <c r="OMH7" s="0"/>
      <c r="OMI7" s="0"/>
      <c r="OMJ7" s="0"/>
      <c r="OMK7" s="0"/>
      <c r="OML7" s="0"/>
      <c r="OMM7" s="0"/>
      <c r="OMN7" s="0"/>
      <c r="OMO7" s="0"/>
      <c r="OMP7" s="0"/>
      <c r="OMQ7" s="0"/>
      <c r="OMR7" s="0"/>
      <c r="OMS7" s="0"/>
      <c r="OMT7" s="0"/>
      <c r="OMU7" s="0"/>
      <c r="OMV7" s="0"/>
      <c r="OMW7" s="0"/>
      <c r="OMX7" s="0"/>
      <c r="OMY7" s="0"/>
      <c r="OMZ7" s="0"/>
      <c r="ONA7" s="0"/>
      <c r="ONB7" s="0"/>
      <c r="ONC7" s="0"/>
      <c r="OND7" s="0"/>
      <c r="ONE7" s="0"/>
      <c r="ONF7" s="0"/>
      <c r="ONG7" s="0"/>
      <c r="ONH7" s="0"/>
      <c r="ONI7" s="0"/>
      <c r="ONJ7" s="0"/>
      <c r="ONK7" s="0"/>
      <c r="ONL7" s="0"/>
      <c r="ONM7" s="0"/>
      <c r="ONN7" s="0"/>
      <c r="ONO7" s="0"/>
      <c r="ONP7" s="0"/>
      <c r="ONQ7" s="0"/>
      <c r="ONR7" s="0"/>
      <c r="ONS7" s="0"/>
      <c r="ONT7" s="0"/>
      <c r="ONU7" s="0"/>
      <c r="ONV7" s="0"/>
      <c r="ONW7" s="0"/>
      <c r="ONX7" s="0"/>
      <c r="ONY7" s="0"/>
      <c r="ONZ7" s="0"/>
      <c r="OOA7" s="0"/>
      <c r="OOB7" s="0"/>
      <c r="OOC7" s="0"/>
      <c r="OOD7" s="0"/>
      <c r="OOE7" s="0"/>
      <c r="OOF7" s="0"/>
      <c r="OOG7" s="0"/>
      <c r="OOH7" s="0"/>
      <c r="OOI7" s="0"/>
      <c r="OOJ7" s="0"/>
      <c r="OOK7" s="0"/>
      <c r="OOL7" s="0"/>
      <c r="OOM7" s="0"/>
      <c r="OON7" s="0"/>
      <c r="OOO7" s="0"/>
      <c r="OOP7" s="0"/>
      <c r="OOQ7" s="0"/>
      <c r="OOR7" s="0"/>
      <c r="OOS7" s="0"/>
      <c r="OOT7" s="0"/>
      <c r="OOU7" s="0"/>
      <c r="OOV7" s="0"/>
      <c r="OOW7" s="0"/>
      <c r="OOX7" s="0"/>
      <c r="OOY7" s="0"/>
      <c r="OOZ7" s="0"/>
      <c r="OPA7" s="0"/>
      <c r="OPB7" s="0"/>
      <c r="OPC7" s="0"/>
      <c r="OPD7" s="0"/>
      <c r="OPE7" s="0"/>
      <c r="OPF7" s="0"/>
      <c r="OPG7" s="0"/>
      <c r="OPH7" s="0"/>
      <c r="OPI7" s="0"/>
      <c r="OPJ7" s="0"/>
      <c r="OPK7" s="0"/>
      <c r="OPL7" s="0"/>
      <c r="OPM7" s="0"/>
      <c r="OPN7" s="0"/>
      <c r="OPO7" s="0"/>
      <c r="OPP7" s="0"/>
      <c r="OPQ7" s="0"/>
      <c r="OPR7" s="0"/>
      <c r="OPS7" s="0"/>
      <c r="OPT7" s="0"/>
      <c r="OPU7" s="0"/>
      <c r="OPV7" s="0"/>
      <c r="OPW7" s="0"/>
      <c r="OPX7" s="0"/>
      <c r="OPY7" s="0"/>
      <c r="OPZ7" s="0"/>
      <c r="OQA7" s="0"/>
      <c r="OQB7" s="0"/>
      <c r="OQC7" s="0"/>
      <c r="OQD7" s="0"/>
      <c r="OQE7" s="0"/>
      <c r="OQF7" s="0"/>
      <c r="OQG7" s="0"/>
      <c r="OQH7" s="0"/>
      <c r="OQI7" s="0"/>
      <c r="OQJ7" s="0"/>
      <c r="OQK7" s="0"/>
      <c r="OQL7" s="0"/>
      <c r="OQM7" s="0"/>
      <c r="OQN7" s="0"/>
      <c r="OQO7" s="0"/>
      <c r="OQP7" s="0"/>
      <c r="OQQ7" s="0"/>
      <c r="OQR7" s="0"/>
      <c r="OQS7" s="0"/>
      <c r="OQT7" s="0"/>
      <c r="OQU7" s="0"/>
      <c r="OQV7" s="0"/>
      <c r="OQW7" s="0"/>
      <c r="OQX7" s="0"/>
      <c r="OQY7" s="0"/>
      <c r="OQZ7" s="0"/>
      <c r="ORA7" s="0"/>
      <c r="ORB7" s="0"/>
      <c r="ORC7" s="0"/>
      <c r="ORD7" s="0"/>
      <c r="ORE7" s="0"/>
      <c r="ORF7" s="0"/>
      <c r="ORG7" s="0"/>
      <c r="ORH7" s="0"/>
      <c r="ORI7" s="0"/>
      <c r="ORJ7" s="0"/>
      <c r="ORK7" s="0"/>
      <c r="ORL7" s="0"/>
      <c r="ORM7" s="0"/>
      <c r="ORN7" s="0"/>
      <c r="ORO7" s="0"/>
      <c r="ORP7" s="0"/>
      <c r="ORQ7" s="0"/>
      <c r="ORR7" s="0"/>
      <c r="ORS7" s="0"/>
      <c r="ORT7" s="0"/>
      <c r="ORU7" s="0"/>
      <c r="ORV7" s="0"/>
      <c r="ORW7" s="0"/>
      <c r="ORX7" s="0"/>
      <c r="ORY7" s="0"/>
      <c r="ORZ7" s="0"/>
      <c r="OSA7" s="0"/>
      <c r="OSB7" s="0"/>
      <c r="OSC7" s="0"/>
      <c r="OSD7" s="0"/>
      <c r="OSE7" s="0"/>
      <c r="OSF7" s="0"/>
      <c r="OSG7" s="0"/>
      <c r="OSH7" s="0"/>
      <c r="OSI7" s="0"/>
      <c r="OSJ7" s="0"/>
      <c r="OSK7" s="0"/>
      <c r="OSL7" s="0"/>
      <c r="OSM7" s="0"/>
      <c r="OSN7" s="0"/>
      <c r="OSO7" s="0"/>
      <c r="OSP7" s="0"/>
      <c r="OSQ7" s="0"/>
      <c r="OSR7" s="0"/>
      <c r="OSS7" s="0"/>
      <c r="OST7" s="0"/>
      <c r="OSU7" s="0"/>
      <c r="OSV7" s="0"/>
      <c r="OSW7" s="0"/>
      <c r="OSX7" s="0"/>
      <c r="OSY7" s="0"/>
      <c r="OSZ7" s="0"/>
      <c r="OTA7" s="0"/>
      <c r="OTB7" s="0"/>
      <c r="OTC7" s="0"/>
      <c r="OTD7" s="0"/>
      <c r="OTE7" s="0"/>
      <c r="OTF7" s="0"/>
      <c r="OTG7" s="0"/>
      <c r="OTH7" s="0"/>
      <c r="OTI7" s="0"/>
      <c r="OTJ7" s="0"/>
      <c r="OTK7" s="0"/>
      <c r="OTL7" s="0"/>
      <c r="OTM7" s="0"/>
      <c r="OTN7" s="0"/>
      <c r="OTO7" s="0"/>
      <c r="OTP7" s="0"/>
      <c r="OTQ7" s="0"/>
      <c r="OTR7" s="0"/>
      <c r="OTS7" s="0"/>
      <c r="OTT7" s="0"/>
      <c r="OTU7" s="0"/>
      <c r="OTV7" s="0"/>
      <c r="OTW7" s="0"/>
      <c r="OTX7" s="0"/>
      <c r="OTY7" s="0"/>
      <c r="OTZ7" s="0"/>
      <c r="OUA7" s="0"/>
      <c r="OUB7" s="0"/>
      <c r="OUC7" s="0"/>
      <c r="OUD7" s="0"/>
      <c r="OUE7" s="0"/>
      <c r="OUF7" s="0"/>
      <c r="OUG7" s="0"/>
      <c r="OUH7" s="0"/>
      <c r="OUI7" s="0"/>
      <c r="OUJ7" s="0"/>
      <c r="OUK7" s="0"/>
      <c r="OUL7" s="0"/>
      <c r="OUM7" s="0"/>
      <c r="OUN7" s="0"/>
      <c r="OUO7" s="0"/>
      <c r="OUP7" s="0"/>
      <c r="OUQ7" s="0"/>
      <c r="OUR7" s="0"/>
      <c r="OUS7" s="0"/>
      <c r="OUT7" s="0"/>
      <c r="OUU7" s="0"/>
      <c r="OUV7" s="0"/>
      <c r="OUW7" s="0"/>
      <c r="OUX7" s="0"/>
      <c r="OUY7" s="0"/>
      <c r="OUZ7" s="0"/>
      <c r="OVA7" s="0"/>
      <c r="OVB7" s="0"/>
      <c r="OVC7" s="0"/>
      <c r="OVD7" s="0"/>
      <c r="OVE7" s="0"/>
      <c r="OVF7" s="0"/>
      <c r="OVG7" s="0"/>
      <c r="OVH7" s="0"/>
      <c r="OVI7" s="0"/>
      <c r="OVJ7" s="0"/>
      <c r="OVK7" s="0"/>
      <c r="OVL7" s="0"/>
      <c r="OVM7" s="0"/>
      <c r="OVN7" s="0"/>
      <c r="OVO7" s="0"/>
      <c r="OVP7" s="0"/>
      <c r="OVQ7" s="0"/>
      <c r="OVR7" s="0"/>
      <c r="OVS7" s="0"/>
      <c r="OVT7" s="0"/>
      <c r="OVU7" s="0"/>
      <c r="OVV7" s="0"/>
      <c r="OVW7" s="0"/>
      <c r="OVX7" s="0"/>
      <c r="OVY7" s="0"/>
      <c r="OVZ7" s="0"/>
      <c r="OWA7" s="0"/>
      <c r="OWB7" s="0"/>
      <c r="OWC7" s="0"/>
      <c r="OWD7" s="0"/>
      <c r="OWE7" s="0"/>
      <c r="OWF7" s="0"/>
      <c r="OWG7" s="0"/>
      <c r="OWH7" s="0"/>
      <c r="OWI7" s="0"/>
      <c r="OWJ7" s="0"/>
      <c r="OWK7" s="0"/>
      <c r="OWL7" s="0"/>
      <c r="OWM7" s="0"/>
      <c r="OWN7" s="0"/>
      <c r="OWO7" s="0"/>
      <c r="OWP7" s="0"/>
      <c r="OWQ7" s="0"/>
      <c r="OWR7" s="0"/>
      <c r="OWS7" s="0"/>
      <c r="OWT7" s="0"/>
      <c r="OWU7" s="0"/>
      <c r="OWV7" s="0"/>
      <c r="OWW7" s="0"/>
      <c r="OWX7" s="0"/>
      <c r="OWY7" s="0"/>
      <c r="OWZ7" s="0"/>
      <c r="OXA7" s="0"/>
      <c r="OXB7" s="0"/>
      <c r="OXC7" s="0"/>
      <c r="OXD7" s="0"/>
      <c r="OXE7" s="0"/>
      <c r="OXF7" s="0"/>
      <c r="OXG7" s="0"/>
      <c r="OXH7" s="0"/>
      <c r="OXI7" s="0"/>
      <c r="OXJ7" s="0"/>
      <c r="OXK7" s="0"/>
      <c r="OXL7" s="0"/>
      <c r="OXM7" s="0"/>
      <c r="OXN7" s="0"/>
      <c r="OXO7" s="0"/>
      <c r="OXP7" s="0"/>
      <c r="OXQ7" s="0"/>
      <c r="OXR7" s="0"/>
      <c r="OXS7" s="0"/>
      <c r="OXT7" s="0"/>
      <c r="OXU7" s="0"/>
      <c r="OXV7" s="0"/>
      <c r="OXW7" s="0"/>
      <c r="OXX7" s="0"/>
      <c r="OXY7" s="0"/>
      <c r="OXZ7" s="0"/>
      <c r="OYA7" s="0"/>
      <c r="OYB7" s="0"/>
      <c r="OYC7" s="0"/>
      <c r="OYD7" s="0"/>
      <c r="OYE7" s="0"/>
      <c r="OYF7" s="0"/>
      <c r="OYG7" s="0"/>
      <c r="OYH7" s="0"/>
      <c r="OYI7" s="0"/>
      <c r="OYJ7" s="0"/>
      <c r="OYK7" s="0"/>
      <c r="OYL7" s="0"/>
      <c r="OYM7" s="0"/>
      <c r="OYN7" s="0"/>
      <c r="OYO7" s="0"/>
      <c r="OYP7" s="0"/>
      <c r="OYQ7" s="0"/>
      <c r="OYR7" s="0"/>
      <c r="OYS7" s="0"/>
      <c r="OYT7" s="0"/>
      <c r="OYU7" s="0"/>
      <c r="OYV7" s="0"/>
      <c r="OYW7" s="0"/>
      <c r="OYX7" s="0"/>
      <c r="OYY7" s="0"/>
      <c r="OYZ7" s="0"/>
      <c r="OZA7" s="0"/>
      <c r="OZB7" s="0"/>
      <c r="OZC7" s="0"/>
      <c r="OZD7" s="0"/>
      <c r="OZE7" s="0"/>
      <c r="OZF7" s="0"/>
      <c r="OZG7" s="0"/>
      <c r="OZH7" s="0"/>
      <c r="OZI7" s="0"/>
      <c r="OZJ7" s="0"/>
      <c r="OZK7" s="0"/>
      <c r="OZL7" s="0"/>
      <c r="OZM7" s="0"/>
      <c r="OZN7" s="0"/>
      <c r="OZO7" s="0"/>
      <c r="OZP7" s="0"/>
      <c r="OZQ7" s="0"/>
      <c r="OZR7" s="0"/>
      <c r="OZS7" s="0"/>
      <c r="OZT7" s="0"/>
      <c r="OZU7" s="0"/>
      <c r="OZV7" s="0"/>
      <c r="OZW7" s="0"/>
      <c r="OZX7" s="0"/>
      <c r="OZY7" s="0"/>
      <c r="OZZ7" s="0"/>
      <c r="PAA7" s="0"/>
      <c r="PAB7" s="0"/>
      <c r="PAC7" s="0"/>
      <c r="PAD7" s="0"/>
      <c r="PAE7" s="0"/>
      <c r="PAF7" s="0"/>
      <c r="PAG7" s="0"/>
      <c r="PAH7" s="0"/>
      <c r="PAI7" s="0"/>
      <c r="PAJ7" s="0"/>
      <c r="PAK7" s="0"/>
      <c r="PAL7" s="0"/>
      <c r="PAM7" s="0"/>
      <c r="PAN7" s="0"/>
      <c r="PAO7" s="0"/>
      <c r="PAP7" s="0"/>
      <c r="PAQ7" s="0"/>
      <c r="PAR7" s="0"/>
      <c r="PAS7" s="0"/>
      <c r="PAT7" s="0"/>
      <c r="PAU7" s="0"/>
      <c r="PAV7" s="0"/>
      <c r="PAW7" s="0"/>
      <c r="PAX7" s="0"/>
      <c r="PAY7" s="0"/>
      <c r="PAZ7" s="0"/>
      <c r="PBA7" s="0"/>
      <c r="PBB7" s="0"/>
      <c r="PBC7" s="0"/>
      <c r="PBD7" s="0"/>
      <c r="PBE7" s="0"/>
      <c r="PBF7" s="0"/>
      <c r="PBG7" s="0"/>
      <c r="PBH7" s="0"/>
      <c r="PBI7" s="0"/>
      <c r="PBJ7" s="0"/>
      <c r="PBK7" s="0"/>
      <c r="PBL7" s="0"/>
      <c r="PBM7" s="0"/>
      <c r="PBN7" s="0"/>
      <c r="PBO7" s="0"/>
      <c r="PBP7" s="0"/>
      <c r="PBQ7" s="0"/>
      <c r="PBR7" s="0"/>
      <c r="PBS7" s="0"/>
      <c r="PBT7" s="0"/>
      <c r="PBU7" s="0"/>
      <c r="PBV7" s="0"/>
      <c r="PBW7" s="0"/>
      <c r="PBX7" s="0"/>
      <c r="PBY7" s="0"/>
      <c r="PBZ7" s="0"/>
      <c r="PCA7" s="0"/>
      <c r="PCB7" s="0"/>
      <c r="PCC7" s="0"/>
      <c r="PCD7" s="0"/>
      <c r="PCE7" s="0"/>
      <c r="PCF7" s="0"/>
      <c r="PCG7" s="0"/>
      <c r="PCH7" s="0"/>
      <c r="PCI7" s="0"/>
      <c r="PCJ7" s="0"/>
      <c r="PCK7" s="0"/>
      <c r="PCL7" s="0"/>
      <c r="PCM7" s="0"/>
      <c r="PCN7" s="0"/>
      <c r="PCO7" s="0"/>
      <c r="PCP7" s="0"/>
      <c r="PCQ7" s="0"/>
      <c r="PCR7" s="0"/>
      <c r="PCS7" s="0"/>
      <c r="PCT7" s="0"/>
      <c r="PCU7" s="0"/>
      <c r="PCV7" s="0"/>
      <c r="PCW7" s="0"/>
      <c r="PCX7" s="0"/>
      <c r="PCY7" s="0"/>
      <c r="PCZ7" s="0"/>
      <c r="PDA7" s="0"/>
      <c r="PDB7" s="0"/>
      <c r="PDC7" s="0"/>
      <c r="PDD7" s="0"/>
      <c r="PDE7" s="0"/>
      <c r="PDF7" s="0"/>
      <c r="PDG7" s="0"/>
      <c r="PDH7" s="0"/>
      <c r="PDI7" s="0"/>
      <c r="PDJ7" s="0"/>
      <c r="PDK7" s="0"/>
      <c r="PDL7" s="0"/>
      <c r="PDM7" s="0"/>
      <c r="PDN7" s="0"/>
      <c r="PDO7" s="0"/>
      <c r="PDP7" s="0"/>
      <c r="PDQ7" s="0"/>
      <c r="PDR7" s="0"/>
      <c r="PDS7" s="0"/>
      <c r="PDT7" s="0"/>
      <c r="PDU7" s="0"/>
      <c r="PDV7" s="0"/>
      <c r="PDW7" s="0"/>
      <c r="PDX7" s="0"/>
      <c r="PDY7" s="0"/>
      <c r="PDZ7" s="0"/>
      <c r="PEA7" s="0"/>
      <c r="PEB7" s="0"/>
      <c r="PEC7" s="0"/>
      <c r="PED7" s="0"/>
      <c r="PEE7" s="0"/>
      <c r="PEF7" s="0"/>
      <c r="PEG7" s="0"/>
      <c r="PEH7" s="0"/>
      <c r="PEI7" s="0"/>
      <c r="PEJ7" s="0"/>
      <c r="PEK7" s="0"/>
      <c r="PEL7" s="0"/>
      <c r="PEM7" s="0"/>
      <c r="PEN7" s="0"/>
      <c r="PEO7" s="0"/>
      <c r="PEP7" s="0"/>
      <c r="PEQ7" s="0"/>
      <c r="PER7" s="0"/>
      <c r="PES7" s="0"/>
      <c r="PET7" s="0"/>
      <c r="PEU7" s="0"/>
      <c r="PEV7" s="0"/>
      <c r="PEW7" s="0"/>
      <c r="PEX7" s="0"/>
      <c r="PEY7" s="0"/>
      <c r="PEZ7" s="0"/>
      <c r="PFA7" s="0"/>
      <c r="PFB7" s="0"/>
      <c r="PFC7" s="0"/>
      <c r="PFD7" s="0"/>
      <c r="PFE7" s="0"/>
      <c r="PFF7" s="0"/>
      <c r="PFG7" s="0"/>
      <c r="PFH7" s="0"/>
      <c r="PFI7" s="0"/>
      <c r="PFJ7" s="0"/>
      <c r="PFK7" s="0"/>
      <c r="PFL7" s="0"/>
      <c r="PFM7" s="0"/>
      <c r="PFN7" s="0"/>
      <c r="PFO7" s="0"/>
      <c r="PFP7" s="0"/>
      <c r="PFQ7" s="0"/>
      <c r="PFR7" s="0"/>
      <c r="PFS7" s="0"/>
      <c r="PFT7" s="0"/>
      <c r="PFU7" s="0"/>
      <c r="PFV7" s="0"/>
      <c r="PFW7" s="0"/>
      <c r="PFX7" s="0"/>
      <c r="PFY7" s="0"/>
      <c r="PFZ7" s="0"/>
      <c r="PGA7" s="0"/>
      <c r="PGB7" s="0"/>
      <c r="PGC7" s="0"/>
      <c r="PGD7" s="0"/>
      <c r="PGE7" s="0"/>
      <c r="PGF7" s="0"/>
      <c r="PGG7" s="0"/>
      <c r="PGH7" s="0"/>
      <c r="PGI7" s="0"/>
      <c r="PGJ7" s="0"/>
      <c r="PGK7" s="0"/>
      <c r="PGL7" s="0"/>
      <c r="PGM7" s="0"/>
      <c r="PGN7" s="0"/>
      <c r="PGO7" s="0"/>
      <c r="PGP7" s="0"/>
      <c r="PGQ7" s="0"/>
      <c r="PGR7" s="0"/>
      <c r="PGS7" s="0"/>
      <c r="PGT7" s="0"/>
      <c r="PGU7" s="0"/>
      <c r="PGV7" s="0"/>
      <c r="PGW7" s="0"/>
      <c r="PGX7" s="0"/>
      <c r="PGY7" s="0"/>
      <c r="PGZ7" s="0"/>
      <c r="PHA7" s="0"/>
      <c r="PHB7" s="0"/>
      <c r="PHC7" s="0"/>
      <c r="PHD7" s="0"/>
      <c r="PHE7" s="0"/>
      <c r="PHF7" s="0"/>
      <c r="PHG7" s="0"/>
      <c r="PHH7" s="0"/>
      <c r="PHI7" s="0"/>
      <c r="PHJ7" s="0"/>
      <c r="PHK7" s="0"/>
      <c r="PHL7" s="0"/>
      <c r="PHM7" s="0"/>
      <c r="PHN7" s="0"/>
      <c r="PHO7" s="0"/>
      <c r="PHP7" s="0"/>
      <c r="PHQ7" s="0"/>
      <c r="PHR7" s="0"/>
      <c r="PHS7" s="0"/>
      <c r="PHT7" s="0"/>
      <c r="PHU7" s="0"/>
      <c r="PHV7" s="0"/>
      <c r="PHW7" s="0"/>
      <c r="PHX7" s="0"/>
      <c r="PHY7" s="0"/>
      <c r="PHZ7" s="0"/>
      <c r="PIA7" s="0"/>
      <c r="PIB7" s="0"/>
      <c r="PIC7" s="0"/>
      <c r="PID7" s="0"/>
      <c r="PIE7" s="0"/>
      <c r="PIF7" s="0"/>
      <c r="PIG7" s="0"/>
      <c r="PIH7" s="0"/>
      <c r="PII7" s="0"/>
      <c r="PIJ7" s="0"/>
      <c r="PIK7" s="0"/>
      <c r="PIL7" s="0"/>
      <c r="PIM7" s="0"/>
      <c r="PIN7" s="0"/>
      <c r="PIO7" s="0"/>
      <c r="PIP7" s="0"/>
      <c r="PIQ7" s="0"/>
      <c r="PIR7" s="0"/>
      <c r="PIS7" s="0"/>
      <c r="PIT7" s="0"/>
      <c r="PIU7" s="0"/>
      <c r="PIV7" s="0"/>
      <c r="PIW7" s="0"/>
      <c r="PIX7" s="0"/>
      <c r="PIY7" s="0"/>
      <c r="PIZ7" s="0"/>
      <c r="PJA7" s="0"/>
      <c r="PJB7" s="0"/>
      <c r="PJC7" s="0"/>
      <c r="PJD7" s="0"/>
      <c r="PJE7" s="0"/>
      <c r="PJF7" s="0"/>
      <c r="PJG7" s="0"/>
      <c r="PJH7" s="0"/>
      <c r="PJI7" s="0"/>
      <c r="PJJ7" s="0"/>
      <c r="PJK7" s="0"/>
      <c r="PJL7" s="0"/>
      <c r="PJM7" s="0"/>
      <c r="PJN7" s="0"/>
      <c r="PJO7" s="0"/>
      <c r="PJP7" s="0"/>
      <c r="PJQ7" s="0"/>
      <c r="PJR7" s="0"/>
      <c r="PJS7" s="0"/>
      <c r="PJT7" s="0"/>
      <c r="PJU7" s="0"/>
      <c r="PJV7" s="0"/>
      <c r="PJW7" s="0"/>
      <c r="PJX7" s="0"/>
      <c r="PJY7" s="0"/>
      <c r="PJZ7" s="0"/>
      <c r="PKA7" s="0"/>
      <c r="PKB7" s="0"/>
      <c r="PKC7" s="0"/>
      <c r="PKD7" s="0"/>
      <c r="PKE7" s="0"/>
      <c r="PKF7" s="0"/>
      <c r="PKG7" s="0"/>
      <c r="PKH7" s="0"/>
      <c r="PKI7" s="0"/>
      <c r="PKJ7" s="0"/>
      <c r="PKK7" s="0"/>
      <c r="PKL7" s="0"/>
      <c r="PKM7" s="0"/>
      <c r="PKN7" s="0"/>
      <c r="PKO7" s="0"/>
      <c r="PKP7" s="0"/>
      <c r="PKQ7" s="0"/>
      <c r="PKR7" s="0"/>
      <c r="PKS7" s="0"/>
      <c r="PKT7" s="0"/>
      <c r="PKU7" s="0"/>
      <c r="PKV7" s="0"/>
      <c r="PKW7" s="0"/>
      <c r="PKX7" s="0"/>
      <c r="PKY7" s="0"/>
      <c r="PKZ7" s="0"/>
      <c r="PLA7" s="0"/>
      <c r="PLB7" s="0"/>
      <c r="PLC7" s="0"/>
      <c r="PLD7" s="0"/>
      <c r="PLE7" s="0"/>
      <c r="PLF7" s="0"/>
      <c r="PLG7" s="0"/>
      <c r="PLH7" s="0"/>
      <c r="PLI7" s="0"/>
      <c r="PLJ7" s="0"/>
      <c r="PLK7" s="0"/>
      <c r="PLL7" s="0"/>
      <c r="PLM7" s="0"/>
      <c r="PLN7" s="0"/>
      <c r="PLO7" s="0"/>
      <c r="PLP7" s="0"/>
      <c r="PLQ7" s="0"/>
      <c r="PLR7" s="0"/>
      <c r="PLS7" s="0"/>
      <c r="PLT7" s="0"/>
      <c r="PLU7" s="0"/>
      <c r="PLV7" s="0"/>
      <c r="PLW7" s="0"/>
      <c r="PLX7" s="0"/>
      <c r="PLY7" s="0"/>
      <c r="PLZ7" s="0"/>
      <c r="PMA7" s="0"/>
      <c r="PMB7" s="0"/>
      <c r="PMC7" s="0"/>
      <c r="PMD7" s="0"/>
      <c r="PME7" s="0"/>
      <c r="PMF7" s="0"/>
      <c r="PMG7" s="0"/>
      <c r="PMH7" s="0"/>
      <c r="PMI7" s="0"/>
      <c r="PMJ7" s="0"/>
      <c r="PMK7" s="0"/>
      <c r="PML7" s="0"/>
      <c r="PMM7" s="0"/>
      <c r="PMN7" s="0"/>
      <c r="PMO7" s="0"/>
      <c r="PMP7" s="0"/>
      <c r="PMQ7" s="0"/>
      <c r="PMR7" s="0"/>
      <c r="PMS7" s="0"/>
      <c r="PMT7" s="0"/>
      <c r="PMU7" s="0"/>
      <c r="PMV7" s="0"/>
      <c r="PMW7" s="0"/>
      <c r="PMX7" s="0"/>
      <c r="PMY7" s="0"/>
      <c r="PMZ7" s="0"/>
      <c r="PNA7" s="0"/>
      <c r="PNB7" s="0"/>
      <c r="PNC7" s="0"/>
      <c r="PND7" s="0"/>
      <c r="PNE7" s="0"/>
      <c r="PNF7" s="0"/>
      <c r="PNG7" s="0"/>
      <c r="PNH7" s="0"/>
      <c r="PNI7" s="0"/>
      <c r="PNJ7" s="0"/>
      <c r="PNK7" s="0"/>
      <c r="PNL7" s="0"/>
      <c r="PNM7" s="0"/>
      <c r="PNN7" s="0"/>
      <c r="PNO7" s="0"/>
      <c r="PNP7" s="0"/>
      <c r="PNQ7" s="0"/>
      <c r="PNR7" s="0"/>
      <c r="PNS7" s="0"/>
      <c r="PNT7" s="0"/>
      <c r="PNU7" s="0"/>
      <c r="PNV7" s="0"/>
      <c r="PNW7" s="0"/>
      <c r="PNX7" s="0"/>
      <c r="PNY7" s="0"/>
      <c r="PNZ7" s="0"/>
      <c r="POA7" s="0"/>
      <c r="POB7" s="0"/>
      <c r="POC7" s="0"/>
      <c r="POD7" s="0"/>
      <c r="POE7" s="0"/>
      <c r="POF7" s="0"/>
      <c r="POG7" s="0"/>
      <c r="POH7" s="0"/>
      <c r="POI7" s="0"/>
      <c r="POJ7" s="0"/>
      <c r="POK7" s="0"/>
      <c r="POL7" s="0"/>
      <c r="POM7" s="0"/>
      <c r="PON7" s="0"/>
      <c r="POO7" s="0"/>
      <c r="POP7" s="0"/>
      <c r="POQ7" s="0"/>
      <c r="POR7" s="0"/>
      <c r="POS7" s="0"/>
      <c r="POT7" s="0"/>
      <c r="POU7" s="0"/>
      <c r="POV7" s="0"/>
      <c r="POW7" s="0"/>
      <c r="POX7" s="0"/>
      <c r="POY7" s="0"/>
      <c r="POZ7" s="0"/>
      <c r="PPA7" s="0"/>
      <c r="PPB7" s="0"/>
      <c r="PPC7" s="0"/>
      <c r="PPD7" s="0"/>
      <c r="PPE7" s="0"/>
      <c r="PPF7" s="0"/>
      <c r="PPG7" s="0"/>
      <c r="PPH7" s="0"/>
      <c r="PPI7" s="0"/>
      <c r="PPJ7" s="0"/>
      <c r="PPK7" s="0"/>
      <c r="PPL7" s="0"/>
      <c r="PPM7" s="0"/>
      <c r="PPN7" s="0"/>
      <c r="PPO7" s="0"/>
      <c r="PPP7" s="0"/>
      <c r="PPQ7" s="0"/>
      <c r="PPR7" s="0"/>
      <c r="PPS7" s="0"/>
      <c r="PPT7" s="0"/>
      <c r="PPU7" s="0"/>
      <c r="PPV7" s="0"/>
      <c r="PPW7" s="0"/>
      <c r="PPX7" s="0"/>
      <c r="PPY7" s="0"/>
      <c r="PPZ7" s="0"/>
      <c r="PQA7" s="0"/>
      <c r="PQB7" s="0"/>
      <c r="PQC7" s="0"/>
      <c r="PQD7" s="0"/>
      <c r="PQE7" s="0"/>
      <c r="PQF7" s="0"/>
      <c r="PQG7" s="0"/>
      <c r="PQH7" s="0"/>
      <c r="PQI7" s="0"/>
      <c r="PQJ7" s="0"/>
      <c r="PQK7" s="0"/>
      <c r="PQL7" s="0"/>
      <c r="PQM7" s="0"/>
      <c r="PQN7" s="0"/>
      <c r="PQO7" s="0"/>
      <c r="PQP7" s="0"/>
      <c r="PQQ7" s="0"/>
      <c r="PQR7" s="0"/>
      <c r="PQS7" s="0"/>
      <c r="PQT7" s="0"/>
      <c r="PQU7" s="0"/>
      <c r="PQV7" s="0"/>
      <c r="PQW7" s="0"/>
      <c r="PQX7" s="0"/>
      <c r="PQY7" s="0"/>
      <c r="PQZ7" s="0"/>
      <c r="PRA7" s="0"/>
      <c r="PRB7" s="0"/>
      <c r="PRC7" s="0"/>
      <c r="PRD7" s="0"/>
      <c r="PRE7" s="0"/>
      <c r="PRF7" s="0"/>
      <c r="PRG7" s="0"/>
      <c r="PRH7" s="0"/>
      <c r="PRI7" s="0"/>
      <c r="PRJ7" s="0"/>
      <c r="PRK7" s="0"/>
      <c r="PRL7" s="0"/>
      <c r="PRM7" s="0"/>
      <c r="PRN7" s="0"/>
      <c r="PRO7" s="0"/>
      <c r="PRP7" s="0"/>
      <c r="PRQ7" s="0"/>
      <c r="PRR7" s="0"/>
      <c r="PRS7" s="0"/>
      <c r="PRT7" s="0"/>
      <c r="PRU7" s="0"/>
      <c r="PRV7" s="0"/>
      <c r="PRW7" s="0"/>
      <c r="PRX7" s="0"/>
      <c r="PRY7" s="0"/>
      <c r="PRZ7" s="0"/>
      <c r="PSA7" s="0"/>
      <c r="PSB7" s="0"/>
      <c r="PSC7" s="0"/>
      <c r="PSD7" s="0"/>
      <c r="PSE7" s="0"/>
      <c r="PSF7" s="0"/>
      <c r="PSG7" s="0"/>
      <c r="PSH7" s="0"/>
      <c r="PSI7" s="0"/>
      <c r="PSJ7" s="0"/>
      <c r="PSK7" s="0"/>
      <c r="PSL7" s="0"/>
      <c r="PSM7" s="0"/>
      <c r="PSN7" s="0"/>
      <c r="PSO7" s="0"/>
      <c r="PSP7" s="0"/>
      <c r="PSQ7" s="0"/>
      <c r="PSR7" s="0"/>
      <c r="PSS7" s="0"/>
      <c r="PST7" s="0"/>
      <c r="PSU7" s="0"/>
      <c r="PSV7" s="0"/>
      <c r="PSW7" s="0"/>
      <c r="PSX7" s="0"/>
      <c r="PSY7" s="0"/>
      <c r="PSZ7" s="0"/>
      <c r="PTA7" s="0"/>
      <c r="PTB7" s="0"/>
      <c r="PTC7" s="0"/>
      <c r="PTD7" s="0"/>
      <c r="PTE7" s="0"/>
      <c r="PTF7" s="0"/>
      <c r="PTG7" s="0"/>
      <c r="PTH7" s="0"/>
      <c r="PTI7" s="0"/>
      <c r="PTJ7" s="0"/>
      <c r="PTK7" s="0"/>
      <c r="PTL7" s="0"/>
      <c r="PTM7" s="0"/>
      <c r="PTN7" s="0"/>
      <c r="PTO7" s="0"/>
      <c r="PTP7" s="0"/>
      <c r="PTQ7" s="0"/>
      <c r="PTR7" s="0"/>
      <c r="PTS7" s="0"/>
      <c r="PTT7" s="0"/>
      <c r="PTU7" s="0"/>
      <c r="PTV7" s="0"/>
      <c r="PTW7" s="0"/>
      <c r="PTX7" s="0"/>
      <c r="PTY7" s="0"/>
      <c r="PTZ7" s="0"/>
      <c r="PUA7" s="0"/>
      <c r="PUB7" s="0"/>
      <c r="PUC7" s="0"/>
      <c r="PUD7" s="0"/>
      <c r="PUE7" s="0"/>
      <c r="PUF7" s="0"/>
      <c r="PUG7" s="0"/>
      <c r="PUH7" s="0"/>
      <c r="PUI7" s="0"/>
      <c r="PUJ7" s="0"/>
      <c r="PUK7" s="0"/>
      <c r="PUL7" s="0"/>
      <c r="PUM7" s="0"/>
      <c r="PUN7" s="0"/>
      <c r="PUO7" s="0"/>
      <c r="PUP7" s="0"/>
      <c r="PUQ7" s="0"/>
      <c r="PUR7" s="0"/>
      <c r="PUS7" s="0"/>
      <c r="PUT7" s="0"/>
      <c r="PUU7" s="0"/>
      <c r="PUV7" s="0"/>
      <c r="PUW7" s="0"/>
      <c r="PUX7" s="0"/>
      <c r="PUY7" s="0"/>
      <c r="PUZ7" s="0"/>
      <c r="PVA7" s="0"/>
      <c r="PVB7" s="0"/>
      <c r="PVC7" s="0"/>
      <c r="PVD7" s="0"/>
      <c r="PVE7" s="0"/>
      <c r="PVF7" s="0"/>
      <c r="PVG7" s="0"/>
      <c r="PVH7" s="0"/>
      <c r="PVI7" s="0"/>
      <c r="PVJ7" s="0"/>
      <c r="PVK7" s="0"/>
      <c r="PVL7" s="0"/>
      <c r="PVM7" s="0"/>
      <c r="PVN7" s="0"/>
      <c r="PVO7" s="0"/>
      <c r="PVP7" s="0"/>
      <c r="PVQ7" s="0"/>
      <c r="PVR7" s="0"/>
      <c r="PVS7" s="0"/>
      <c r="PVT7" s="0"/>
      <c r="PVU7" s="0"/>
      <c r="PVV7" s="0"/>
      <c r="PVW7" s="0"/>
      <c r="PVX7" s="0"/>
      <c r="PVY7" s="0"/>
      <c r="PVZ7" s="0"/>
      <c r="PWA7" s="0"/>
      <c r="PWB7" s="0"/>
      <c r="PWC7" s="0"/>
      <c r="PWD7" s="0"/>
      <c r="PWE7" s="0"/>
      <c r="PWF7" s="0"/>
      <c r="PWG7" s="0"/>
      <c r="PWH7" s="0"/>
      <c r="PWI7" s="0"/>
      <c r="PWJ7" s="0"/>
      <c r="PWK7" s="0"/>
      <c r="PWL7" s="0"/>
      <c r="PWM7" s="0"/>
      <c r="PWN7" s="0"/>
      <c r="PWO7" s="0"/>
      <c r="PWP7" s="0"/>
      <c r="PWQ7" s="0"/>
      <c r="PWR7" s="0"/>
      <c r="PWS7" s="0"/>
      <c r="PWT7" s="0"/>
      <c r="PWU7" s="0"/>
      <c r="PWV7" s="0"/>
      <c r="PWW7" s="0"/>
      <c r="PWX7" s="0"/>
      <c r="PWY7" s="0"/>
      <c r="PWZ7" s="0"/>
      <c r="PXA7" s="0"/>
      <c r="PXB7" s="0"/>
      <c r="PXC7" s="0"/>
      <c r="PXD7" s="0"/>
      <c r="PXE7" s="0"/>
      <c r="PXF7" s="0"/>
      <c r="PXG7" s="0"/>
      <c r="PXH7" s="0"/>
      <c r="PXI7" s="0"/>
      <c r="PXJ7" s="0"/>
      <c r="PXK7" s="0"/>
      <c r="PXL7" s="0"/>
      <c r="PXM7" s="0"/>
      <c r="PXN7" s="0"/>
      <c r="PXO7" s="0"/>
      <c r="PXP7" s="0"/>
      <c r="PXQ7" s="0"/>
      <c r="PXR7" s="0"/>
      <c r="PXS7" s="0"/>
      <c r="PXT7" s="0"/>
      <c r="PXU7" s="0"/>
      <c r="PXV7" s="0"/>
      <c r="PXW7" s="0"/>
      <c r="PXX7" s="0"/>
      <c r="PXY7" s="0"/>
      <c r="PXZ7" s="0"/>
      <c r="PYA7" s="0"/>
      <c r="PYB7" s="0"/>
      <c r="PYC7" s="0"/>
      <c r="PYD7" s="0"/>
      <c r="PYE7" s="0"/>
      <c r="PYF7" s="0"/>
      <c r="PYG7" s="0"/>
      <c r="PYH7" s="0"/>
      <c r="PYI7" s="0"/>
      <c r="PYJ7" s="0"/>
      <c r="PYK7" s="0"/>
      <c r="PYL7" s="0"/>
      <c r="PYM7" s="0"/>
      <c r="PYN7" s="0"/>
      <c r="PYO7" s="0"/>
      <c r="PYP7" s="0"/>
      <c r="PYQ7" s="0"/>
      <c r="PYR7" s="0"/>
      <c r="PYS7" s="0"/>
      <c r="PYT7" s="0"/>
      <c r="PYU7" s="0"/>
      <c r="PYV7" s="0"/>
      <c r="PYW7" s="0"/>
      <c r="PYX7" s="0"/>
      <c r="PYY7" s="0"/>
      <c r="PYZ7" s="0"/>
      <c r="PZA7" s="0"/>
      <c r="PZB7" s="0"/>
      <c r="PZC7" s="0"/>
      <c r="PZD7" s="0"/>
      <c r="PZE7" s="0"/>
      <c r="PZF7" s="0"/>
      <c r="PZG7" s="0"/>
      <c r="PZH7" s="0"/>
      <c r="PZI7" s="0"/>
      <c r="PZJ7" s="0"/>
      <c r="PZK7" s="0"/>
      <c r="PZL7" s="0"/>
      <c r="PZM7" s="0"/>
      <c r="PZN7" s="0"/>
      <c r="PZO7" s="0"/>
      <c r="PZP7" s="0"/>
      <c r="PZQ7" s="0"/>
      <c r="PZR7" s="0"/>
      <c r="PZS7" s="0"/>
      <c r="PZT7" s="0"/>
      <c r="PZU7" s="0"/>
      <c r="PZV7" s="0"/>
      <c r="PZW7" s="0"/>
      <c r="PZX7" s="0"/>
      <c r="PZY7" s="0"/>
      <c r="PZZ7" s="0"/>
      <c r="QAA7" s="0"/>
      <c r="QAB7" s="0"/>
      <c r="QAC7" s="0"/>
      <c r="QAD7" s="0"/>
      <c r="QAE7" s="0"/>
      <c r="QAF7" s="0"/>
      <c r="QAG7" s="0"/>
      <c r="QAH7" s="0"/>
      <c r="QAI7" s="0"/>
      <c r="QAJ7" s="0"/>
      <c r="QAK7" s="0"/>
      <c r="QAL7" s="0"/>
      <c r="QAM7" s="0"/>
      <c r="QAN7" s="0"/>
      <c r="QAO7" s="0"/>
      <c r="QAP7" s="0"/>
      <c r="QAQ7" s="0"/>
      <c r="QAR7" s="0"/>
      <c r="QAS7" s="0"/>
      <c r="QAT7" s="0"/>
      <c r="QAU7" s="0"/>
      <c r="QAV7" s="0"/>
      <c r="QAW7" s="0"/>
      <c r="QAX7" s="0"/>
      <c r="QAY7" s="0"/>
      <c r="QAZ7" s="0"/>
      <c r="QBA7" s="0"/>
      <c r="QBB7" s="0"/>
      <c r="QBC7" s="0"/>
      <c r="QBD7" s="0"/>
      <c r="QBE7" s="0"/>
      <c r="QBF7" s="0"/>
      <c r="QBG7" s="0"/>
      <c r="QBH7" s="0"/>
      <c r="QBI7" s="0"/>
      <c r="QBJ7" s="0"/>
      <c r="QBK7" s="0"/>
      <c r="QBL7" s="0"/>
      <c r="QBM7" s="0"/>
      <c r="QBN7" s="0"/>
      <c r="QBO7" s="0"/>
      <c r="QBP7" s="0"/>
      <c r="QBQ7" s="0"/>
      <c r="QBR7" s="0"/>
      <c r="QBS7" s="0"/>
      <c r="QBT7" s="0"/>
      <c r="QBU7" s="0"/>
      <c r="QBV7" s="0"/>
      <c r="QBW7" s="0"/>
      <c r="QBX7" s="0"/>
      <c r="QBY7" s="0"/>
      <c r="QBZ7" s="0"/>
      <c r="QCA7" s="0"/>
      <c r="QCB7" s="0"/>
      <c r="QCC7" s="0"/>
      <c r="QCD7" s="0"/>
      <c r="QCE7" s="0"/>
      <c r="QCF7" s="0"/>
      <c r="QCG7" s="0"/>
      <c r="QCH7" s="0"/>
      <c r="QCI7" s="0"/>
      <c r="QCJ7" s="0"/>
      <c r="QCK7" s="0"/>
      <c r="QCL7" s="0"/>
      <c r="QCM7" s="0"/>
      <c r="QCN7" s="0"/>
      <c r="QCO7" s="0"/>
      <c r="QCP7" s="0"/>
      <c r="QCQ7" s="0"/>
      <c r="QCR7" s="0"/>
      <c r="QCS7" s="0"/>
      <c r="QCT7" s="0"/>
      <c r="QCU7" s="0"/>
      <c r="QCV7" s="0"/>
      <c r="QCW7" s="0"/>
      <c r="QCX7" s="0"/>
      <c r="QCY7" s="0"/>
      <c r="QCZ7" s="0"/>
      <c r="QDA7" s="0"/>
      <c r="QDB7" s="0"/>
      <c r="QDC7" s="0"/>
      <c r="QDD7" s="0"/>
      <c r="QDE7" s="0"/>
      <c r="QDF7" s="0"/>
      <c r="QDG7" s="0"/>
      <c r="QDH7" s="0"/>
      <c r="QDI7" s="0"/>
      <c r="QDJ7" s="0"/>
      <c r="QDK7" s="0"/>
      <c r="QDL7" s="0"/>
      <c r="QDM7" s="0"/>
      <c r="QDN7" s="0"/>
      <c r="QDO7" s="0"/>
      <c r="QDP7" s="0"/>
      <c r="QDQ7" s="0"/>
      <c r="QDR7" s="0"/>
      <c r="QDS7" s="0"/>
      <c r="QDT7" s="0"/>
      <c r="QDU7" s="0"/>
      <c r="QDV7" s="0"/>
      <c r="QDW7" s="0"/>
      <c r="QDX7" s="0"/>
      <c r="QDY7" s="0"/>
      <c r="QDZ7" s="0"/>
      <c r="QEA7" s="0"/>
      <c r="QEB7" s="0"/>
      <c r="QEC7" s="0"/>
      <c r="QED7" s="0"/>
      <c r="QEE7" s="0"/>
      <c r="QEF7" s="0"/>
      <c r="QEG7" s="0"/>
      <c r="QEH7" s="0"/>
      <c r="QEI7" s="0"/>
      <c r="QEJ7" s="0"/>
      <c r="QEK7" s="0"/>
      <c r="QEL7" s="0"/>
      <c r="QEM7" s="0"/>
      <c r="QEN7" s="0"/>
      <c r="QEO7" s="0"/>
      <c r="QEP7" s="0"/>
      <c r="QEQ7" s="0"/>
      <c r="QER7" s="0"/>
      <c r="QES7" s="0"/>
      <c r="QET7" s="0"/>
      <c r="QEU7" s="0"/>
      <c r="QEV7" s="0"/>
      <c r="QEW7" s="0"/>
      <c r="QEX7" s="0"/>
      <c r="QEY7" s="0"/>
      <c r="QEZ7" s="0"/>
      <c r="QFA7" s="0"/>
      <c r="QFB7" s="0"/>
      <c r="QFC7" s="0"/>
      <c r="QFD7" s="0"/>
      <c r="QFE7" s="0"/>
      <c r="QFF7" s="0"/>
      <c r="QFG7" s="0"/>
      <c r="QFH7" s="0"/>
      <c r="QFI7" s="0"/>
      <c r="QFJ7" s="0"/>
      <c r="QFK7" s="0"/>
      <c r="QFL7" s="0"/>
      <c r="QFM7" s="0"/>
      <c r="QFN7" s="0"/>
      <c r="QFO7" s="0"/>
      <c r="QFP7" s="0"/>
      <c r="QFQ7" s="0"/>
      <c r="QFR7" s="0"/>
      <c r="QFS7" s="0"/>
      <c r="QFT7" s="0"/>
      <c r="QFU7" s="0"/>
      <c r="QFV7" s="0"/>
      <c r="QFW7" s="0"/>
      <c r="QFX7" s="0"/>
      <c r="QFY7" s="0"/>
      <c r="QFZ7" s="0"/>
      <c r="QGA7" s="0"/>
      <c r="QGB7" s="0"/>
      <c r="QGC7" s="0"/>
      <c r="QGD7" s="0"/>
      <c r="QGE7" s="0"/>
      <c r="QGF7" s="0"/>
      <c r="QGG7" s="0"/>
      <c r="QGH7" s="0"/>
      <c r="QGI7" s="0"/>
      <c r="QGJ7" s="0"/>
      <c r="QGK7" s="0"/>
      <c r="QGL7" s="0"/>
      <c r="QGM7" s="0"/>
      <c r="QGN7" s="0"/>
      <c r="QGO7" s="0"/>
      <c r="QGP7" s="0"/>
      <c r="QGQ7" s="0"/>
      <c r="QGR7" s="0"/>
      <c r="QGS7" s="0"/>
      <c r="QGT7" s="0"/>
      <c r="QGU7" s="0"/>
      <c r="QGV7" s="0"/>
      <c r="QGW7" s="0"/>
      <c r="QGX7" s="0"/>
      <c r="QGY7" s="0"/>
      <c r="QGZ7" s="0"/>
      <c r="QHA7" s="0"/>
      <c r="QHB7" s="0"/>
      <c r="QHC7" s="0"/>
      <c r="QHD7" s="0"/>
      <c r="QHE7" s="0"/>
      <c r="QHF7" s="0"/>
      <c r="QHG7" s="0"/>
      <c r="QHH7" s="0"/>
      <c r="QHI7" s="0"/>
      <c r="QHJ7" s="0"/>
      <c r="QHK7" s="0"/>
      <c r="QHL7" s="0"/>
      <c r="QHM7" s="0"/>
      <c r="QHN7" s="0"/>
      <c r="QHO7" s="0"/>
      <c r="QHP7" s="0"/>
      <c r="QHQ7" s="0"/>
      <c r="QHR7" s="0"/>
      <c r="QHS7" s="0"/>
      <c r="QHT7" s="0"/>
      <c r="QHU7" s="0"/>
      <c r="QHV7" s="0"/>
      <c r="QHW7" s="0"/>
      <c r="QHX7" s="0"/>
      <c r="QHY7" s="0"/>
      <c r="QHZ7" s="0"/>
      <c r="QIA7" s="0"/>
      <c r="QIB7" s="0"/>
      <c r="QIC7" s="0"/>
      <c r="QID7" s="0"/>
      <c r="QIE7" s="0"/>
      <c r="QIF7" s="0"/>
      <c r="QIG7" s="0"/>
      <c r="QIH7" s="0"/>
      <c r="QII7" s="0"/>
      <c r="QIJ7" s="0"/>
      <c r="QIK7" s="0"/>
      <c r="QIL7" s="0"/>
      <c r="QIM7" s="0"/>
      <c r="QIN7" s="0"/>
      <c r="QIO7" s="0"/>
      <c r="QIP7" s="0"/>
      <c r="QIQ7" s="0"/>
      <c r="QIR7" s="0"/>
      <c r="QIS7" s="0"/>
      <c r="QIT7" s="0"/>
      <c r="QIU7" s="0"/>
      <c r="QIV7" s="0"/>
      <c r="QIW7" s="0"/>
      <c r="QIX7" s="0"/>
      <c r="QIY7" s="0"/>
      <c r="QIZ7" s="0"/>
      <c r="QJA7" s="0"/>
      <c r="QJB7" s="0"/>
      <c r="QJC7" s="0"/>
      <c r="QJD7" s="0"/>
      <c r="QJE7" s="0"/>
      <c r="QJF7" s="0"/>
      <c r="QJG7" s="0"/>
      <c r="QJH7" s="0"/>
      <c r="QJI7" s="0"/>
      <c r="QJJ7" s="0"/>
      <c r="QJK7" s="0"/>
      <c r="QJL7" s="0"/>
      <c r="QJM7" s="0"/>
      <c r="QJN7" s="0"/>
      <c r="QJO7" s="0"/>
      <c r="QJP7" s="0"/>
      <c r="QJQ7" s="0"/>
      <c r="QJR7" s="0"/>
      <c r="QJS7" s="0"/>
      <c r="QJT7" s="0"/>
      <c r="QJU7" s="0"/>
      <c r="QJV7" s="0"/>
      <c r="QJW7" s="0"/>
      <c r="QJX7" s="0"/>
      <c r="QJY7" s="0"/>
      <c r="QJZ7" s="0"/>
      <c r="QKA7" s="0"/>
      <c r="QKB7" s="0"/>
      <c r="QKC7" s="0"/>
      <c r="QKD7" s="0"/>
      <c r="QKE7" s="0"/>
      <c r="QKF7" s="0"/>
      <c r="QKG7" s="0"/>
      <c r="QKH7" s="0"/>
      <c r="QKI7" s="0"/>
      <c r="QKJ7" s="0"/>
      <c r="QKK7" s="0"/>
      <c r="QKL7" s="0"/>
      <c r="QKM7" s="0"/>
      <c r="QKN7" s="0"/>
      <c r="QKO7" s="0"/>
      <c r="QKP7" s="0"/>
      <c r="QKQ7" s="0"/>
      <c r="QKR7" s="0"/>
      <c r="QKS7" s="0"/>
      <c r="QKT7" s="0"/>
      <c r="QKU7" s="0"/>
      <c r="QKV7" s="0"/>
      <c r="QKW7" s="0"/>
      <c r="QKX7" s="0"/>
      <c r="QKY7" s="0"/>
      <c r="QKZ7" s="0"/>
      <c r="QLA7" s="0"/>
      <c r="QLB7" s="0"/>
      <c r="QLC7" s="0"/>
      <c r="QLD7" s="0"/>
      <c r="QLE7" s="0"/>
      <c r="QLF7" s="0"/>
      <c r="QLG7" s="0"/>
      <c r="QLH7" s="0"/>
      <c r="QLI7" s="0"/>
      <c r="QLJ7" s="0"/>
      <c r="QLK7" s="0"/>
      <c r="QLL7" s="0"/>
      <c r="QLM7" s="0"/>
      <c r="QLN7" s="0"/>
      <c r="QLO7" s="0"/>
      <c r="QLP7" s="0"/>
      <c r="QLQ7" s="0"/>
      <c r="QLR7" s="0"/>
      <c r="QLS7" s="0"/>
      <c r="QLT7" s="0"/>
      <c r="QLU7" s="0"/>
      <c r="QLV7" s="0"/>
      <c r="QLW7" s="0"/>
      <c r="QLX7" s="0"/>
      <c r="QLY7" s="0"/>
      <c r="QLZ7" s="0"/>
      <c r="QMA7" s="0"/>
      <c r="QMB7" s="0"/>
      <c r="QMC7" s="0"/>
      <c r="QMD7" s="0"/>
      <c r="QME7" s="0"/>
      <c r="QMF7" s="0"/>
      <c r="QMG7" s="0"/>
      <c r="QMH7" s="0"/>
      <c r="QMI7" s="0"/>
      <c r="QMJ7" s="0"/>
      <c r="QMK7" s="0"/>
      <c r="QML7" s="0"/>
      <c r="QMM7" s="0"/>
      <c r="QMN7" s="0"/>
      <c r="QMO7" s="0"/>
      <c r="QMP7" s="0"/>
      <c r="QMQ7" s="0"/>
      <c r="QMR7" s="0"/>
      <c r="QMS7" s="0"/>
      <c r="QMT7" s="0"/>
      <c r="QMU7" s="0"/>
      <c r="QMV7" s="0"/>
      <c r="QMW7" s="0"/>
      <c r="QMX7" s="0"/>
      <c r="QMY7" s="0"/>
      <c r="QMZ7" s="0"/>
      <c r="QNA7" s="0"/>
      <c r="QNB7" s="0"/>
      <c r="QNC7" s="0"/>
      <c r="QND7" s="0"/>
      <c r="QNE7" s="0"/>
      <c r="QNF7" s="0"/>
      <c r="QNG7" s="0"/>
      <c r="QNH7" s="0"/>
      <c r="QNI7" s="0"/>
      <c r="QNJ7" s="0"/>
      <c r="QNK7" s="0"/>
      <c r="QNL7" s="0"/>
      <c r="QNM7" s="0"/>
      <c r="QNN7" s="0"/>
      <c r="QNO7" s="0"/>
      <c r="QNP7" s="0"/>
      <c r="QNQ7" s="0"/>
      <c r="QNR7" s="0"/>
      <c r="QNS7" s="0"/>
      <c r="QNT7" s="0"/>
      <c r="QNU7" s="0"/>
      <c r="QNV7" s="0"/>
      <c r="QNW7" s="0"/>
      <c r="QNX7" s="0"/>
      <c r="QNY7" s="0"/>
      <c r="QNZ7" s="0"/>
      <c r="QOA7" s="0"/>
      <c r="QOB7" s="0"/>
      <c r="QOC7" s="0"/>
      <c r="QOD7" s="0"/>
      <c r="QOE7" s="0"/>
      <c r="QOF7" s="0"/>
      <c r="QOG7" s="0"/>
      <c r="QOH7" s="0"/>
      <c r="QOI7" s="0"/>
      <c r="QOJ7" s="0"/>
      <c r="QOK7" s="0"/>
      <c r="QOL7" s="0"/>
      <c r="QOM7" s="0"/>
      <c r="QON7" s="0"/>
      <c r="QOO7" s="0"/>
      <c r="QOP7" s="0"/>
      <c r="QOQ7" s="0"/>
      <c r="QOR7" s="0"/>
      <c r="QOS7" s="0"/>
      <c r="QOT7" s="0"/>
      <c r="QOU7" s="0"/>
      <c r="QOV7" s="0"/>
      <c r="QOW7" s="0"/>
      <c r="QOX7" s="0"/>
      <c r="QOY7" s="0"/>
      <c r="QOZ7" s="0"/>
      <c r="QPA7" s="0"/>
      <c r="QPB7" s="0"/>
      <c r="QPC7" s="0"/>
      <c r="QPD7" s="0"/>
      <c r="QPE7" s="0"/>
      <c r="QPF7" s="0"/>
      <c r="QPG7" s="0"/>
      <c r="QPH7" s="0"/>
      <c r="QPI7" s="0"/>
      <c r="QPJ7" s="0"/>
      <c r="QPK7" s="0"/>
      <c r="QPL7" s="0"/>
      <c r="QPM7" s="0"/>
      <c r="QPN7" s="0"/>
      <c r="QPO7" s="0"/>
      <c r="QPP7" s="0"/>
      <c r="QPQ7" s="0"/>
      <c r="QPR7" s="0"/>
      <c r="QPS7" s="0"/>
      <c r="QPT7" s="0"/>
      <c r="QPU7" s="0"/>
      <c r="QPV7" s="0"/>
      <c r="QPW7" s="0"/>
      <c r="QPX7" s="0"/>
      <c r="QPY7" s="0"/>
      <c r="QPZ7" s="0"/>
      <c r="QQA7" s="0"/>
      <c r="QQB7" s="0"/>
      <c r="QQC7" s="0"/>
      <c r="QQD7" s="0"/>
      <c r="QQE7" s="0"/>
      <c r="QQF7" s="0"/>
      <c r="QQG7" s="0"/>
      <c r="QQH7" s="0"/>
      <c r="QQI7" s="0"/>
      <c r="QQJ7" s="0"/>
      <c r="QQK7" s="0"/>
      <c r="QQL7" s="0"/>
      <c r="QQM7" s="0"/>
      <c r="QQN7" s="0"/>
      <c r="QQO7" s="0"/>
      <c r="QQP7" s="0"/>
      <c r="QQQ7" s="0"/>
      <c r="QQR7" s="0"/>
      <c r="QQS7" s="0"/>
      <c r="QQT7" s="0"/>
      <c r="QQU7" s="0"/>
      <c r="QQV7" s="0"/>
      <c r="QQW7" s="0"/>
      <c r="QQX7" s="0"/>
      <c r="QQY7" s="0"/>
      <c r="QQZ7" s="0"/>
      <c r="QRA7" s="0"/>
      <c r="QRB7" s="0"/>
      <c r="QRC7" s="0"/>
      <c r="QRD7" s="0"/>
      <c r="QRE7" s="0"/>
      <c r="QRF7" s="0"/>
      <c r="QRG7" s="0"/>
      <c r="QRH7" s="0"/>
      <c r="QRI7" s="0"/>
      <c r="QRJ7" s="0"/>
      <c r="QRK7" s="0"/>
      <c r="QRL7" s="0"/>
      <c r="QRM7" s="0"/>
      <c r="QRN7" s="0"/>
      <c r="QRO7" s="0"/>
      <c r="QRP7" s="0"/>
      <c r="QRQ7" s="0"/>
      <c r="QRR7" s="0"/>
      <c r="QRS7" s="0"/>
      <c r="QRT7" s="0"/>
      <c r="QRU7" s="0"/>
      <c r="QRV7" s="0"/>
      <c r="QRW7" s="0"/>
      <c r="QRX7" s="0"/>
      <c r="QRY7" s="0"/>
      <c r="QRZ7" s="0"/>
      <c r="QSA7" s="0"/>
      <c r="QSB7" s="0"/>
      <c r="QSC7" s="0"/>
      <c r="QSD7" s="0"/>
      <c r="QSE7" s="0"/>
      <c r="QSF7" s="0"/>
      <c r="QSG7" s="0"/>
      <c r="QSH7" s="0"/>
      <c r="QSI7" s="0"/>
      <c r="QSJ7" s="0"/>
      <c r="QSK7" s="0"/>
      <c r="QSL7" s="0"/>
      <c r="QSM7" s="0"/>
      <c r="QSN7" s="0"/>
      <c r="QSO7" s="0"/>
      <c r="QSP7" s="0"/>
      <c r="QSQ7" s="0"/>
      <c r="QSR7" s="0"/>
      <c r="QSS7" s="0"/>
      <c r="QST7" s="0"/>
      <c r="QSU7" s="0"/>
      <c r="QSV7" s="0"/>
      <c r="QSW7" s="0"/>
      <c r="QSX7" s="0"/>
      <c r="QSY7" s="0"/>
      <c r="QSZ7" s="0"/>
      <c r="QTA7" s="0"/>
      <c r="QTB7" s="0"/>
      <c r="QTC7" s="0"/>
      <c r="QTD7" s="0"/>
      <c r="QTE7" s="0"/>
      <c r="QTF7" s="0"/>
      <c r="QTG7" s="0"/>
      <c r="QTH7" s="0"/>
      <c r="QTI7" s="0"/>
      <c r="QTJ7" s="0"/>
      <c r="QTK7" s="0"/>
      <c r="QTL7" s="0"/>
      <c r="QTM7" s="0"/>
      <c r="QTN7" s="0"/>
      <c r="QTO7" s="0"/>
      <c r="QTP7" s="0"/>
      <c r="QTQ7" s="0"/>
      <c r="QTR7" s="0"/>
      <c r="QTS7" s="0"/>
      <c r="QTT7" s="0"/>
      <c r="QTU7" s="0"/>
      <c r="QTV7" s="0"/>
      <c r="QTW7" s="0"/>
      <c r="QTX7" s="0"/>
      <c r="QTY7" s="0"/>
      <c r="QTZ7" s="0"/>
      <c r="QUA7" s="0"/>
      <c r="QUB7" s="0"/>
      <c r="QUC7" s="0"/>
      <c r="QUD7" s="0"/>
      <c r="QUE7" s="0"/>
      <c r="QUF7" s="0"/>
      <c r="QUG7" s="0"/>
      <c r="QUH7" s="0"/>
      <c r="QUI7" s="0"/>
      <c r="QUJ7" s="0"/>
      <c r="QUK7" s="0"/>
      <c r="QUL7" s="0"/>
      <c r="QUM7" s="0"/>
      <c r="QUN7" s="0"/>
      <c r="QUO7" s="0"/>
      <c r="QUP7" s="0"/>
      <c r="QUQ7" s="0"/>
      <c r="QUR7" s="0"/>
      <c r="QUS7" s="0"/>
      <c r="QUT7" s="0"/>
      <c r="QUU7" s="0"/>
      <c r="QUV7" s="0"/>
      <c r="QUW7" s="0"/>
      <c r="QUX7" s="0"/>
      <c r="QUY7" s="0"/>
      <c r="QUZ7" s="0"/>
      <c r="QVA7" s="0"/>
      <c r="QVB7" s="0"/>
      <c r="QVC7" s="0"/>
      <c r="QVD7" s="0"/>
      <c r="QVE7" s="0"/>
      <c r="QVF7" s="0"/>
      <c r="QVG7" s="0"/>
      <c r="QVH7" s="0"/>
      <c r="QVI7" s="0"/>
      <c r="QVJ7" s="0"/>
      <c r="QVK7" s="0"/>
      <c r="QVL7" s="0"/>
      <c r="QVM7" s="0"/>
      <c r="QVN7" s="0"/>
      <c r="QVO7" s="0"/>
      <c r="QVP7" s="0"/>
      <c r="QVQ7" s="0"/>
      <c r="QVR7" s="0"/>
      <c r="QVS7" s="0"/>
      <c r="QVT7" s="0"/>
      <c r="QVU7" s="0"/>
      <c r="QVV7" s="0"/>
      <c r="QVW7" s="0"/>
      <c r="QVX7" s="0"/>
      <c r="QVY7" s="0"/>
      <c r="QVZ7" s="0"/>
      <c r="QWA7" s="0"/>
      <c r="QWB7" s="0"/>
      <c r="QWC7" s="0"/>
      <c r="QWD7" s="0"/>
      <c r="QWE7" s="0"/>
      <c r="QWF7" s="0"/>
      <c r="QWG7" s="0"/>
      <c r="QWH7" s="0"/>
      <c r="QWI7" s="0"/>
      <c r="QWJ7" s="0"/>
      <c r="QWK7" s="0"/>
      <c r="QWL7" s="0"/>
      <c r="QWM7" s="0"/>
      <c r="QWN7" s="0"/>
      <c r="QWO7" s="0"/>
      <c r="QWP7" s="0"/>
      <c r="QWQ7" s="0"/>
      <c r="QWR7" s="0"/>
      <c r="QWS7" s="0"/>
      <c r="QWT7" s="0"/>
      <c r="QWU7" s="0"/>
      <c r="QWV7" s="0"/>
      <c r="QWW7" s="0"/>
      <c r="QWX7" s="0"/>
      <c r="QWY7" s="0"/>
      <c r="QWZ7" s="0"/>
      <c r="QXA7" s="0"/>
      <c r="QXB7" s="0"/>
      <c r="QXC7" s="0"/>
      <c r="QXD7" s="0"/>
      <c r="QXE7" s="0"/>
      <c r="QXF7" s="0"/>
      <c r="QXG7" s="0"/>
      <c r="QXH7" s="0"/>
      <c r="QXI7" s="0"/>
      <c r="QXJ7" s="0"/>
      <c r="QXK7" s="0"/>
      <c r="QXL7" s="0"/>
      <c r="QXM7" s="0"/>
      <c r="QXN7" s="0"/>
      <c r="QXO7" s="0"/>
      <c r="QXP7" s="0"/>
      <c r="QXQ7" s="0"/>
      <c r="QXR7" s="0"/>
      <c r="QXS7" s="0"/>
      <c r="QXT7" s="0"/>
      <c r="QXU7" s="0"/>
      <c r="QXV7" s="0"/>
      <c r="QXW7" s="0"/>
      <c r="QXX7" s="0"/>
      <c r="QXY7" s="0"/>
      <c r="QXZ7" s="0"/>
      <c r="QYA7" s="0"/>
      <c r="QYB7" s="0"/>
      <c r="QYC7" s="0"/>
      <c r="QYD7" s="0"/>
      <c r="QYE7" s="0"/>
      <c r="QYF7" s="0"/>
      <c r="QYG7" s="0"/>
      <c r="QYH7" s="0"/>
      <c r="QYI7" s="0"/>
      <c r="QYJ7" s="0"/>
      <c r="QYK7" s="0"/>
      <c r="QYL7" s="0"/>
      <c r="QYM7" s="0"/>
      <c r="QYN7" s="0"/>
      <c r="QYO7" s="0"/>
      <c r="QYP7" s="0"/>
      <c r="QYQ7" s="0"/>
      <c r="QYR7" s="0"/>
      <c r="QYS7" s="0"/>
      <c r="QYT7" s="0"/>
      <c r="QYU7" s="0"/>
      <c r="QYV7" s="0"/>
      <c r="QYW7" s="0"/>
      <c r="QYX7" s="0"/>
      <c r="QYY7" s="0"/>
      <c r="QYZ7" s="0"/>
      <c r="QZA7" s="0"/>
      <c r="QZB7" s="0"/>
      <c r="QZC7" s="0"/>
      <c r="QZD7" s="0"/>
      <c r="QZE7" s="0"/>
      <c r="QZF7" s="0"/>
      <c r="QZG7" s="0"/>
      <c r="QZH7" s="0"/>
      <c r="QZI7" s="0"/>
      <c r="QZJ7" s="0"/>
      <c r="QZK7" s="0"/>
      <c r="QZL7" s="0"/>
      <c r="QZM7" s="0"/>
      <c r="QZN7" s="0"/>
      <c r="QZO7" s="0"/>
      <c r="QZP7" s="0"/>
      <c r="QZQ7" s="0"/>
      <c r="QZR7" s="0"/>
      <c r="QZS7" s="0"/>
      <c r="QZT7" s="0"/>
      <c r="QZU7" s="0"/>
      <c r="QZV7" s="0"/>
      <c r="QZW7" s="0"/>
      <c r="QZX7" s="0"/>
      <c r="QZY7" s="0"/>
      <c r="QZZ7" s="0"/>
      <c r="RAA7" s="0"/>
      <c r="RAB7" s="0"/>
      <c r="RAC7" s="0"/>
      <c r="RAD7" s="0"/>
      <c r="RAE7" s="0"/>
      <c r="RAF7" s="0"/>
      <c r="RAG7" s="0"/>
      <c r="RAH7" s="0"/>
      <c r="RAI7" s="0"/>
      <c r="RAJ7" s="0"/>
      <c r="RAK7" s="0"/>
      <c r="RAL7" s="0"/>
      <c r="RAM7" s="0"/>
      <c r="RAN7" s="0"/>
      <c r="RAO7" s="0"/>
      <c r="RAP7" s="0"/>
      <c r="RAQ7" s="0"/>
      <c r="RAR7" s="0"/>
      <c r="RAS7" s="0"/>
      <c r="RAT7" s="0"/>
      <c r="RAU7" s="0"/>
      <c r="RAV7" s="0"/>
      <c r="RAW7" s="0"/>
      <c r="RAX7" s="0"/>
      <c r="RAY7" s="0"/>
      <c r="RAZ7" s="0"/>
      <c r="RBA7" s="0"/>
      <c r="RBB7" s="0"/>
      <c r="RBC7" s="0"/>
      <c r="RBD7" s="0"/>
      <c r="RBE7" s="0"/>
      <c r="RBF7" s="0"/>
      <c r="RBG7" s="0"/>
      <c r="RBH7" s="0"/>
      <c r="RBI7" s="0"/>
      <c r="RBJ7" s="0"/>
      <c r="RBK7" s="0"/>
      <c r="RBL7" s="0"/>
      <c r="RBM7" s="0"/>
      <c r="RBN7" s="0"/>
      <c r="RBO7" s="0"/>
      <c r="RBP7" s="0"/>
      <c r="RBQ7" s="0"/>
      <c r="RBR7" s="0"/>
      <c r="RBS7" s="0"/>
      <c r="RBT7" s="0"/>
      <c r="RBU7" s="0"/>
      <c r="RBV7" s="0"/>
      <c r="RBW7" s="0"/>
      <c r="RBX7" s="0"/>
      <c r="RBY7" s="0"/>
      <c r="RBZ7" s="0"/>
      <c r="RCA7" s="0"/>
      <c r="RCB7" s="0"/>
      <c r="RCC7" s="0"/>
      <c r="RCD7" s="0"/>
      <c r="RCE7" s="0"/>
      <c r="RCF7" s="0"/>
      <c r="RCG7" s="0"/>
      <c r="RCH7" s="0"/>
      <c r="RCI7" s="0"/>
      <c r="RCJ7" s="0"/>
      <c r="RCK7" s="0"/>
      <c r="RCL7" s="0"/>
      <c r="RCM7" s="0"/>
      <c r="RCN7" s="0"/>
      <c r="RCO7" s="0"/>
      <c r="RCP7" s="0"/>
      <c r="RCQ7" s="0"/>
      <c r="RCR7" s="0"/>
      <c r="RCS7" s="0"/>
      <c r="RCT7" s="0"/>
      <c r="RCU7" s="0"/>
      <c r="RCV7" s="0"/>
      <c r="RCW7" s="0"/>
      <c r="RCX7" s="0"/>
      <c r="RCY7" s="0"/>
      <c r="RCZ7" s="0"/>
      <c r="RDA7" s="0"/>
      <c r="RDB7" s="0"/>
      <c r="RDC7" s="0"/>
      <c r="RDD7" s="0"/>
      <c r="RDE7" s="0"/>
      <c r="RDF7" s="0"/>
      <c r="RDG7" s="0"/>
      <c r="RDH7" s="0"/>
      <c r="RDI7" s="0"/>
      <c r="RDJ7" s="0"/>
      <c r="RDK7" s="0"/>
      <c r="RDL7" s="0"/>
      <c r="RDM7" s="0"/>
      <c r="RDN7" s="0"/>
      <c r="RDO7" s="0"/>
      <c r="RDP7" s="0"/>
      <c r="RDQ7" s="0"/>
      <c r="RDR7" s="0"/>
      <c r="RDS7" s="0"/>
      <c r="RDT7" s="0"/>
      <c r="RDU7" s="0"/>
      <c r="RDV7" s="0"/>
      <c r="RDW7" s="0"/>
      <c r="RDX7" s="0"/>
      <c r="RDY7" s="0"/>
      <c r="RDZ7" s="0"/>
      <c r="REA7" s="0"/>
      <c r="REB7" s="0"/>
      <c r="REC7" s="0"/>
      <c r="RED7" s="0"/>
      <c r="REE7" s="0"/>
      <c r="REF7" s="0"/>
      <c r="REG7" s="0"/>
      <c r="REH7" s="0"/>
      <c r="REI7" s="0"/>
      <c r="REJ7" s="0"/>
      <c r="REK7" s="0"/>
      <c r="REL7" s="0"/>
      <c r="REM7" s="0"/>
      <c r="REN7" s="0"/>
      <c r="REO7" s="0"/>
      <c r="REP7" s="0"/>
      <c r="REQ7" s="0"/>
      <c r="RER7" s="0"/>
      <c r="RES7" s="0"/>
      <c r="RET7" s="0"/>
      <c r="REU7" s="0"/>
      <c r="REV7" s="0"/>
      <c r="REW7" s="0"/>
      <c r="REX7" s="0"/>
      <c r="REY7" s="0"/>
      <c r="REZ7" s="0"/>
      <c r="RFA7" s="0"/>
      <c r="RFB7" s="0"/>
      <c r="RFC7" s="0"/>
      <c r="RFD7" s="0"/>
      <c r="RFE7" s="0"/>
      <c r="RFF7" s="0"/>
      <c r="RFG7" s="0"/>
      <c r="RFH7" s="0"/>
      <c r="RFI7" s="0"/>
      <c r="RFJ7" s="0"/>
      <c r="RFK7" s="0"/>
      <c r="RFL7" s="0"/>
      <c r="RFM7" s="0"/>
      <c r="RFN7" s="0"/>
      <c r="RFO7" s="0"/>
      <c r="RFP7" s="0"/>
      <c r="RFQ7" s="0"/>
      <c r="RFR7" s="0"/>
      <c r="RFS7" s="0"/>
      <c r="RFT7" s="0"/>
      <c r="RFU7" s="0"/>
      <c r="RFV7" s="0"/>
      <c r="RFW7" s="0"/>
      <c r="RFX7" s="0"/>
      <c r="RFY7" s="0"/>
      <c r="RFZ7" s="0"/>
      <c r="RGA7" s="0"/>
      <c r="RGB7" s="0"/>
      <c r="RGC7" s="0"/>
      <c r="RGD7" s="0"/>
      <c r="RGE7" s="0"/>
      <c r="RGF7" s="0"/>
      <c r="RGG7" s="0"/>
      <c r="RGH7" s="0"/>
      <c r="RGI7" s="0"/>
      <c r="RGJ7" s="0"/>
      <c r="RGK7" s="0"/>
      <c r="RGL7" s="0"/>
      <c r="RGM7" s="0"/>
      <c r="RGN7" s="0"/>
      <c r="RGO7" s="0"/>
      <c r="RGP7" s="0"/>
      <c r="RGQ7" s="0"/>
      <c r="RGR7" s="0"/>
      <c r="RGS7" s="0"/>
      <c r="RGT7" s="0"/>
      <c r="RGU7" s="0"/>
      <c r="RGV7" s="0"/>
      <c r="RGW7" s="0"/>
      <c r="RGX7" s="0"/>
      <c r="RGY7" s="0"/>
      <c r="RGZ7" s="0"/>
      <c r="RHA7" s="0"/>
      <c r="RHB7" s="0"/>
      <c r="RHC7" s="0"/>
      <c r="RHD7" s="0"/>
      <c r="RHE7" s="0"/>
      <c r="RHF7" s="0"/>
      <c r="RHG7" s="0"/>
      <c r="RHH7" s="0"/>
      <c r="RHI7" s="0"/>
      <c r="RHJ7" s="0"/>
      <c r="RHK7" s="0"/>
      <c r="RHL7" s="0"/>
      <c r="RHM7" s="0"/>
      <c r="RHN7" s="0"/>
      <c r="RHO7" s="0"/>
      <c r="RHP7" s="0"/>
      <c r="RHQ7" s="0"/>
      <c r="RHR7" s="0"/>
      <c r="RHS7" s="0"/>
      <c r="RHT7" s="0"/>
      <c r="RHU7" s="0"/>
      <c r="RHV7" s="0"/>
      <c r="RHW7" s="0"/>
      <c r="RHX7" s="0"/>
      <c r="RHY7" s="0"/>
      <c r="RHZ7" s="0"/>
      <c r="RIA7" s="0"/>
      <c r="RIB7" s="0"/>
      <c r="RIC7" s="0"/>
      <c r="RID7" s="0"/>
      <c r="RIE7" s="0"/>
      <c r="RIF7" s="0"/>
      <c r="RIG7" s="0"/>
      <c r="RIH7" s="0"/>
      <c r="RII7" s="0"/>
      <c r="RIJ7" s="0"/>
      <c r="RIK7" s="0"/>
      <c r="RIL7" s="0"/>
      <c r="RIM7" s="0"/>
      <c r="RIN7" s="0"/>
      <c r="RIO7" s="0"/>
      <c r="RIP7" s="0"/>
      <c r="RIQ7" s="0"/>
      <c r="RIR7" s="0"/>
      <c r="RIS7" s="0"/>
      <c r="RIT7" s="0"/>
      <c r="RIU7" s="0"/>
      <c r="RIV7" s="0"/>
      <c r="RIW7" s="0"/>
      <c r="RIX7" s="0"/>
      <c r="RIY7" s="0"/>
      <c r="RIZ7" s="0"/>
      <c r="RJA7" s="0"/>
      <c r="RJB7" s="0"/>
      <c r="RJC7" s="0"/>
      <c r="RJD7" s="0"/>
      <c r="RJE7" s="0"/>
      <c r="RJF7" s="0"/>
      <c r="RJG7" s="0"/>
      <c r="RJH7" s="0"/>
      <c r="RJI7" s="0"/>
      <c r="RJJ7" s="0"/>
      <c r="RJK7" s="0"/>
      <c r="RJL7" s="0"/>
      <c r="RJM7" s="0"/>
      <c r="RJN7" s="0"/>
      <c r="RJO7" s="0"/>
      <c r="RJP7" s="0"/>
      <c r="RJQ7" s="0"/>
      <c r="RJR7" s="0"/>
      <c r="RJS7" s="0"/>
      <c r="RJT7" s="0"/>
      <c r="RJU7" s="0"/>
      <c r="RJV7" s="0"/>
      <c r="RJW7" s="0"/>
      <c r="RJX7" s="0"/>
      <c r="RJY7" s="0"/>
      <c r="RJZ7" s="0"/>
      <c r="RKA7" s="0"/>
      <c r="RKB7" s="0"/>
      <c r="RKC7" s="0"/>
      <c r="RKD7" s="0"/>
      <c r="RKE7" s="0"/>
      <c r="RKF7" s="0"/>
      <c r="RKG7" s="0"/>
      <c r="RKH7" s="0"/>
      <c r="RKI7" s="0"/>
      <c r="RKJ7" s="0"/>
      <c r="RKK7" s="0"/>
      <c r="RKL7" s="0"/>
      <c r="RKM7" s="0"/>
      <c r="RKN7" s="0"/>
      <c r="RKO7" s="0"/>
      <c r="RKP7" s="0"/>
      <c r="RKQ7" s="0"/>
      <c r="RKR7" s="0"/>
      <c r="RKS7" s="0"/>
      <c r="RKT7" s="0"/>
      <c r="RKU7" s="0"/>
      <c r="RKV7" s="0"/>
      <c r="RKW7" s="0"/>
      <c r="RKX7" s="0"/>
      <c r="RKY7" s="0"/>
      <c r="RKZ7" s="0"/>
      <c r="RLA7" s="0"/>
      <c r="RLB7" s="0"/>
      <c r="RLC7" s="0"/>
      <c r="RLD7" s="0"/>
      <c r="RLE7" s="0"/>
      <c r="RLF7" s="0"/>
      <c r="RLG7" s="0"/>
      <c r="RLH7" s="0"/>
      <c r="RLI7" s="0"/>
      <c r="RLJ7" s="0"/>
      <c r="RLK7" s="0"/>
      <c r="RLL7" s="0"/>
      <c r="RLM7" s="0"/>
      <c r="RLN7" s="0"/>
      <c r="RLO7" s="0"/>
      <c r="RLP7" s="0"/>
      <c r="RLQ7" s="0"/>
      <c r="RLR7" s="0"/>
      <c r="RLS7" s="0"/>
      <c r="RLT7" s="0"/>
      <c r="RLU7" s="0"/>
      <c r="RLV7" s="0"/>
      <c r="RLW7" s="0"/>
      <c r="RLX7" s="0"/>
      <c r="RLY7" s="0"/>
      <c r="RLZ7" s="0"/>
      <c r="RMA7" s="0"/>
      <c r="RMB7" s="0"/>
      <c r="RMC7" s="0"/>
      <c r="RMD7" s="0"/>
      <c r="RME7" s="0"/>
      <c r="RMF7" s="0"/>
      <c r="RMG7" s="0"/>
      <c r="RMH7" s="0"/>
      <c r="RMI7" s="0"/>
      <c r="RMJ7" s="0"/>
      <c r="RMK7" s="0"/>
      <c r="RML7" s="0"/>
      <c r="RMM7" s="0"/>
      <c r="RMN7" s="0"/>
      <c r="RMO7" s="0"/>
      <c r="RMP7" s="0"/>
      <c r="RMQ7" s="0"/>
      <c r="RMR7" s="0"/>
      <c r="RMS7" s="0"/>
      <c r="RMT7" s="0"/>
      <c r="RMU7" s="0"/>
      <c r="RMV7" s="0"/>
      <c r="RMW7" s="0"/>
      <c r="RMX7" s="0"/>
      <c r="RMY7" s="0"/>
      <c r="RMZ7" s="0"/>
      <c r="RNA7" s="0"/>
      <c r="RNB7" s="0"/>
      <c r="RNC7" s="0"/>
      <c r="RND7" s="0"/>
      <c r="RNE7" s="0"/>
      <c r="RNF7" s="0"/>
      <c r="RNG7" s="0"/>
      <c r="RNH7" s="0"/>
      <c r="RNI7" s="0"/>
      <c r="RNJ7" s="0"/>
      <c r="RNK7" s="0"/>
      <c r="RNL7" s="0"/>
      <c r="RNM7" s="0"/>
      <c r="RNN7" s="0"/>
      <c r="RNO7" s="0"/>
      <c r="RNP7" s="0"/>
      <c r="RNQ7" s="0"/>
      <c r="RNR7" s="0"/>
      <c r="RNS7" s="0"/>
      <c r="RNT7" s="0"/>
      <c r="RNU7" s="0"/>
      <c r="RNV7" s="0"/>
      <c r="RNW7" s="0"/>
      <c r="RNX7" s="0"/>
      <c r="RNY7" s="0"/>
      <c r="RNZ7" s="0"/>
      <c r="ROA7" s="0"/>
      <c r="ROB7" s="0"/>
      <c r="ROC7" s="0"/>
      <c r="ROD7" s="0"/>
      <c r="ROE7" s="0"/>
      <c r="ROF7" s="0"/>
      <c r="ROG7" s="0"/>
      <c r="ROH7" s="0"/>
      <c r="ROI7" s="0"/>
      <c r="ROJ7" s="0"/>
      <c r="ROK7" s="0"/>
      <c r="ROL7" s="0"/>
      <c r="ROM7" s="0"/>
      <c r="RON7" s="0"/>
      <c r="ROO7" s="0"/>
      <c r="ROP7" s="0"/>
      <c r="ROQ7" s="0"/>
      <c r="ROR7" s="0"/>
      <c r="ROS7" s="0"/>
      <c r="ROT7" s="0"/>
      <c r="ROU7" s="0"/>
      <c r="ROV7" s="0"/>
      <c r="ROW7" s="0"/>
      <c r="ROX7" s="0"/>
      <c r="ROY7" s="0"/>
      <c r="ROZ7" s="0"/>
      <c r="RPA7" s="0"/>
      <c r="RPB7" s="0"/>
      <c r="RPC7" s="0"/>
      <c r="RPD7" s="0"/>
      <c r="RPE7" s="0"/>
      <c r="RPF7" s="0"/>
      <c r="RPG7" s="0"/>
      <c r="RPH7" s="0"/>
      <c r="RPI7" s="0"/>
      <c r="RPJ7" s="0"/>
      <c r="RPK7" s="0"/>
      <c r="RPL7" s="0"/>
      <c r="RPM7" s="0"/>
      <c r="RPN7" s="0"/>
      <c r="RPO7" s="0"/>
      <c r="RPP7" s="0"/>
      <c r="RPQ7" s="0"/>
      <c r="RPR7" s="0"/>
      <c r="RPS7" s="0"/>
      <c r="RPT7" s="0"/>
      <c r="RPU7" s="0"/>
      <c r="RPV7" s="0"/>
      <c r="RPW7" s="0"/>
      <c r="RPX7" s="0"/>
      <c r="RPY7" s="0"/>
      <c r="RPZ7" s="0"/>
      <c r="RQA7" s="0"/>
      <c r="RQB7" s="0"/>
      <c r="RQC7" s="0"/>
      <c r="RQD7" s="0"/>
      <c r="RQE7" s="0"/>
      <c r="RQF7" s="0"/>
      <c r="RQG7" s="0"/>
      <c r="RQH7" s="0"/>
      <c r="RQI7" s="0"/>
      <c r="RQJ7" s="0"/>
      <c r="RQK7" s="0"/>
      <c r="RQL7" s="0"/>
      <c r="RQM7" s="0"/>
      <c r="RQN7" s="0"/>
      <c r="RQO7" s="0"/>
      <c r="RQP7" s="0"/>
      <c r="RQQ7" s="0"/>
      <c r="RQR7" s="0"/>
      <c r="RQS7" s="0"/>
      <c r="RQT7" s="0"/>
      <c r="RQU7" s="0"/>
      <c r="RQV7" s="0"/>
      <c r="RQW7" s="0"/>
      <c r="RQX7" s="0"/>
      <c r="RQY7" s="0"/>
      <c r="RQZ7" s="0"/>
      <c r="RRA7" s="0"/>
      <c r="RRB7" s="0"/>
      <c r="RRC7" s="0"/>
      <c r="RRD7" s="0"/>
      <c r="RRE7" s="0"/>
      <c r="RRF7" s="0"/>
      <c r="RRG7" s="0"/>
      <c r="RRH7" s="0"/>
      <c r="RRI7" s="0"/>
      <c r="RRJ7" s="0"/>
      <c r="RRK7" s="0"/>
      <c r="RRL7" s="0"/>
      <c r="RRM7" s="0"/>
      <c r="RRN7" s="0"/>
      <c r="RRO7" s="0"/>
      <c r="RRP7" s="0"/>
      <c r="RRQ7" s="0"/>
      <c r="RRR7" s="0"/>
      <c r="RRS7" s="0"/>
      <c r="RRT7" s="0"/>
      <c r="RRU7" s="0"/>
      <c r="RRV7" s="0"/>
      <c r="RRW7" s="0"/>
      <c r="RRX7" s="0"/>
      <c r="RRY7" s="0"/>
      <c r="RRZ7" s="0"/>
      <c r="RSA7" s="0"/>
      <c r="RSB7" s="0"/>
      <c r="RSC7" s="0"/>
      <c r="RSD7" s="0"/>
      <c r="RSE7" s="0"/>
      <c r="RSF7" s="0"/>
      <c r="RSG7" s="0"/>
      <c r="RSH7" s="0"/>
      <c r="RSI7" s="0"/>
      <c r="RSJ7" s="0"/>
      <c r="RSK7" s="0"/>
      <c r="RSL7" s="0"/>
      <c r="RSM7" s="0"/>
      <c r="RSN7" s="0"/>
      <c r="RSO7" s="0"/>
      <c r="RSP7" s="0"/>
      <c r="RSQ7" s="0"/>
      <c r="RSR7" s="0"/>
      <c r="RSS7" s="0"/>
      <c r="RST7" s="0"/>
      <c r="RSU7" s="0"/>
      <c r="RSV7" s="0"/>
      <c r="RSW7" s="0"/>
      <c r="RSX7" s="0"/>
      <c r="RSY7" s="0"/>
      <c r="RSZ7" s="0"/>
      <c r="RTA7" s="0"/>
      <c r="RTB7" s="0"/>
      <c r="RTC7" s="0"/>
      <c r="RTD7" s="0"/>
      <c r="RTE7" s="0"/>
      <c r="RTF7" s="0"/>
      <c r="RTG7" s="0"/>
      <c r="RTH7" s="0"/>
      <c r="RTI7" s="0"/>
      <c r="RTJ7" s="0"/>
      <c r="RTK7" s="0"/>
      <c r="RTL7" s="0"/>
      <c r="RTM7" s="0"/>
      <c r="RTN7" s="0"/>
      <c r="RTO7" s="0"/>
      <c r="RTP7" s="0"/>
      <c r="RTQ7" s="0"/>
      <c r="RTR7" s="0"/>
      <c r="RTS7" s="0"/>
      <c r="RTT7" s="0"/>
      <c r="RTU7" s="0"/>
      <c r="RTV7" s="0"/>
      <c r="RTW7" s="0"/>
      <c r="RTX7" s="0"/>
      <c r="RTY7" s="0"/>
      <c r="RTZ7" s="0"/>
      <c r="RUA7" s="0"/>
      <c r="RUB7" s="0"/>
      <c r="RUC7" s="0"/>
      <c r="RUD7" s="0"/>
      <c r="RUE7" s="0"/>
      <c r="RUF7" s="0"/>
      <c r="RUG7" s="0"/>
      <c r="RUH7" s="0"/>
      <c r="RUI7" s="0"/>
      <c r="RUJ7" s="0"/>
      <c r="RUK7" s="0"/>
      <c r="RUL7" s="0"/>
      <c r="RUM7" s="0"/>
      <c r="RUN7" s="0"/>
      <c r="RUO7" s="0"/>
      <c r="RUP7" s="0"/>
      <c r="RUQ7" s="0"/>
      <c r="RUR7" s="0"/>
      <c r="RUS7" s="0"/>
      <c r="RUT7" s="0"/>
      <c r="RUU7" s="0"/>
      <c r="RUV7" s="0"/>
      <c r="RUW7" s="0"/>
      <c r="RUX7" s="0"/>
      <c r="RUY7" s="0"/>
      <c r="RUZ7" s="0"/>
      <c r="RVA7" s="0"/>
      <c r="RVB7" s="0"/>
      <c r="RVC7" s="0"/>
      <c r="RVD7" s="0"/>
      <c r="RVE7" s="0"/>
      <c r="RVF7" s="0"/>
      <c r="RVG7" s="0"/>
      <c r="RVH7" s="0"/>
      <c r="RVI7" s="0"/>
      <c r="RVJ7" s="0"/>
      <c r="RVK7" s="0"/>
      <c r="RVL7" s="0"/>
      <c r="RVM7" s="0"/>
      <c r="RVN7" s="0"/>
      <c r="RVO7" s="0"/>
      <c r="RVP7" s="0"/>
      <c r="RVQ7" s="0"/>
      <c r="RVR7" s="0"/>
      <c r="RVS7" s="0"/>
      <c r="RVT7" s="0"/>
      <c r="RVU7" s="0"/>
      <c r="RVV7" s="0"/>
      <c r="RVW7" s="0"/>
      <c r="RVX7" s="0"/>
      <c r="RVY7" s="0"/>
      <c r="RVZ7" s="0"/>
      <c r="RWA7" s="0"/>
      <c r="RWB7" s="0"/>
      <c r="RWC7" s="0"/>
      <c r="RWD7" s="0"/>
      <c r="RWE7" s="0"/>
      <c r="RWF7" s="0"/>
      <c r="RWG7" s="0"/>
      <c r="RWH7" s="0"/>
      <c r="RWI7" s="0"/>
      <c r="RWJ7" s="0"/>
      <c r="RWK7" s="0"/>
      <c r="RWL7" s="0"/>
      <c r="RWM7" s="0"/>
      <c r="RWN7" s="0"/>
      <c r="RWO7" s="0"/>
      <c r="RWP7" s="0"/>
      <c r="RWQ7" s="0"/>
      <c r="RWR7" s="0"/>
      <c r="RWS7" s="0"/>
      <c r="RWT7" s="0"/>
      <c r="RWU7" s="0"/>
      <c r="RWV7" s="0"/>
      <c r="RWW7" s="0"/>
      <c r="RWX7" s="0"/>
      <c r="RWY7" s="0"/>
      <c r="RWZ7" s="0"/>
      <c r="RXA7" s="0"/>
      <c r="RXB7" s="0"/>
      <c r="RXC7" s="0"/>
      <c r="RXD7" s="0"/>
      <c r="RXE7" s="0"/>
      <c r="RXF7" s="0"/>
      <c r="RXG7" s="0"/>
      <c r="RXH7" s="0"/>
      <c r="RXI7" s="0"/>
      <c r="RXJ7" s="0"/>
      <c r="RXK7" s="0"/>
      <c r="RXL7" s="0"/>
      <c r="RXM7" s="0"/>
      <c r="RXN7" s="0"/>
      <c r="RXO7" s="0"/>
      <c r="RXP7" s="0"/>
      <c r="RXQ7" s="0"/>
      <c r="RXR7" s="0"/>
      <c r="RXS7" s="0"/>
      <c r="RXT7" s="0"/>
      <c r="RXU7" s="0"/>
      <c r="RXV7" s="0"/>
      <c r="RXW7" s="0"/>
      <c r="RXX7" s="0"/>
      <c r="RXY7" s="0"/>
      <c r="RXZ7" s="0"/>
      <c r="RYA7" s="0"/>
      <c r="RYB7" s="0"/>
      <c r="RYC7" s="0"/>
      <c r="RYD7" s="0"/>
      <c r="RYE7" s="0"/>
      <c r="RYF7" s="0"/>
      <c r="RYG7" s="0"/>
      <c r="RYH7" s="0"/>
      <c r="RYI7" s="0"/>
      <c r="RYJ7" s="0"/>
      <c r="RYK7" s="0"/>
      <c r="RYL7" s="0"/>
      <c r="RYM7" s="0"/>
      <c r="RYN7" s="0"/>
      <c r="RYO7" s="0"/>
      <c r="RYP7" s="0"/>
      <c r="RYQ7" s="0"/>
      <c r="RYR7" s="0"/>
      <c r="RYS7" s="0"/>
      <c r="RYT7" s="0"/>
      <c r="RYU7" s="0"/>
      <c r="RYV7" s="0"/>
      <c r="RYW7" s="0"/>
      <c r="RYX7" s="0"/>
      <c r="RYY7" s="0"/>
      <c r="RYZ7" s="0"/>
      <c r="RZA7" s="0"/>
      <c r="RZB7" s="0"/>
      <c r="RZC7" s="0"/>
      <c r="RZD7" s="0"/>
      <c r="RZE7" s="0"/>
      <c r="RZF7" s="0"/>
      <c r="RZG7" s="0"/>
      <c r="RZH7" s="0"/>
      <c r="RZI7" s="0"/>
      <c r="RZJ7" s="0"/>
      <c r="RZK7" s="0"/>
      <c r="RZL7" s="0"/>
      <c r="RZM7" s="0"/>
      <c r="RZN7" s="0"/>
      <c r="RZO7" s="0"/>
      <c r="RZP7" s="0"/>
      <c r="RZQ7" s="0"/>
      <c r="RZR7" s="0"/>
      <c r="RZS7" s="0"/>
      <c r="RZT7" s="0"/>
      <c r="RZU7" s="0"/>
      <c r="RZV7" s="0"/>
      <c r="RZW7" s="0"/>
      <c r="RZX7" s="0"/>
      <c r="RZY7" s="0"/>
      <c r="RZZ7" s="0"/>
      <c r="SAA7" s="0"/>
      <c r="SAB7" s="0"/>
      <c r="SAC7" s="0"/>
      <c r="SAD7" s="0"/>
      <c r="SAE7" s="0"/>
      <c r="SAF7" s="0"/>
      <c r="SAG7" s="0"/>
      <c r="SAH7" s="0"/>
      <c r="SAI7" s="0"/>
      <c r="SAJ7" s="0"/>
      <c r="SAK7" s="0"/>
      <c r="SAL7" s="0"/>
      <c r="SAM7" s="0"/>
      <c r="SAN7" s="0"/>
      <c r="SAO7" s="0"/>
      <c r="SAP7" s="0"/>
      <c r="SAQ7" s="0"/>
      <c r="SAR7" s="0"/>
      <c r="SAS7" s="0"/>
      <c r="SAT7" s="0"/>
      <c r="SAU7" s="0"/>
      <c r="SAV7" s="0"/>
      <c r="SAW7" s="0"/>
      <c r="SAX7" s="0"/>
      <c r="SAY7" s="0"/>
      <c r="SAZ7" s="0"/>
      <c r="SBA7" s="0"/>
      <c r="SBB7" s="0"/>
      <c r="SBC7" s="0"/>
      <c r="SBD7" s="0"/>
      <c r="SBE7" s="0"/>
      <c r="SBF7" s="0"/>
      <c r="SBG7" s="0"/>
      <c r="SBH7" s="0"/>
      <c r="SBI7" s="0"/>
      <c r="SBJ7" s="0"/>
      <c r="SBK7" s="0"/>
      <c r="SBL7" s="0"/>
      <c r="SBM7" s="0"/>
      <c r="SBN7" s="0"/>
      <c r="SBO7" s="0"/>
      <c r="SBP7" s="0"/>
      <c r="SBQ7" s="0"/>
      <c r="SBR7" s="0"/>
      <c r="SBS7" s="0"/>
      <c r="SBT7" s="0"/>
      <c r="SBU7" s="0"/>
      <c r="SBV7" s="0"/>
      <c r="SBW7" s="0"/>
      <c r="SBX7" s="0"/>
      <c r="SBY7" s="0"/>
      <c r="SBZ7" s="0"/>
      <c r="SCA7" s="0"/>
      <c r="SCB7" s="0"/>
      <c r="SCC7" s="0"/>
      <c r="SCD7" s="0"/>
      <c r="SCE7" s="0"/>
      <c r="SCF7" s="0"/>
      <c r="SCG7" s="0"/>
      <c r="SCH7" s="0"/>
      <c r="SCI7" s="0"/>
      <c r="SCJ7" s="0"/>
      <c r="SCK7" s="0"/>
      <c r="SCL7" s="0"/>
      <c r="SCM7" s="0"/>
      <c r="SCN7" s="0"/>
      <c r="SCO7" s="0"/>
      <c r="SCP7" s="0"/>
      <c r="SCQ7" s="0"/>
      <c r="SCR7" s="0"/>
      <c r="SCS7" s="0"/>
      <c r="SCT7" s="0"/>
      <c r="SCU7" s="0"/>
      <c r="SCV7" s="0"/>
      <c r="SCW7" s="0"/>
      <c r="SCX7" s="0"/>
      <c r="SCY7" s="0"/>
      <c r="SCZ7" s="0"/>
      <c r="SDA7" s="0"/>
      <c r="SDB7" s="0"/>
      <c r="SDC7" s="0"/>
      <c r="SDD7" s="0"/>
      <c r="SDE7" s="0"/>
      <c r="SDF7" s="0"/>
      <c r="SDG7" s="0"/>
      <c r="SDH7" s="0"/>
      <c r="SDI7" s="0"/>
      <c r="SDJ7" s="0"/>
      <c r="SDK7" s="0"/>
      <c r="SDL7" s="0"/>
      <c r="SDM7" s="0"/>
      <c r="SDN7" s="0"/>
      <c r="SDO7" s="0"/>
      <c r="SDP7" s="0"/>
      <c r="SDQ7" s="0"/>
      <c r="SDR7" s="0"/>
      <c r="SDS7" s="0"/>
      <c r="SDT7" s="0"/>
      <c r="SDU7" s="0"/>
      <c r="SDV7" s="0"/>
      <c r="SDW7" s="0"/>
      <c r="SDX7" s="0"/>
      <c r="SDY7" s="0"/>
      <c r="SDZ7" s="0"/>
      <c r="SEA7" s="0"/>
      <c r="SEB7" s="0"/>
      <c r="SEC7" s="0"/>
      <c r="SED7" s="0"/>
      <c r="SEE7" s="0"/>
      <c r="SEF7" s="0"/>
      <c r="SEG7" s="0"/>
      <c r="SEH7" s="0"/>
      <c r="SEI7" s="0"/>
      <c r="SEJ7" s="0"/>
      <c r="SEK7" s="0"/>
      <c r="SEL7" s="0"/>
      <c r="SEM7" s="0"/>
      <c r="SEN7" s="0"/>
      <c r="SEO7" s="0"/>
      <c r="SEP7" s="0"/>
      <c r="SEQ7" s="0"/>
      <c r="SER7" s="0"/>
      <c r="SES7" s="0"/>
      <c r="SET7" s="0"/>
      <c r="SEU7" s="0"/>
      <c r="SEV7" s="0"/>
      <c r="SEW7" s="0"/>
      <c r="SEX7" s="0"/>
      <c r="SEY7" s="0"/>
      <c r="SEZ7" s="0"/>
      <c r="SFA7" s="0"/>
      <c r="SFB7" s="0"/>
      <c r="SFC7" s="0"/>
      <c r="SFD7" s="0"/>
      <c r="SFE7" s="0"/>
      <c r="SFF7" s="0"/>
      <c r="SFG7" s="0"/>
      <c r="SFH7" s="0"/>
      <c r="SFI7" s="0"/>
      <c r="SFJ7" s="0"/>
      <c r="SFK7" s="0"/>
      <c r="SFL7" s="0"/>
      <c r="SFM7" s="0"/>
      <c r="SFN7" s="0"/>
      <c r="SFO7" s="0"/>
      <c r="SFP7" s="0"/>
      <c r="SFQ7" s="0"/>
      <c r="SFR7" s="0"/>
      <c r="SFS7" s="0"/>
      <c r="SFT7" s="0"/>
      <c r="SFU7" s="0"/>
      <c r="SFV7" s="0"/>
      <c r="SFW7" s="0"/>
      <c r="SFX7" s="0"/>
      <c r="SFY7" s="0"/>
      <c r="SFZ7" s="0"/>
      <c r="SGA7" s="0"/>
      <c r="SGB7" s="0"/>
      <c r="SGC7" s="0"/>
      <c r="SGD7" s="0"/>
      <c r="SGE7" s="0"/>
      <c r="SGF7" s="0"/>
      <c r="SGG7" s="0"/>
      <c r="SGH7" s="0"/>
      <c r="SGI7" s="0"/>
      <c r="SGJ7" s="0"/>
      <c r="SGK7" s="0"/>
      <c r="SGL7" s="0"/>
      <c r="SGM7" s="0"/>
      <c r="SGN7" s="0"/>
      <c r="SGO7" s="0"/>
      <c r="SGP7" s="0"/>
      <c r="SGQ7" s="0"/>
      <c r="SGR7" s="0"/>
      <c r="SGS7" s="0"/>
      <c r="SGT7" s="0"/>
      <c r="SGU7" s="0"/>
      <c r="SGV7" s="0"/>
      <c r="SGW7" s="0"/>
      <c r="SGX7" s="0"/>
      <c r="SGY7" s="0"/>
      <c r="SGZ7" s="0"/>
      <c r="SHA7" s="0"/>
      <c r="SHB7" s="0"/>
      <c r="SHC7" s="0"/>
      <c r="SHD7" s="0"/>
      <c r="SHE7" s="0"/>
      <c r="SHF7" s="0"/>
      <c r="SHG7" s="0"/>
      <c r="SHH7" s="0"/>
      <c r="SHI7" s="0"/>
      <c r="SHJ7" s="0"/>
      <c r="SHK7" s="0"/>
      <c r="SHL7" s="0"/>
      <c r="SHM7" s="0"/>
      <c r="SHN7" s="0"/>
      <c r="SHO7" s="0"/>
      <c r="SHP7" s="0"/>
      <c r="SHQ7" s="0"/>
      <c r="SHR7" s="0"/>
      <c r="SHS7" s="0"/>
      <c r="SHT7" s="0"/>
      <c r="SHU7" s="0"/>
      <c r="SHV7" s="0"/>
      <c r="SHW7" s="0"/>
      <c r="SHX7" s="0"/>
      <c r="SHY7" s="0"/>
      <c r="SHZ7" s="0"/>
      <c r="SIA7" s="0"/>
      <c r="SIB7" s="0"/>
      <c r="SIC7" s="0"/>
      <c r="SID7" s="0"/>
      <c r="SIE7" s="0"/>
      <c r="SIF7" s="0"/>
      <c r="SIG7" s="0"/>
      <c r="SIH7" s="0"/>
      <c r="SII7" s="0"/>
      <c r="SIJ7" s="0"/>
      <c r="SIK7" s="0"/>
      <c r="SIL7" s="0"/>
      <c r="SIM7" s="0"/>
      <c r="SIN7" s="0"/>
      <c r="SIO7" s="0"/>
      <c r="SIP7" s="0"/>
      <c r="SIQ7" s="0"/>
      <c r="SIR7" s="0"/>
      <c r="SIS7" s="0"/>
      <c r="SIT7" s="0"/>
      <c r="SIU7" s="0"/>
      <c r="SIV7" s="0"/>
      <c r="SIW7" s="0"/>
      <c r="SIX7" s="0"/>
      <c r="SIY7" s="0"/>
      <c r="SIZ7" s="0"/>
      <c r="SJA7" s="0"/>
      <c r="SJB7" s="0"/>
      <c r="SJC7" s="0"/>
      <c r="SJD7" s="0"/>
      <c r="SJE7" s="0"/>
      <c r="SJF7" s="0"/>
      <c r="SJG7" s="0"/>
      <c r="SJH7" s="0"/>
      <c r="SJI7" s="0"/>
      <c r="SJJ7" s="0"/>
      <c r="SJK7" s="0"/>
      <c r="SJL7" s="0"/>
      <c r="SJM7" s="0"/>
      <c r="SJN7" s="0"/>
      <c r="SJO7" s="0"/>
      <c r="SJP7" s="0"/>
      <c r="SJQ7" s="0"/>
      <c r="SJR7" s="0"/>
      <c r="SJS7" s="0"/>
      <c r="SJT7" s="0"/>
      <c r="SJU7" s="0"/>
      <c r="SJV7" s="0"/>
      <c r="SJW7" s="0"/>
      <c r="SJX7" s="0"/>
      <c r="SJY7" s="0"/>
      <c r="SJZ7" s="0"/>
      <c r="SKA7" s="0"/>
      <c r="SKB7" s="0"/>
      <c r="SKC7" s="0"/>
      <c r="SKD7" s="0"/>
      <c r="SKE7" s="0"/>
      <c r="SKF7" s="0"/>
      <c r="SKG7" s="0"/>
      <c r="SKH7" s="0"/>
      <c r="SKI7" s="0"/>
      <c r="SKJ7" s="0"/>
      <c r="SKK7" s="0"/>
      <c r="SKL7" s="0"/>
      <c r="SKM7" s="0"/>
      <c r="SKN7" s="0"/>
      <c r="SKO7" s="0"/>
      <c r="SKP7" s="0"/>
      <c r="SKQ7" s="0"/>
      <c r="SKR7" s="0"/>
      <c r="SKS7" s="0"/>
      <c r="SKT7" s="0"/>
      <c r="SKU7" s="0"/>
      <c r="SKV7" s="0"/>
      <c r="SKW7" s="0"/>
      <c r="SKX7" s="0"/>
      <c r="SKY7" s="0"/>
      <c r="SKZ7" s="0"/>
      <c r="SLA7" s="0"/>
      <c r="SLB7" s="0"/>
      <c r="SLC7" s="0"/>
      <c r="SLD7" s="0"/>
      <c r="SLE7" s="0"/>
      <c r="SLF7" s="0"/>
      <c r="SLG7" s="0"/>
      <c r="SLH7" s="0"/>
      <c r="SLI7" s="0"/>
      <c r="SLJ7" s="0"/>
      <c r="SLK7" s="0"/>
      <c r="SLL7" s="0"/>
      <c r="SLM7" s="0"/>
      <c r="SLN7" s="0"/>
      <c r="SLO7" s="0"/>
      <c r="SLP7" s="0"/>
      <c r="SLQ7" s="0"/>
      <c r="SLR7" s="0"/>
      <c r="SLS7" s="0"/>
      <c r="SLT7" s="0"/>
      <c r="SLU7" s="0"/>
      <c r="SLV7" s="0"/>
      <c r="SLW7" s="0"/>
      <c r="SLX7" s="0"/>
      <c r="SLY7" s="0"/>
      <c r="SLZ7" s="0"/>
      <c r="SMA7" s="0"/>
      <c r="SMB7" s="0"/>
      <c r="SMC7" s="0"/>
      <c r="SMD7" s="0"/>
      <c r="SME7" s="0"/>
      <c r="SMF7" s="0"/>
      <c r="SMG7" s="0"/>
      <c r="SMH7" s="0"/>
      <c r="SMI7" s="0"/>
      <c r="SMJ7" s="0"/>
      <c r="SMK7" s="0"/>
      <c r="SML7" s="0"/>
      <c r="SMM7" s="0"/>
      <c r="SMN7" s="0"/>
      <c r="SMO7" s="0"/>
      <c r="SMP7" s="0"/>
      <c r="SMQ7" s="0"/>
      <c r="SMR7" s="0"/>
      <c r="SMS7" s="0"/>
      <c r="SMT7" s="0"/>
      <c r="SMU7" s="0"/>
      <c r="SMV7" s="0"/>
      <c r="SMW7" s="0"/>
      <c r="SMX7" s="0"/>
      <c r="SMY7" s="0"/>
      <c r="SMZ7" s="0"/>
      <c r="SNA7" s="0"/>
      <c r="SNB7" s="0"/>
      <c r="SNC7" s="0"/>
      <c r="SND7" s="0"/>
      <c r="SNE7" s="0"/>
      <c r="SNF7" s="0"/>
      <c r="SNG7" s="0"/>
      <c r="SNH7" s="0"/>
      <c r="SNI7" s="0"/>
      <c r="SNJ7" s="0"/>
      <c r="SNK7" s="0"/>
      <c r="SNL7" s="0"/>
      <c r="SNM7" s="0"/>
      <c r="SNN7" s="0"/>
      <c r="SNO7" s="0"/>
      <c r="SNP7" s="0"/>
      <c r="SNQ7" s="0"/>
      <c r="SNR7" s="0"/>
      <c r="SNS7" s="0"/>
      <c r="SNT7" s="0"/>
      <c r="SNU7" s="0"/>
      <c r="SNV7" s="0"/>
      <c r="SNW7" s="0"/>
      <c r="SNX7" s="0"/>
      <c r="SNY7" s="0"/>
      <c r="SNZ7" s="0"/>
      <c r="SOA7" s="0"/>
      <c r="SOB7" s="0"/>
      <c r="SOC7" s="0"/>
      <c r="SOD7" s="0"/>
      <c r="SOE7" s="0"/>
      <c r="SOF7" s="0"/>
      <c r="SOG7" s="0"/>
      <c r="SOH7" s="0"/>
      <c r="SOI7" s="0"/>
      <c r="SOJ7" s="0"/>
      <c r="SOK7" s="0"/>
      <c r="SOL7" s="0"/>
      <c r="SOM7" s="0"/>
      <c r="SON7" s="0"/>
      <c r="SOO7" s="0"/>
      <c r="SOP7" s="0"/>
      <c r="SOQ7" s="0"/>
      <c r="SOR7" s="0"/>
      <c r="SOS7" s="0"/>
      <c r="SOT7" s="0"/>
      <c r="SOU7" s="0"/>
      <c r="SOV7" s="0"/>
      <c r="SOW7" s="0"/>
      <c r="SOX7" s="0"/>
      <c r="SOY7" s="0"/>
      <c r="SOZ7" s="0"/>
      <c r="SPA7" s="0"/>
      <c r="SPB7" s="0"/>
      <c r="SPC7" s="0"/>
      <c r="SPD7" s="0"/>
      <c r="SPE7" s="0"/>
      <c r="SPF7" s="0"/>
      <c r="SPG7" s="0"/>
      <c r="SPH7" s="0"/>
      <c r="SPI7" s="0"/>
      <c r="SPJ7" s="0"/>
      <c r="SPK7" s="0"/>
      <c r="SPL7" s="0"/>
      <c r="SPM7" s="0"/>
      <c r="SPN7" s="0"/>
      <c r="SPO7" s="0"/>
      <c r="SPP7" s="0"/>
      <c r="SPQ7" s="0"/>
      <c r="SPR7" s="0"/>
      <c r="SPS7" s="0"/>
      <c r="SPT7" s="0"/>
      <c r="SPU7" s="0"/>
      <c r="SPV7" s="0"/>
      <c r="SPW7" s="0"/>
      <c r="SPX7" s="0"/>
      <c r="SPY7" s="0"/>
      <c r="SPZ7" s="0"/>
      <c r="SQA7" s="0"/>
      <c r="SQB7" s="0"/>
      <c r="SQC7" s="0"/>
      <c r="SQD7" s="0"/>
      <c r="SQE7" s="0"/>
      <c r="SQF7" s="0"/>
      <c r="SQG7" s="0"/>
      <c r="SQH7" s="0"/>
      <c r="SQI7" s="0"/>
      <c r="SQJ7" s="0"/>
      <c r="SQK7" s="0"/>
      <c r="SQL7" s="0"/>
      <c r="SQM7" s="0"/>
      <c r="SQN7" s="0"/>
      <c r="SQO7" s="0"/>
      <c r="SQP7" s="0"/>
      <c r="SQQ7" s="0"/>
      <c r="SQR7" s="0"/>
      <c r="SQS7" s="0"/>
      <c r="SQT7" s="0"/>
      <c r="SQU7" s="0"/>
      <c r="SQV7" s="0"/>
      <c r="SQW7" s="0"/>
      <c r="SQX7" s="0"/>
      <c r="SQY7" s="0"/>
      <c r="SQZ7" s="0"/>
      <c r="SRA7" s="0"/>
      <c r="SRB7" s="0"/>
      <c r="SRC7" s="0"/>
      <c r="SRD7" s="0"/>
      <c r="SRE7" s="0"/>
      <c r="SRF7" s="0"/>
      <c r="SRG7" s="0"/>
      <c r="SRH7" s="0"/>
      <c r="SRI7" s="0"/>
      <c r="SRJ7" s="0"/>
      <c r="SRK7" s="0"/>
      <c r="SRL7" s="0"/>
      <c r="SRM7" s="0"/>
      <c r="SRN7" s="0"/>
      <c r="SRO7" s="0"/>
      <c r="SRP7" s="0"/>
      <c r="SRQ7" s="0"/>
      <c r="SRR7" s="0"/>
      <c r="SRS7" s="0"/>
      <c r="SRT7" s="0"/>
      <c r="SRU7" s="0"/>
      <c r="SRV7" s="0"/>
      <c r="SRW7" s="0"/>
      <c r="SRX7" s="0"/>
      <c r="SRY7" s="0"/>
      <c r="SRZ7" s="0"/>
      <c r="SSA7" s="0"/>
      <c r="SSB7" s="0"/>
      <c r="SSC7" s="0"/>
      <c r="SSD7" s="0"/>
      <c r="SSE7" s="0"/>
      <c r="SSF7" s="0"/>
      <c r="SSG7" s="0"/>
      <c r="SSH7" s="0"/>
      <c r="SSI7" s="0"/>
      <c r="SSJ7" s="0"/>
      <c r="SSK7" s="0"/>
      <c r="SSL7" s="0"/>
      <c r="SSM7" s="0"/>
      <c r="SSN7" s="0"/>
      <c r="SSO7" s="0"/>
      <c r="SSP7" s="0"/>
      <c r="SSQ7" s="0"/>
      <c r="SSR7" s="0"/>
      <c r="SSS7" s="0"/>
      <c r="SST7" s="0"/>
      <c r="SSU7" s="0"/>
      <c r="SSV7" s="0"/>
      <c r="SSW7" s="0"/>
      <c r="SSX7" s="0"/>
      <c r="SSY7" s="0"/>
      <c r="SSZ7" s="0"/>
      <c r="STA7" s="0"/>
      <c r="STB7" s="0"/>
      <c r="STC7" s="0"/>
      <c r="STD7" s="0"/>
      <c r="STE7" s="0"/>
      <c r="STF7" s="0"/>
      <c r="STG7" s="0"/>
      <c r="STH7" s="0"/>
      <c r="STI7" s="0"/>
      <c r="STJ7" s="0"/>
      <c r="STK7" s="0"/>
      <c r="STL7" s="0"/>
      <c r="STM7" s="0"/>
      <c r="STN7" s="0"/>
      <c r="STO7" s="0"/>
      <c r="STP7" s="0"/>
      <c r="STQ7" s="0"/>
      <c r="STR7" s="0"/>
      <c r="STS7" s="0"/>
      <c r="STT7" s="0"/>
      <c r="STU7" s="0"/>
      <c r="STV7" s="0"/>
      <c r="STW7" s="0"/>
      <c r="STX7" s="0"/>
      <c r="STY7" s="0"/>
      <c r="STZ7" s="0"/>
      <c r="SUA7" s="0"/>
      <c r="SUB7" s="0"/>
      <c r="SUC7" s="0"/>
      <c r="SUD7" s="0"/>
      <c r="SUE7" s="0"/>
      <c r="SUF7" s="0"/>
      <c r="SUG7" s="0"/>
      <c r="SUH7" s="0"/>
      <c r="SUI7" s="0"/>
      <c r="SUJ7" s="0"/>
      <c r="SUK7" s="0"/>
      <c r="SUL7" s="0"/>
      <c r="SUM7" s="0"/>
      <c r="SUN7" s="0"/>
      <c r="SUO7" s="0"/>
      <c r="SUP7" s="0"/>
      <c r="SUQ7" s="0"/>
      <c r="SUR7" s="0"/>
      <c r="SUS7" s="0"/>
      <c r="SUT7" s="0"/>
      <c r="SUU7" s="0"/>
      <c r="SUV7" s="0"/>
      <c r="SUW7" s="0"/>
      <c r="SUX7" s="0"/>
      <c r="SUY7" s="0"/>
      <c r="SUZ7" s="0"/>
      <c r="SVA7" s="0"/>
      <c r="SVB7" s="0"/>
      <c r="SVC7" s="0"/>
      <c r="SVD7" s="0"/>
      <c r="SVE7" s="0"/>
      <c r="SVF7" s="0"/>
      <c r="SVG7" s="0"/>
      <c r="SVH7" s="0"/>
      <c r="SVI7" s="0"/>
      <c r="SVJ7" s="0"/>
      <c r="SVK7" s="0"/>
      <c r="SVL7" s="0"/>
      <c r="SVM7" s="0"/>
      <c r="SVN7" s="0"/>
      <c r="SVO7" s="0"/>
      <c r="SVP7" s="0"/>
      <c r="SVQ7" s="0"/>
      <c r="SVR7" s="0"/>
      <c r="SVS7" s="0"/>
      <c r="SVT7" s="0"/>
      <c r="SVU7" s="0"/>
      <c r="SVV7" s="0"/>
      <c r="SVW7" s="0"/>
      <c r="SVX7" s="0"/>
      <c r="SVY7" s="0"/>
      <c r="SVZ7" s="0"/>
      <c r="SWA7" s="0"/>
      <c r="SWB7" s="0"/>
      <c r="SWC7" s="0"/>
      <c r="SWD7" s="0"/>
      <c r="SWE7" s="0"/>
      <c r="SWF7" s="0"/>
      <c r="SWG7" s="0"/>
      <c r="SWH7" s="0"/>
      <c r="SWI7" s="0"/>
      <c r="SWJ7" s="0"/>
      <c r="SWK7" s="0"/>
      <c r="SWL7" s="0"/>
      <c r="SWM7" s="0"/>
      <c r="SWN7" s="0"/>
      <c r="SWO7" s="0"/>
      <c r="SWP7" s="0"/>
      <c r="SWQ7" s="0"/>
      <c r="SWR7" s="0"/>
      <c r="SWS7" s="0"/>
      <c r="SWT7" s="0"/>
      <c r="SWU7" s="0"/>
      <c r="SWV7" s="0"/>
      <c r="SWW7" s="0"/>
      <c r="SWX7" s="0"/>
      <c r="SWY7" s="0"/>
      <c r="SWZ7" s="0"/>
      <c r="SXA7" s="0"/>
      <c r="SXB7" s="0"/>
      <c r="SXC7" s="0"/>
      <c r="SXD7" s="0"/>
      <c r="SXE7" s="0"/>
      <c r="SXF7" s="0"/>
      <c r="SXG7" s="0"/>
      <c r="SXH7" s="0"/>
      <c r="SXI7" s="0"/>
      <c r="SXJ7" s="0"/>
      <c r="SXK7" s="0"/>
      <c r="SXL7" s="0"/>
      <c r="SXM7" s="0"/>
      <c r="SXN7" s="0"/>
      <c r="SXO7" s="0"/>
      <c r="SXP7" s="0"/>
      <c r="SXQ7" s="0"/>
      <c r="SXR7" s="0"/>
      <c r="SXS7" s="0"/>
      <c r="SXT7" s="0"/>
      <c r="SXU7" s="0"/>
      <c r="SXV7" s="0"/>
      <c r="SXW7" s="0"/>
      <c r="SXX7" s="0"/>
      <c r="SXY7" s="0"/>
      <c r="SXZ7" s="0"/>
      <c r="SYA7" s="0"/>
      <c r="SYB7" s="0"/>
      <c r="SYC7" s="0"/>
      <c r="SYD7" s="0"/>
      <c r="SYE7" s="0"/>
      <c r="SYF7" s="0"/>
      <c r="SYG7" s="0"/>
      <c r="SYH7" s="0"/>
      <c r="SYI7" s="0"/>
      <c r="SYJ7" s="0"/>
      <c r="SYK7" s="0"/>
      <c r="SYL7" s="0"/>
      <c r="SYM7" s="0"/>
      <c r="SYN7" s="0"/>
      <c r="SYO7" s="0"/>
      <c r="SYP7" s="0"/>
      <c r="SYQ7" s="0"/>
      <c r="SYR7" s="0"/>
      <c r="SYS7" s="0"/>
      <c r="SYT7" s="0"/>
      <c r="SYU7" s="0"/>
      <c r="SYV7" s="0"/>
      <c r="SYW7" s="0"/>
      <c r="SYX7" s="0"/>
      <c r="SYY7" s="0"/>
      <c r="SYZ7" s="0"/>
      <c r="SZA7" s="0"/>
      <c r="SZB7" s="0"/>
      <c r="SZC7" s="0"/>
      <c r="SZD7" s="0"/>
      <c r="SZE7" s="0"/>
      <c r="SZF7" s="0"/>
      <c r="SZG7" s="0"/>
      <c r="SZH7" s="0"/>
      <c r="SZI7" s="0"/>
      <c r="SZJ7" s="0"/>
      <c r="SZK7" s="0"/>
      <c r="SZL7" s="0"/>
      <c r="SZM7" s="0"/>
      <c r="SZN7" s="0"/>
      <c r="SZO7" s="0"/>
      <c r="SZP7" s="0"/>
      <c r="SZQ7" s="0"/>
      <c r="SZR7" s="0"/>
      <c r="SZS7" s="0"/>
      <c r="SZT7" s="0"/>
      <c r="SZU7" s="0"/>
      <c r="SZV7" s="0"/>
      <c r="SZW7" s="0"/>
      <c r="SZX7" s="0"/>
      <c r="SZY7" s="0"/>
      <c r="SZZ7" s="0"/>
      <c r="TAA7" s="0"/>
      <c r="TAB7" s="0"/>
      <c r="TAC7" s="0"/>
      <c r="TAD7" s="0"/>
      <c r="TAE7" s="0"/>
      <c r="TAF7" s="0"/>
      <c r="TAG7" s="0"/>
      <c r="TAH7" s="0"/>
      <c r="TAI7" s="0"/>
      <c r="TAJ7" s="0"/>
      <c r="TAK7" s="0"/>
      <c r="TAL7" s="0"/>
      <c r="TAM7" s="0"/>
      <c r="TAN7" s="0"/>
      <c r="TAO7" s="0"/>
      <c r="TAP7" s="0"/>
      <c r="TAQ7" s="0"/>
      <c r="TAR7" s="0"/>
      <c r="TAS7" s="0"/>
      <c r="TAT7" s="0"/>
      <c r="TAU7" s="0"/>
      <c r="TAV7" s="0"/>
      <c r="TAW7" s="0"/>
      <c r="TAX7" s="0"/>
      <c r="TAY7" s="0"/>
      <c r="TAZ7" s="0"/>
      <c r="TBA7" s="0"/>
      <c r="TBB7" s="0"/>
      <c r="TBC7" s="0"/>
      <c r="TBD7" s="0"/>
      <c r="TBE7" s="0"/>
      <c r="TBF7" s="0"/>
      <c r="TBG7" s="0"/>
      <c r="TBH7" s="0"/>
      <c r="TBI7" s="0"/>
      <c r="TBJ7" s="0"/>
      <c r="TBK7" s="0"/>
      <c r="TBL7" s="0"/>
      <c r="TBM7" s="0"/>
      <c r="TBN7" s="0"/>
      <c r="TBO7" s="0"/>
      <c r="TBP7" s="0"/>
      <c r="TBQ7" s="0"/>
      <c r="TBR7" s="0"/>
      <c r="TBS7" s="0"/>
      <c r="TBT7" s="0"/>
      <c r="TBU7" s="0"/>
      <c r="TBV7" s="0"/>
      <c r="TBW7" s="0"/>
      <c r="TBX7" s="0"/>
      <c r="TBY7" s="0"/>
      <c r="TBZ7" s="0"/>
      <c r="TCA7" s="0"/>
      <c r="TCB7" s="0"/>
      <c r="TCC7" s="0"/>
      <c r="TCD7" s="0"/>
      <c r="TCE7" s="0"/>
      <c r="TCF7" s="0"/>
      <c r="TCG7" s="0"/>
      <c r="TCH7" s="0"/>
      <c r="TCI7" s="0"/>
      <c r="TCJ7" s="0"/>
      <c r="TCK7" s="0"/>
      <c r="TCL7" s="0"/>
      <c r="TCM7" s="0"/>
      <c r="TCN7" s="0"/>
      <c r="TCO7" s="0"/>
      <c r="TCP7" s="0"/>
      <c r="TCQ7" s="0"/>
      <c r="TCR7" s="0"/>
      <c r="TCS7" s="0"/>
      <c r="TCT7" s="0"/>
      <c r="TCU7" s="0"/>
      <c r="TCV7" s="0"/>
      <c r="TCW7" s="0"/>
      <c r="TCX7" s="0"/>
      <c r="TCY7" s="0"/>
      <c r="TCZ7" s="0"/>
      <c r="TDA7" s="0"/>
      <c r="TDB7" s="0"/>
      <c r="TDC7" s="0"/>
      <c r="TDD7" s="0"/>
      <c r="TDE7" s="0"/>
      <c r="TDF7" s="0"/>
      <c r="TDG7" s="0"/>
      <c r="TDH7" s="0"/>
      <c r="TDI7" s="0"/>
      <c r="TDJ7" s="0"/>
      <c r="TDK7" s="0"/>
      <c r="TDL7" s="0"/>
      <c r="TDM7" s="0"/>
      <c r="TDN7" s="0"/>
      <c r="TDO7" s="0"/>
      <c r="TDP7" s="0"/>
      <c r="TDQ7" s="0"/>
      <c r="TDR7" s="0"/>
      <c r="TDS7" s="0"/>
      <c r="TDT7" s="0"/>
      <c r="TDU7" s="0"/>
      <c r="TDV7" s="0"/>
      <c r="TDW7" s="0"/>
      <c r="TDX7" s="0"/>
      <c r="TDY7" s="0"/>
      <c r="TDZ7" s="0"/>
      <c r="TEA7" s="0"/>
      <c r="TEB7" s="0"/>
      <c r="TEC7" s="0"/>
      <c r="TED7" s="0"/>
      <c r="TEE7" s="0"/>
      <c r="TEF7" s="0"/>
      <c r="TEG7" s="0"/>
      <c r="TEH7" s="0"/>
      <c r="TEI7" s="0"/>
      <c r="TEJ7" s="0"/>
      <c r="TEK7" s="0"/>
      <c r="TEL7" s="0"/>
      <c r="TEM7" s="0"/>
      <c r="TEN7" s="0"/>
      <c r="TEO7" s="0"/>
      <c r="TEP7" s="0"/>
      <c r="TEQ7" s="0"/>
      <c r="TER7" s="0"/>
      <c r="TES7" s="0"/>
      <c r="TET7" s="0"/>
      <c r="TEU7" s="0"/>
      <c r="TEV7" s="0"/>
      <c r="TEW7" s="0"/>
      <c r="TEX7" s="0"/>
      <c r="TEY7" s="0"/>
      <c r="TEZ7" s="0"/>
      <c r="TFA7" s="0"/>
      <c r="TFB7" s="0"/>
      <c r="TFC7" s="0"/>
      <c r="TFD7" s="0"/>
      <c r="TFE7" s="0"/>
      <c r="TFF7" s="0"/>
      <c r="TFG7" s="0"/>
      <c r="TFH7" s="0"/>
      <c r="TFI7" s="0"/>
      <c r="TFJ7" s="0"/>
      <c r="TFK7" s="0"/>
      <c r="TFL7" s="0"/>
      <c r="TFM7" s="0"/>
      <c r="TFN7" s="0"/>
      <c r="TFO7" s="0"/>
      <c r="TFP7" s="0"/>
      <c r="TFQ7" s="0"/>
      <c r="TFR7" s="0"/>
      <c r="TFS7" s="0"/>
      <c r="TFT7" s="0"/>
      <c r="TFU7" s="0"/>
      <c r="TFV7" s="0"/>
      <c r="TFW7" s="0"/>
      <c r="TFX7" s="0"/>
      <c r="TFY7" s="0"/>
      <c r="TFZ7" s="0"/>
      <c r="TGA7" s="0"/>
      <c r="TGB7" s="0"/>
      <c r="TGC7" s="0"/>
      <c r="TGD7" s="0"/>
      <c r="TGE7" s="0"/>
      <c r="TGF7" s="0"/>
      <c r="TGG7" s="0"/>
      <c r="TGH7" s="0"/>
      <c r="TGI7" s="0"/>
      <c r="TGJ7" s="0"/>
      <c r="TGK7" s="0"/>
      <c r="TGL7" s="0"/>
      <c r="TGM7" s="0"/>
      <c r="TGN7" s="0"/>
      <c r="TGO7" s="0"/>
      <c r="TGP7" s="0"/>
      <c r="TGQ7" s="0"/>
      <c r="TGR7" s="0"/>
      <c r="TGS7" s="0"/>
      <c r="TGT7" s="0"/>
      <c r="TGU7" s="0"/>
      <c r="TGV7" s="0"/>
      <c r="TGW7" s="0"/>
      <c r="TGX7" s="0"/>
      <c r="TGY7" s="0"/>
      <c r="TGZ7" s="0"/>
      <c r="THA7" s="0"/>
      <c r="THB7" s="0"/>
      <c r="THC7" s="0"/>
      <c r="THD7" s="0"/>
      <c r="THE7" s="0"/>
      <c r="THF7" s="0"/>
      <c r="THG7" s="0"/>
      <c r="THH7" s="0"/>
      <c r="THI7" s="0"/>
      <c r="THJ7" s="0"/>
      <c r="THK7" s="0"/>
      <c r="THL7" s="0"/>
      <c r="THM7" s="0"/>
      <c r="THN7" s="0"/>
      <c r="THO7" s="0"/>
      <c r="THP7" s="0"/>
      <c r="THQ7" s="0"/>
      <c r="THR7" s="0"/>
      <c r="THS7" s="0"/>
      <c r="THT7" s="0"/>
      <c r="THU7" s="0"/>
      <c r="THV7" s="0"/>
      <c r="THW7" s="0"/>
      <c r="THX7" s="0"/>
      <c r="THY7" s="0"/>
      <c r="THZ7" s="0"/>
      <c r="TIA7" s="0"/>
      <c r="TIB7" s="0"/>
      <c r="TIC7" s="0"/>
      <c r="TID7" s="0"/>
      <c r="TIE7" s="0"/>
      <c r="TIF7" s="0"/>
      <c r="TIG7" s="0"/>
      <c r="TIH7" s="0"/>
      <c r="TII7" s="0"/>
      <c r="TIJ7" s="0"/>
      <c r="TIK7" s="0"/>
      <c r="TIL7" s="0"/>
      <c r="TIM7" s="0"/>
      <c r="TIN7" s="0"/>
      <c r="TIO7" s="0"/>
      <c r="TIP7" s="0"/>
      <c r="TIQ7" s="0"/>
      <c r="TIR7" s="0"/>
      <c r="TIS7" s="0"/>
      <c r="TIT7" s="0"/>
      <c r="TIU7" s="0"/>
      <c r="TIV7" s="0"/>
      <c r="TIW7" s="0"/>
      <c r="TIX7" s="0"/>
      <c r="TIY7" s="0"/>
      <c r="TIZ7" s="0"/>
      <c r="TJA7" s="0"/>
      <c r="TJB7" s="0"/>
      <c r="TJC7" s="0"/>
      <c r="TJD7" s="0"/>
      <c r="TJE7" s="0"/>
      <c r="TJF7" s="0"/>
      <c r="TJG7" s="0"/>
      <c r="TJH7" s="0"/>
      <c r="TJI7" s="0"/>
      <c r="TJJ7" s="0"/>
      <c r="TJK7" s="0"/>
      <c r="TJL7" s="0"/>
      <c r="TJM7" s="0"/>
      <c r="TJN7" s="0"/>
      <c r="TJO7" s="0"/>
      <c r="TJP7" s="0"/>
      <c r="TJQ7" s="0"/>
      <c r="TJR7" s="0"/>
      <c r="TJS7" s="0"/>
      <c r="TJT7" s="0"/>
      <c r="TJU7" s="0"/>
      <c r="TJV7" s="0"/>
      <c r="TJW7" s="0"/>
      <c r="TJX7" s="0"/>
      <c r="TJY7" s="0"/>
      <c r="TJZ7" s="0"/>
      <c r="TKA7" s="0"/>
      <c r="TKB7" s="0"/>
      <c r="TKC7" s="0"/>
      <c r="TKD7" s="0"/>
      <c r="TKE7" s="0"/>
      <c r="TKF7" s="0"/>
      <c r="TKG7" s="0"/>
      <c r="TKH7" s="0"/>
      <c r="TKI7" s="0"/>
      <c r="TKJ7" s="0"/>
      <c r="TKK7" s="0"/>
      <c r="TKL7" s="0"/>
      <c r="TKM7" s="0"/>
      <c r="TKN7" s="0"/>
      <c r="TKO7" s="0"/>
      <c r="TKP7" s="0"/>
      <c r="TKQ7" s="0"/>
      <c r="TKR7" s="0"/>
      <c r="TKS7" s="0"/>
      <c r="TKT7" s="0"/>
      <c r="TKU7" s="0"/>
      <c r="TKV7" s="0"/>
      <c r="TKW7" s="0"/>
      <c r="TKX7" s="0"/>
      <c r="TKY7" s="0"/>
      <c r="TKZ7" s="0"/>
      <c r="TLA7" s="0"/>
      <c r="TLB7" s="0"/>
      <c r="TLC7" s="0"/>
      <c r="TLD7" s="0"/>
      <c r="TLE7" s="0"/>
      <c r="TLF7" s="0"/>
      <c r="TLG7" s="0"/>
      <c r="TLH7" s="0"/>
      <c r="TLI7" s="0"/>
      <c r="TLJ7" s="0"/>
      <c r="TLK7" s="0"/>
      <c r="TLL7" s="0"/>
      <c r="TLM7" s="0"/>
      <c r="TLN7" s="0"/>
      <c r="TLO7" s="0"/>
      <c r="TLP7" s="0"/>
      <c r="TLQ7" s="0"/>
      <c r="TLR7" s="0"/>
      <c r="TLS7" s="0"/>
      <c r="TLT7" s="0"/>
      <c r="TLU7" s="0"/>
      <c r="TLV7" s="0"/>
      <c r="TLW7" s="0"/>
      <c r="TLX7" s="0"/>
      <c r="TLY7" s="0"/>
      <c r="TLZ7" s="0"/>
      <c r="TMA7" s="0"/>
      <c r="TMB7" s="0"/>
      <c r="TMC7" s="0"/>
      <c r="TMD7" s="0"/>
      <c r="TME7" s="0"/>
      <c r="TMF7" s="0"/>
      <c r="TMG7" s="0"/>
      <c r="TMH7" s="0"/>
      <c r="TMI7" s="0"/>
      <c r="TMJ7" s="0"/>
      <c r="TMK7" s="0"/>
      <c r="TML7" s="0"/>
      <c r="TMM7" s="0"/>
      <c r="TMN7" s="0"/>
      <c r="TMO7" s="0"/>
      <c r="TMP7" s="0"/>
      <c r="TMQ7" s="0"/>
      <c r="TMR7" s="0"/>
      <c r="TMS7" s="0"/>
      <c r="TMT7" s="0"/>
      <c r="TMU7" s="0"/>
      <c r="TMV7" s="0"/>
      <c r="TMW7" s="0"/>
      <c r="TMX7" s="0"/>
      <c r="TMY7" s="0"/>
      <c r="TMZ7" s="0"/>
      <c r="TNA7" s="0"/>
      <c r="TNB7" s="0"/>
      <c r="TNC7" s="0"/>
      <c r="TND7" s="0"/>
      <c r="TNE7" s="0"/>
      <c r="TNF7" s="0"/>
      <c r="TNG7" s="0"/>
      <c r="TNH7" s="0"/>
      <c r="TNI7" s="0"/>
      <c r="TNJ7" s="0"/>
      <c r="TNK7" s="0"/>
      <c r="TNL7" s="0"/>
      <c r="TNM7" s="0"/>
      <c r="TNN7" s="0"/>
      <c r="TNO7" s="0"/>
      <c r="TNP7" s="0"/>
      <c r="TNQ7" s="0"/>
      <c r="TNR7" s="0"/>
      <c r="TNS7" s="0"/>
      <c r="TNT7" s="0"/>
      <c r="TNU7" s="0"/>
      <c r="TNV7" s="0"/>
      <c r="TNW7" s="0"/>
      <c r="TNX7" s="0"/>
      <c r="TNY7" s="0"/>
      <c r="TNZ7" s="0"/>
      <c r="TOA7" s="0"/>
      <c r="TOB7" s="0"/>
      <c r="TOC7" s="0"/>
      <c r="TOD7" s="0"/>
      <c r="TOE7" s="0"/>
      <c r="TOF7" s="0"/>
      <c r="TOG7" s="0"/>
      <c r="TOH7" s="0"/>
      <c r="TOI7" s="0"/>
      <c r="TOJ7" s="0"/>
      <c r="TOK7" s="0"/>
      <c r="TOL7" s="0"/>
      <c r="TOM7" s="0"/>
      <c r="TON7" s="0"/>
      <c r="TOO7" s="0"/>
      <c r="TOP7" s="0"/>
      <c r="TOQ7" s="0"/>
      <c r="TOR7" s="0"/>
      <c r="TOS7" s="0"/>
      <c r="TOT7" s="0"/>
      <c r="TOU7" s="0"/>
      <c r="TOV7" s="0"/>
      <c r="TOW7" s="0"/>
      <c r="TOX7" s="0"/>
      <c r="TOY7" s="0"/>
      <c r="TOZ7" s="0"/>
      <c r="TPA7" s="0"/>
      <c r="TPB7" s="0"/>
      <c r="TPC7" s="0"/>
      <c r="TPD7" s="0"/>
      <c r="TPE7" s="0"/>
      <c r="TPF7" s="0"/>
      <c r="TPG7" s="0"/>
      <c r="TPH7" s="0"/>
      <c r="TPI7" s="0"/>
      <c r="TPJ7" s="0"/>
      <c r="TPK7" s="0"/>
      <c r="TPL7" s="0"/>
      <c r="TPM7" s="0"/>
      <c r="TPN7" s="0"/>
      <c r="TPO7" s="0"/>
      <c r="TPP7" s="0"/>
      <c r="TPQ7" s="0"/>
      <c r="TPR7" s="0"/>
      <c r="TPS7" s="0"/>
      <c r="TPT7" s="0"/>
      <c r="TPU7" s="0"/>
      <c r="TPV7" s="0"/>
      <c r="TPW7" s="0"/>
      <c r="TPX7" s="0"/>
      <c r="TPY7" s="0"/>
      <c r="TPZ7" s="0"/>
      <c r="TQA7" s="0"/>
      <c r="TQB7" s="0"/>
      <c r="TQC7" s="0"/>
      <c r="TQD7" s="0"/>
      <c r="TQE7" s="0"/>
      <c r="TQF7" s="0"/>
      <c r="TQG7" s="0"/>
      <c r="TQH7" s="0"/>
      <c r="TQI7" s="0"/>
      <c r="TQJ7" s="0"/>
      <c r="TQK7" s="0"/>
      <c r="TQL7" s="0"/>
      <c r="TQM7" s="0"/>
      <c r="TQN7" s="0"/>
      <c r="TQO7" s="0"/>
      <c r="TQP7" s="0"/>
      <c r="TQQ7" s="0"/>
      <c r="TQR7" s="0"/>
      <c r="TQS7" s="0"/>
      <c r="TQT7" s="0"/>
      <c r="TQU7" s="0"/>
      <c r="TQV7" s="0"/>
      <c r="TQW7" s="0"/>
      <c r="TQX7" s="0"/>
      <c r="TQY7" s="0"/>
      <c r="TQZ7" s="0"/>
      <c r="TRA7" s="0"/>
      <c r="TRB7" s="0"/>
      <c r="TRC7" s="0"/>
      <c r="TRD7" s="0"/>
      <c r="TRE7" s="0"/>
      <c r="TRF7" s="0"/>
      <c r="TRG7" s="0"/>
      <c r="TRH7" s="0"/>
      <c r="TRI7" s="0"/>
      <c r="TRJ7" s="0"/>
      <c r="TRK7" s="0"/>
      <c r="TRL7" s="0"/>
      <c r="TRM7" s="0"/>
      <c r="TRN7" s="0"/>
      <c r="TRO7" s="0"/>
      <c r="TRP7" s="0"/>
      <c r="TRQ7" s="0"/>
      <c r="TRR7" s="0"/>
      <c r="TRS7" s="0"/>
      <c r="TRT7" s="0"/>
      <c r="TRU7" s="0"/>
      <c r="TRV7" s="0"/>
      <c r="TRW7" s="0"/>
      <c r="TRX7" s="0"/>
      <c r="TRY7" s="0"/>
      <c r="TRZ7" s="0"/>
      <c r="TSA7" s="0"/>
      <c r="TSB7" s="0"/>
      <c r="TSC7" s="0"/>
      <c r="TSD7" s="0"/>
      <c r="TSE7" s="0"/>
      <c r="TSF7" s="0"/>
      <c r="TSG7" s="0"/>
      <c r="TSH7" s="0"/>
      <c r="TSI7" s="0"/>
      <c r="TSJ7" s="0"/>
      <c r="TSK7" s="0"/>
      <c r="TSL7" s="0"/>
      <c r="TSM7" s="0"/>
      <c r="TSN7" s="0"/>
      <c r="TSO7" s="0"/>
      <c r="TSP7" s="0"/>
      <c r="TSQ7" s="0"/>
      <c r="TSR7" s="0"/>
      <c r="TSS7" s="0"/>
      <c r="TST7" s="0"/>
      <c r="TSU7" s="0"/>
      <c r="TSV7" s="0"/>
      <c r="TSW7" s="0"/>
      <c r="TSX7" s="0"/>
      <c r="TSY7" s="0"/>
      <c r="TSZ7" s="0"/>
      <c r="TTA7" s="0"/>
      <c r="TTB7" s="0"/>
      <c r="TTC7" s="0"/>
      <c r="TTD7" s="0"/>
      <c r="TTE7" s="0"/>
      <c r="TTF7" s="0"/>
      <c r="TTG7" s="0"/>
      <c r="TTH7" s="0"/>
      <c r="TTI7" s="0"/>
      <c r="TTJ7" s="0"/>
      <c r="TTK7" s="0"/>
      <c r="TTL7" s="0"/>
      <c r="TTM7" s="0"/>
      <c r="TTN7" s="0"/>
      <c r="TTO7" s="0"/>
      <c r="TTP7" s="0"/>
      <c r="TTQ7" s="0"/>
      <c r="TTR7" s="0"/>
      <c r="TTS7" s="0"/>
      <c r="TTT7" s="0"/>
      <c r="TTU7" s="0"/>
      <c r="TTV7" s="0"/>
      <c r="TTW7" s="0"/>
      <c r="TTX7" s="0"/>
      <c r="TTY7" s="0"/>
      <c r="TTZ7" s="0"/>
      <c r="TUA7" s="0"/>
      <c r="TUB7" s="0"/>
      <c r="TUC7" s="0"/>
      <c r="TUD7" s="0"/>
      <c r="TUE7" s="0"/>
      <c r="TUF7" s="0"/>
      <c r="TUG7" s="0"/>
      <c r="TUH7" s="0"/>
      <c r="TUI7" s="0"/>
      <c r="TUJ7" s="0"/>
      <c r="TUK7" s="0"/>
      <c r="TUL7" s="0"/>
      <c r="TUM7" s="0"/>
      <c r="TUN7" s="0"/>
      <c r="TUO7" s="0"/>
      <c r="TUP7" s="0"/>
      <c r="TUQ7" s="0"/>
      <c r="TUR7" s="0"/>
      <c r="TUS7" s="0"/>
      <c r="TUT7" s="0"/>
      <c r="TUU7" s="0"/>
      <c r="TUV7" s="0"/>
      <c r="TUW7" s="0"/>
      <c r="TUX7" s="0"/>
      <c r="TUY7" s="0"/>
      <c r="TUZ7" s="0"/>
      <c r="TVA7" s="0"/>
      <c r="TVB7" s="0"/>
      <c r="TVC7" s="0"/>
      <c r="TVD7" s="0"/>
      <c r="TVE7" s="0"/>
      <c r="TVF7" s="0"/>
      <c r="TVG7" s="0"/>
      <c r="TVH7" s="0"/>
      <c r="TVI7" s="0"/>
      <c r="TVJ7" s="0"/>
      <c r="TVK7" s="0"/>
      <c r="TVL7" s="0"/>
      <c r="TVM7" s="0"/>
      <c r="TVN7" s="0"/>
      <c r="TVO7" s="0"/>
      <c r="TVP7" s="0"/>
      <c r="TVQ7" s="0"/>
      <c r="TVR7" s="0"/>
      <c r="TVS7" s="0"/>
      <c r="TVT7" s="0"/>
      <c r="TVU7" s="0"/>
      <c r="TVV7" s="0"/>
      <c r="TVW7" s="0"/>
      <c r="TVX7" s="0"/>
      <c r="TVY7" s="0"/>
      <c r="TVZ7" s="0"/>
      <c r="TWA7" s="0"/>
      <c r="TWB7" s="0"/>
      <c r="TWC7" s="0"/>
      <c r="TWD7" s="0"/>
      <c r="TWE7" s="0"/>
      <c r="TWF7" s="0"/>
      <c r="TWG7" s="0"/>
      <c r="TWH7" s="0"/>
      <c r="TWI7" s="0"/>
      <c r="TWJ7" s="0"/>
      <c r="TWK7" s="0"/>
      <c r="TWL7" s="0"/>
      <c r="TWM7" s="0"/>
      <c r="TWN7" s="0"/>
      <c r="TWO7" s="0"/>
      <c r="TWP7" s="0"/>
      <c r="TWQ7" s="0"/>
      <c r="TWR7" s="0"/>
      <c r="TWS7" s="0"/>
      <c r="TWT7" s="0"/>
      <c r="TWU7" s="0"/>
      <c r="TWV7" s="0"/>
      <c r="TWW7" s="0"/>
      <c r="TWX7" s="0"/>
      <c r="TWY7" s="0"/>
      <c r="TWZ7" s="0"/>
      <c r="TXA7" s="0"/>
      <c r="TXB7" s="0"/>
      <c r="TXC7" s="0"/>
      <c r="TXD7" s="0"/>
      <c r="TXE7" s="0"/>
      <c r="TXF7" s="0"/>
      <c r="TXG7" s="0"/>
      <c r="TXH7" s="0"/>
      <c r="TXI7" s="0"/>
      <c r="TXJ7" s="0"/>
      <c r="TXK7" s="0"/>
      <c r="TXL7" s="0"/>
      <c r="TXM7" s="0"/>
      <c r="TXN7" s="0"/>
      <c r="TXO7" s="0"/>
      <c r="TXP7" s="0"/>
      <c r="TXQ7" s="0"/>
      <c r="TXR7" s="0"/>
      <c r="TXS7" s="0"/>
      <c r="TXT7" s="0"/>
      <c r="TXU7" s="0"/>
      <c r="TXV7" s="0"/>
      <c r="TXW7" s="0"/>
      <c r="TXX7" s="0"/>
      <c r="TXY7" s="0"/>
      <c r="TXZ7" s="0"/>
      <c r="TYA7" s="0"/>
      <c r="TYB7" s="0"/>
      <c r="TYC7" s="0"/>
      <c r="TYD7" s="0"/>
      <c r="TYE7" s="0"/>
      <c r="TYF7" s="0"/>
      <c r="TYG7" s="0"/>
      <c r="TYH7" s="0"/>
      <c r="TYI7" s="0"/>
      <c r="TYJ7" s="0"/>
      <c r="TYK7" s="0"/>
      <c r="TYL7" s="0"/>
      <c r="TYM7" s="0"/>
      <c r="TYN7" s="0"/>
      <c r="TYO7" s="0"/>
      <c r="TYP7" s="0"/>
      <c r="TYQ7" s="0"/>
      <c r="TYR7" s="0"/>
      <c r="TYS7" s="0"/>
      <c r="TYT7" s="0"/>
      <c r="TYU7" s="0"/>
      <c r="TYV7" s="0"/>
      <c r="TYW7" s="0"/>
      <c r="TYX7" s="0"/>
      <c r="TYY7" s="0"/>
      <c r="TYZ7" s="0"/>
      <c r="TZA7" s="0"/>
      <c r="TZB7" s="0"/>
      <c r="TZC7" s="0"/>
      <c r="TZD7" s="0"/>
      <c r="TZE7" s="0"/>
      <c r="TZF7" s="0"/>
      <c r="TZG7" s="0"/>
      <c r="TZH7" s="0"/>
      <c r="TZI7" s="0"/>
      <c r="TZJ7" s="0"/>
      <c r="TZK7" s="0"/>
      <c r="TZL7" s="0"/>
      <c r="TZM7" s="0"/>
      <c r="TZN7" s="0"/>
      <c r="TZO7" s="0"/>
      <c r="TZP7" s="0"/>
      <c r="TZQ7" s="0"/>
      <c r="TZR7" s="0"/>
      <c r="TZS7" s="0"/>
      <c r="TZT7" s="0"/>
      <c r="TZU7" s="0"/>
      <c r="TZV7" s="0"/>
      <c r="TZW7" s="0"/>
      <c r="TZX7" s="0"/>
      <c r="TZY7" s="0"/>
      <c r="TZZ7" s="0"/>
      <c r="UAA7" s="0"/>
      <c r="UAB7" s="0"/>
      <c r="UAC7" s="0"/>
      <c r="UAD7" s="0"/>
      <c r="UAE7" s="0"/>
      <c r="UAF7" s="0"/>
      <c r="UAG7" s="0"/>
      <c r="UAH7" s="0"/>
      <c r="UAI7" s="0"/>
      <c r="UAJ7" s="0"/>
      <c r="UAK7" s="0"/>
      <c r="UAL7" s="0"/>
      <c r="UAM7" s="0"/>
      <c r="UAN7" s="0"/>
      <c r="UAO7" s="0"/>
      <c r="UAP7" s="0"/>
      <c r="UAQ7" s="0"/>
      <c r="UAR7" s="0"/>
      <c r="UAS7" s="0"/>
      <c r="UAT7" s="0"/>
      <c r="UAU7" s="0"/>
      <c r="UAV7" s="0"/>
      <c r="UAW7" s="0"/>
      <c r="UAX7" s="0"/>
      <c r="UAY7" s="0"/>
      <c r="UAZ7" s="0"/>
      <c r="UBA7" s="0"/>
      <c r="UBB7" s="0"/>
      <c r="UBC7" s="0"/>
      <c r="UBD7" s="0"/>
      <c r="UBE7" s="0"/>
      <c r="UBF7" s="0"/>
      <c r="UBG7" s="0"/>
      <c r="UBH7" s="0"/>
      <c r="UBI7" s="0"/>
      <c r="UBJ7" s="0"/>
      <c r="UBK7" s="0"/>
      <c r="UBL7" s="0"/>
      <c r="UBM7" s="0"/>
      <c r="UBN7" s="0"/>
      <c r="UBO7" s="0"/>
      <c r="UBP7" s="0"/>
      <c r="UBQ7" s="0"/>
      <c r="UBR7" s="0"/>
      <c r="UBS7" s="0"/>
      <c r="UBT7" s="0"/>
      <c r="UBU7" s="0"/>
      <c r="UBV7" s="0"/>
      <c r="UBW7" s="0"/>
      <c r="UBX7" s="0"/>
      <c r="UBY7" s="0"/>
      <c r="UBZ7" s="0"/>
      <c r="UCA7" s="0"/>
      <c r="UCB7" s="0"/>
      <c r="UCC7" s="0"/>
      <c r="UCD7" s="0"/>
      <c r="UCE7" s="0"/>
      <c r="UCF7" s="0"/>
      <c r="UCG7" s="0"/>
      <c r="UCH7" s="0"/>
      <c r="UCI7" s="0"/>
      <c r="UCJ7" s="0"/>
      <c r="UCK7" s="0"/>
      <c r="UCL7" s="0"/>
      <c r="UCM7" s="0"/>
      <c r="UCN7" s="0"/>
      <c r="UCO7" s="0"/>
      <c r="UCP7" s="0"/>
      <c r="UCQ7" s="0"/>
      <c r="UCR7" s="0"/>
      <c r="UCS7" s="0"/>
      <c r="UCT7" s="0"/>
      <c r="UCU7" s="0"/>
      <c r="UCV7" s="0"/>
      <c r="UCW7" s="0"/>
      <c r="UCX7" s="0"/>
      <c r="UCY7" s="0"/>
      <c r="UCZ7" s="0"/>
      <c r="UDA7" s="0"/>
      <c r="UDB7" s="0"/>
      <c r="UDC7" s="0"/>
      <c r="UDD7" s="0"/>
      <c r="UDE7" s="0"/>
      <c r="UDF7" s="0"/>
      <c r="UDG7" s="0"/>
      <c r="UDH7" s="0"/>
      <c r="UDI7" s="0"/>
      <c r="UDJ7" s="0"/>
      <c r="UDK7" s="0"/>
      <c r="UDL7" s="0"/>
      <c r="UDM7" s="0"/>
      <c r="UDN7" s="0"/>
      <c r="UDO7" s="0"/>
      <c r="UDP7" s="0"/>
      <c r="UDQ7" s="0"/>
      <c r="UDR7" s="0"/>
      <c r="UDS7" s="0"/>
      <c r="UDT7" s="0"/>
      <c r="UDU7" s="0"/>
      <c r="UDV7" s="0"/>
      <c r="UDW7" s="0"/>
      <c r="UDX7" s="0"/>
      <c r="UDY7" s="0"/>
      <c r="UDZ7" s="0"/>
      <c r="UEA7" s="0"/>
      <c r="UEB7" s="0"/>
      <c r="UEC7" s="0"/>
      <c r="UED7" s="0"/>
      <c r="UEE7" s="0"/>
      <c r="UEF7" s="0"/>
      <c r="UEG7" s="0"/>
      <c r="UEH7" s="0"/>
      <c r="UEI7" s="0"/>
      <c r="UEJ7" s="0"/>
      <c r="UEK7" s="0"/>
      <c r="UEL7" s="0"/>
      <c r="UEM7" s="0"/>
      <c r="UEN7" s="0"/>
      <c r="UEO7" s="0"/>
      <c r="UEP7" s="0"/>
      <c r="UEQ7" s="0"/>
      <c r="UER7" s="0"/>
      <c r="UES7" s="0"/>
      <c r="UET7" s="0"/>
      <c r="UEU7" s="0"/>
      <c r="UEV7" s="0"/>
      <c r="UEW7" s="0"/>
      <c r="UEX7" s="0"/>
      <c r="UEY7" s="0"/>
      <c r="UEZ7" s="0"/>
      <c r="UFA7" s="0"/>
      <c r="UFB7" s="0"/>
      <c r="UFC7" s="0"/>
      <c r="UFD7" s="0"/>
      <c r="UFE7" s="0"/>
      <c r="UFF7" s="0"/>
      <c r="UFG7" s="0"/>
      <c r="UFH7" s="0"/>
      <c r="UFI7" s="0"/>
      <c r="UFJ7" s="0"/>
      <c r="UFK7" s="0"/>
      <c r="UFL7" s="0"/>
      <c r="UFM7" s="0"/>
      <c r="UFN7" s="0"/>
      <c r="UFO7" s="0"/>
      <c r="UFP7" s="0"/>
      <c r="UFQ7" s="0"/>
      <c r="UFR7" s="0"/>
      <c r="UFS7" s="0"/>
      <c r="UFT7" s="0"/>
      <c r="UFU7" s="0"/>
      <c r="UFV7" s="0"/>
      <c r="UFW7" s="0"/>
      <c r="UFX7" s="0"/>
      <c r="UFY7" s="0"/>
      <c r="UFZ7" s="0"/>
      <c r="UGA7" s="0"/>
      <c r="UGB7" s="0"/>
      <c r="UGC7" s="0"/>
      <c r="UGD7" s="0"/>
      <c r="UGE7" s="0"/>
      <c r="UGF7" s="0"/>
      <c r="UGG7" s="0"/>
      <c r="UGH7" s="0"/>
      <c r="UGI7" s="0"/>
      <c r="UGJ7" s="0"/>
      <c r="UGK7" s="0"/>
      <c r="UGL7" s="0"/>
      <c r="UGM7" s="0"/>
      <c r="UGN7" s="0"/>
      <c r="UGO7" s="0"/>
      <c r="UGP7" s="0"/>
      <c r="UGQ7" s="0"/>
      <c r="UGR7" s="0"/>
      <c r="UGS7" s="0"/>
      <c r="UGT7" s="0"/>
      <c r="UGU7" s="0"/>
      <c r="UGV7" s="0"/>
      <c r="UGW7" s="0"/>
      <c r="UGX7" s="0"/>
      <c r="UGY7" s="0"/>
      <c r="UGZ7" s="0"/>
      <c r="UHA7" s="0"/>
      <c r="UHB7" s="0"/>
      <c r="UHC7" s="0"/>
      <c r="UHD7" s="0"/>
      <c r="UHE7" s="0"/>
      <c r="UHF7" s="0"/>
      <c r="UHG7" s="0"/>
      <c r="UHH7" s="0"/>
      <c r="UHI7" s="0"/>
      <c r="UHJ7" s="0"/>
      <c r="UHK7" s="0"/>
      <c r="UHL7" s="0"/>
      <c r="UHM7" s="0"/>
      <c r="UHN7" s="0"/>
      <c r="UHO7" s="0"/>
      <c r="UHP7" s="0"/>
      <c r="UHQ7" s="0"/>
      <c r="UHR7" s="0"/>
      <c r="UHS7" s="0"/>
      <c r="UHT7" s="0"/>
      <c r="UHU7" s="0"/>
      <c r="UHV7" s="0"/>
      <c r="UHW7" s="0"/>
      <c r="UHX7" s="0"/>
      <c r="UHY7" s="0"/>
      <c r="UHZ7" s="0"/>
      <c r="UIA7" s="0"/>
      <c r="UIB7" s="0"/>
      <c r="UIC7" s="0"/>
      <c r="UID7" s="0"/>
      <c r="UIE7" s="0"/>
      <c r="UIF7" s="0"/>
      <c r="UIG7" s="0"/>
      <c r="UIH7" s="0"/>
      <c r="UII7" s="0"/>
      <c r="UIJ7" s="0"/>
      <c r="UIK7" s="0"/>
      <c r="UIL7" s="0"/>
      <c r="UIM7" s="0"/>
      <c r="UIN7" s="0"/>
      <c r="UIO7" s="0"/>
      <c r="UIP7" s="0"/>
      <c r="UIQ7" s="0"/>
      <c r="UIR7" s="0"/>
      <c r="UIS7" s="0"/>
      <c r="UIT7" s="0"/>
      <c r="UIU7" s="0"/>
      <c r="UIV7" s="0"/>
      <c r="UIW7" s="0"/>
      <c r="UIX7" s="0"/>
      <c r="UIY7" s="0"/>
      <c r="UIZ7" s="0"/>
      <c r="UJA7" s="0"/>
      <c r="UJB7" s="0"/>
      <c r="UJC7" s="0"/>
      <c r="UJD7" s="0"/>
      <c r="UJE7" s="0"/>
      <c r="UJF7" s="0"/>
      <c r="UJG7" s="0"/>
      <c r="UJH7" s="0"/>
      <c r="UJI7" s="0"/>
      <c r="UJJ7" s="0"/>
      <c r="UJK7" s="0"/>
      <c r="UJL7" s="0"/>
      <c r="UJM7" s="0"/>
      <c r="UJN7" s="0"/>
      <c r="UJO7" s="0"/>
      <c r="UJP7" s="0"/>
      <c r="UJQ7" s="0"/>
      <c r="UJR7" s="0"/>
      <c r="UJS7" s="0"/>
      <c r="UJT7" s="0"/>
      <c r="UJU7" s="0"/>
      <c r="UJV7" s="0"/>
      <c r="UJW7" s="0"/>
      <c r="UJX7" s="0"/>
      <c r="UJY7" s="0"/>
      <c r="UJZ7" s="0"/>
      <c r="UKA7" s="0"/>
      <c r="UKB7" s="0"/>
      <c r="UKC7" s="0"/>
      <c r="UKD7" s="0"/>
      <c r="UKE7" s="0"/>
      <c r="UKF7" s="0"/>
      <c r="UKG7" s="0"/>
      <c r="UKH7" s="0"/>
      <c r="UKI7" s="0"/>
      <c r="UKJ7" s="0"/>
      <c r="UKK7" s="0"/>
      <c r="UKL7" s="0"/>
      <c r="UKM7" s="0"/>
      <c r="UKN7" s="0"/>
      <c r="UKO7" s="0"/>
      <c r="UKP7" s="0"/>
      <c r="UKQ7" s="0"/>
      <c r="UKR7" s="0"/>
      <c r="UKS7" s="0"/>
      <c r="UKT7" s="0"/>
      <c r="UKU7" s="0"/>
      <c r="UKV7" s="0"/>
      <c r="UKW7" s="0"/>
      <c r="UKX7" s="0"/>
      <c r="UKY7" s="0"/>
      <c r="UKZ7" s="0"/>
      <c r="ULA7" s="0"/>
      <c r="ULB7" s="0"/>
      <c r="ULC7" s="0"/>
      <c r="ULD7" s="0"/>
      <c r="ULE7" s="0"/>
      <c r="ULF7" s="0"/>
      <c r="ULG7" s="0"/>
      <c r="ULH7" s="0"/>
      <c r="ULI7" s="0"/>
      <c r="ULJ7" s="0"/>
      <c r="ULK7" s="0"/>
      <c r="ULL7" s="0"/>
      <c r="ULM7" s="0"/>
      <c r="ULN7" s="0"/>
      <c r="ULO7" s="0"/>
      <c r="ULP7" s="0"/>
      <c r="ULQ7" s="0"/>
      <c r="ULR7" s="0"/>
      <c r="ULS7" s="0"/>
      <c r="ULT7" s="0"/>
      <c r="ULU7" s="0"/>
      <c r="ULV7" s="0"/>
      <c r="ULW7" s="0"/>
      <c r="ULX7" s="0"/>
      <c r="ULY7" s="0"/>
      <c r="ULZ7" s="0"/>
      <c r="UMA7" s="0"/>
      <c r="UMB7" s="0"/>
      <c r="UMC7" s="0"/>
      <c r="UMD7" s="0"/>
      <c r="UME7" s="0"/>
      <c r="UMF7" s="0"/>
      <c r="UMG7" s="0"/>
      <c r="UMH7" s="0"/>
      <c r="UMI7" s="0"/>
      <c r="UMJ7" s="0"/>
      <c r="UMK7" s="0"/>
      <c r="UML7" s="0"/>
      <c r="UMM7" s="0"/>
      <c r="UMN7" s="0"/>
      <c r="UMO7" s="0"/>
      <c r="UMP7" s="0"/>
      <c r="UMQ7" s="0"/>
      <c r="UMR7" s="0"/>
      <c r="UMS7" s="0"/>
      <c r="UMT7" s="0"/>
      <c r="UMU7" s="0"/>
      <c r="UMV7" s="0"/>
      <c r="UMW7" s="0"/>
      <c r="UMX7" s="0"/>
      <c r="UMY7" s="0"/>
      <c r="UMZ7" s="0"/>
      <c r="UNA7" s="0"/>
      <c r="UNB7" s="0"/>
      <c r="UNC7" s="0"/>
      <c r="UND7" s="0"/>
      <c r="UNE7" s="0"/>
      <c r="UNF7" s="0"/>
      <c r="UNG7" s="0"/>
      <c r="UNH7" s="0"/>
      <c r="UNI7" s="0"/>
      <c r="UNJ7" s="0"/>
      <c r="UNK7" s="0"/>
      <c r="UNL7" s="0"/>
      <c r="UNM7" s="0"/>
      <c r="UNN7" s="0"/>
      <c r="UNO7" s="0"/>
      <c r="UNP7" s="0"/>
      <c r="UNQ7" s="0"/>
      <c r="UNR7" s="0"/>
      <c r="UNS7" s="0"/>
      <c r="UNT7" s="0"/>
      <c r="UNU7" s="0"/>
      <c r="UNV7" s="0"/>
      <c r="UNW7" s="0"/>
      <c r="UNX7" s="0"/>
      <c r="UNY7" s="0"/>
      <c r="UNZ7" s="0"/>
      <c r="UOA7" s="0"/>
      <c r="UOB7" s="0"/>
      <c r="UOC7" s="0"/>
      <c r="UOD7" s="0"/>
      <c r="UOE7" s="0"/>
      <c r="UOF7" s="0"/>
      <c r="UOG7" s="0"/>
      <c r="UOH7" s="0"/>
      <c r="UOI7" s="0"/>
      <c r="UOJ7" s="0"/>
      <c r="UOK7" s="0"/>
      <c r="UOL7" s="0"/>
      <c r="UOM7" s="0"/>
      <c r="UON7" s="0"/>
      <c r="UOO7" s="0"/>
      <c r="UOP7" s="0"/>
      <c r="UOQ7" s="0"/>
      <c r="UOR7" s="0"/>
      <c r="UOS7" s="0"/>
      <c r="UOT7" s="0"/>
      <c r="UOU7" s="0"/>
      <c r="UOV7" s="0"/>
      <c r="UOW7" s="0"/>
      <c r="UOX7" s="0"/>
      <c r="UOY7" s="0"/>
      <c r="UOZ7" s="0"/>
      <c r="UPA7" s="0"/>
      <c r="UPB7" s="0"/>
      <c r="UPC7" s="0"/>
      <c r="UPD7" s="0"/>
      <c r="UPE7" s="0"/>
      <c r="UPF7" s="0"/>
      <c r="UPG7" s="0"/>
      <c r="UPH7" s="0"/>
      <c r="UPI7" s="0"/>
      <c r="UPJ7" s="0"/>
      <c r="UPK7" s="0"/>
      <c r="UPL7" s="0"/>
      <c r="UPM7" s="0"/>
      <c r="UPN7" s="0"/>
      <c r="UPO7" s="0"/>
      <c r="UPP7" s="0"/>
      <c r="UPQ7" s="0"/>
      <c r="UPR7" s="0"/>
      <c r="UPS7" s="0"/>
      <c r="UPT7" s="0"/>
      <c r="UPU7" s="0"/>
      <c r="UPV7" s="0"/>
      <c r="UPW7" s="0"/>
      <c r="UPX7" s="0"/>
      <c r="UPY7" s="0"/>
      <c r="UPZ7" s="0"/>
      <c r="UQA7" s="0"/>
      <c r="UQB7" s="0"/>
      <c r="UQC7" s="0"/>
      <c r="UQD7" s="0"/>
      <c r="UQE7" s="0"/>
      <c r="UQF7" s="0"/>
      <c r="UQG7" s="0"/>
      <c r="UQH7" s="0"/>
      <c r="UQI7" s="0"/>
      <c r="UQJ7" s="0"/>
      <c r="UQK7" s="0"/>
      <c r="UQL7" s="0"/>
      <c r="UQM7" s="0"/>
      <c r="UQN7" s="0"/>
      <c r="UQO7" s="0"/>
      <c r="UQP7" s="0"/>
      <c r="UQQ7" s="0"/>
      <c r="UQR7" s="0"/>
      <c r="UQS7" s="0"/>
      <c r="UQT7" s="0"/>
      <c r="UQU7" s="0"/>
      <c r="UQV7" s="0"/>
      <c r="UQW7" s="0"/>
      <c r="UQX7" s="0"/>
      <c r="UQY7" s="0"/>
      <c r="UQZ7" s="0"/>
      <c r="URA7" s="0"/>
      <c r="URB7" s="0"/>
      <c r="URC7" s="0"/>
      <c r="URD7" s="0"/>
      <c r="URE7" s="0"/>
      <c r="URF7" s="0"/>
      <c r="URG7" s="0"/>
      <c r="URH7" s="0"/>
      <c r="URI7" s="0"/>
      <c r="URJ7" s="0"/>
      <c r="URK7" s="0"/>
      <c r="URL7" s="0"/>
      <c r="URM7" s="0"/>
      <c r="URN7" s="0"/>
      <c r="URO7" s="0"/>
      <c r="URP7" s="0"/>
      <c r="URQ7" s="0"/>
      <c r="URR7" s="0"/>
      <c r="URS7" s="0"/>
      <c r="URT7" s="0"/>
      <c r="URU7" s="0"/>
      <c r="URV7" s="0"/>
      <c r="URW7" s="0"/>
      <c r="URX7" s="0"/>
      <c r="URY7" s="0"/>
      <c r="URZ7" s="0"/>
      <c r="USA7" s="0"/>
      <c r="USB7" s="0"/>
      <c r="USC7" s="0"/>
      <c r="USD7" s="0"/>
      <c r="USE7" s="0"/>
      <c r="USF7" s="0"/>
      <c r="USG7" s="0"/>
      <c r="USH7" s="0"/>
      <c r="USI7" s="0"/>
      <c r="USJ7" s="0"/>
      <c r="USK7" s="0"/>
      <c r="USL7" s="0"/>
      <c r="USM7" s="0"/>
      <c r="USN7" s="0"/>
      <c r="USO7" s="0"/>
      <c r="USP7" s="0"/>
      <c r="USQ7" s="0"/>
      <c r="USR7" s="0"/>
      <c r="USS7" s="0"/>
      <c r="UST7" s="0"/>
      <c r="USU7" s="0"/>
      <c r="USV7" s="0"/>
      <c r="USW7" s="0"/>
      <c r="USX7" s="0"/>
      <c r="USY7" s="0"/>
      <c r="USZ7" s="0"/>
      <c r="UTA7" s="0"/>
      <c r="UTB7" s="0"/>
      <c r="UTC7" s="0"/>
      <c r="UTD7" s="0"/>
      <c r="UTE7" s="0"/>
      <c r="UTF7" s="0"/>
      <c r="UTG7" s="0"/>
      <c r="UTH7" s="0"/>
      <c r="UTI7" s="0"/>
      <c r="UTJ7" s="0"/>
      <c r="UTK7" s="0"/>
      <c r="UTL7" s="0"/>
      <c r="UTM7" s="0"/>
      <c r="UTN7" s="0"/>
      <c r="UTO7" s="0"/>
      <c r="UTP7" s="0"/>
      <c r="UTQ7" s="0"/>
      <c r="UTR7" s="0"/>
      <c r="UTS7" s="0"/>
      <c r="UTT7" s="0"/>
      <c r="UTU7" s="0"/>
      <c r="UTV7" s="0"/>
      <c r="UTW7" s="0"/>
      <c r="UTX7" s="0"/>
      <c r="UTY7" s="0"/>
      <c r="UTZ7" s="0"/>
      <c r="UUA7" s="0"/>
      <c r="UUB7" s="0"/>
      <c r="UUC7" s="0"/>
      <c r="UUD7" s="0"/>
      <c r="UUE7" s="0"/>
      <c r="UUF7" s="0"/>
      <c r="UUG7" s="0"/>
      <c r="UUH7" s="0"/>
      <c r="UUI7" s="0"/>
      <c r="UUJ7" s="0"/>
      <c r="UUK7" s="0"/>
      <c r="UUL7" s="0"/>
      <c r="UUM7" s="0"/>
      <c r="UUN7" s="0"/>
      <c r="UUO7" s="0"/>
      <c r="UUP7" s="0"/>
      <c r="UUQ7" s="0"/>
      <c r="UUR7" s="0"/>
      <c r="UUS7" s="0"/>
      <c r="UUT7" s="0"/>
      <c r="UUU7" s="0"/>
      <c r="UUV7" s="0"/>
      <c r="UUW7" s="0"/>
      <c r="UUX7" s="0"/>
      <c r="UUY7" s="0"/>
      <c r="UUZ7" s="0"/>
      <c r="UVA7" s="0"/>
      <c r="UVB7" s="0"/>
      <c r="UVC7" s="0"/>
      <c r="UVD7" s="0"/>
      <c r="UVE7" s="0"/>
      <c r="UVF7" s="0"/>
      <c r="UVG7" s="0"/>
      <c r="UVH7" s="0"/>
      <c r="UVI7" s="0"/>
      <c r="UVJ7" s="0"/>
      <c r="UVK7" s="0"/>
      <c r="UVL7" s="0"/>
      <c r="UVM7" s="0"/>
      <c r="UVN7" s="0"/>
      <c r="UVO7" s="0"/>
      <c r="UVP7" s="0"/>
      <c r="UVQ7" s="0"/>
      <c r="UVR7" s="0"/>
      <c r="UVS7" s="0"/>
      <c r="UVT7" s="0"/>
      <c r="UVU7" s="0"/>
      <c r="UVV7" s="0"/>
      <c r="UVW7" s="0"/>
      <c r="UVX7" s="0"/>
      <c r="UVY7" s="0"/>
      <c r="UVZ7" s="0"/>
      <c r="UWA7" s="0"/>
      <c r="UWB7" s="0"/>
      <c r="UWC7" s="0"/>
      <c r="UWD7" s="0"/>
      <c r="UWE7" s="0"/>
      <c r="UWF7" s="0"/>
      <c r="UWG7" s="0"/>
      <c r="UWH7" s="0"/>
      <c r="UWI7" s="0"/>
      <c r="UWJ7" s="0"/>
      <c r="UWK7" s="0"/>
      <c r="UWL7" s="0"/>
      <c r="UWM7" s="0"/>
      <c r="UWN7" s="0"/>
      <c r="UWO7" s="0"/>
      <c r="UWP7" s="0"/>
      <c r="UWQ7" s="0"/>
      <c r="UWR7" s="0"/>
      <c r="UWS7" s="0"/>
      <c r="UWT7" s="0"/>
      <c r="UWU7" s="0"/>
      <c r="UWV7" s="0"/>
      <c r="UWW7" s="0"/>
      <c r="UWX7" s="0"/>
      <c r="UWY7" s="0"/>
      <c r="UWZ7" s="0"/>
      <c r="UXA7" s="0"/>
      <c r="UXB7" s="0"/>
      <c r="UXC7" s="0"/>
      <c r="UXD7" s="0"/>
      <c r="UXE7" s="0"/>
      <c r="UXF7" s="0"/>
      <c r="UXG7" s="0"/>
      <c r="UXH7" s="0"/>
      <c r="UXI7" s="0"/>
      <c r="UXJ7" s="0"/>
      <c r="UXK7" s="0"/>
      <c r="UXL7" s="0"/>
      <c r="UXM7" s="0"/>
      <c r="UXN7" s="0"/>
      <c r="UXO7" s="0"/>
      <c r="UXP7" s="0"/>
      <c r="UXQ7" s="0"/>
      <c r="UXR7" s="0"/>
      <c r="UXS7" s="0"/>
      <c r="UXT7" s="0"/>
      <c r="UXU7" s="0"/>
      <c r="UXV7" s="0"/>
      <c r="UXW7" s="0"/>
      <c r="UXX7" s="0"/>
      <c r="UXY7" s="0"/>
      <c r="UXZ7" s="0"/>
      <c r="UYA7" s="0"/>
      <c r="UYB7" s="0"/>
      <c r="UYC7" s="0"/>
      <c r="UYD7" s="0"/>
      <c r="UYE7" s="0"/>
      <c r="UYF7" s="0"/>
      <c r="UYG7" s="0"/>
      <c r="UYH7" s="0"/>
      <c r="UYI7" s="0"/>
      <c r="UYJ7" s="0"/>
      <c r="UYK7" s="0"/>
      <c r="UYL7" s="0"/>
      <c r="UYM7" s="0"/>
      <c r="UYN7" s="0"/>
      <c r="UYO7" s="0"/>
      <c r="UYP7" s="0"/>
      <c r="UYQ7" s="0"/>
      <c r="UYR7" s="0"/>
      <c r="UYS7" s="0"/>
      <c r="UYT7" s="0"/>
      <c r="UYU7" s="0"/>
      <c r="UYV7" s="0"/>
      <c r="UYW7" s="0"/>
      <c r="UYX7" s="0"/>
      <c r="UYY7" s="0"/>
      <c r="UYZ7" s="0"/>
      <c r="UZA7" s="0"/>
      <c r="UZB7" s="0"/>
      <c r="UZC7" s="0"/>
      <c r="UZD7" s="0"/>
      <c r="UZE7" s="0"/>
      <c r="UZF7" s="0"/>
      <c r="UZG7" s="0"/>
      <c r="UZH7" s="0"/>
      <c r="UZI7" s="0"/>
      <c r="UZJ7" s="0"/>
      <c r="UZK7" s="0"/>
      <c r="UZL7" s="0"/>
      <c r="UZM7" s="0"/>
      <c r="UZN7" s="0"/>
      <c r="UZO7" s="0"/>
      <c r="UZP7" s="0"/>
      <c r="UZQ7" s="0"/>
      <c r="UZR7" s="0"/>
      <c r="UZS7" s="0"/>
      <c r="UZT7" s="0"/>
      <c r="UZU7" s="0"/>
      <c r="UZV7" s="0"/>
      <c r="UZW7" s="0"/>
      <c r="UZX7" s="0"/>
      <c r="UZY7" s="0"/>
      <c r="UZZ7" s="0"/>
      <c r="VAA7" s="0"/>
      <c r="VAB7" s="0"/>
      <c r="VAC7" s="0"/>
      <c r="VAD7" s="0"/>
      <c r="VAE7" s="0"/>
      <c r="VAF7" s="0"/>
      <c r="VAG7" s="0"/>
      <c r="VAH7" s="0"/>
      <c r="VAI7" s="0"/>
      <c r="VAJ7" s="0"/>
      <c r="VAK7" s="0"/>
      <c r="VAL7" s="0"/>
      <c r="VAM7" s="0"/>
      <c r="VAN7" s="0"/>
      <c r="VAO7" s="0"/>
      <c r="VAP7" s="0"/>
      <c r="VAQ7" s="0"/>
      <c r="VAR7" s="0"/>
      <c r="VAS7" s="0"/>
      <c r="VAT7" s="0"/>
      <c r="VAU7" s="0"/>
      <c r="VAV7" s="0"/>
      <c r="VAW7" s="0"/>
      <c r="VAX7" s="0"/>
      <c r="VAY7" s="0"/>
      <c r="VAZ7" s="0"/>
      <c r="VBA7" s="0"/>
      <c r="VBB7" s="0"/>
      <c r="VBC7" s="0"/>
      <c r="VBD7" s="0"/>
      <c r="VBE7" s="0"/>
      <c r="VBF7" s="0"/>
      <c r="VBG7" s="0"/>
      <c r="VBH7" s="0"/>
      <c r="VBI7" s="0"/>
      <c r="VBJ7" s="0"/>
      <c r="VBK7" s="0"/>
      <c r="VBL7" s="0"/>
      <c r="VBM7" s="0"/>
      <c r="VBN7" s="0"/>
      <c r="VBO7" s="0"/>
      <c r="VBP7" s="0"/>
      <c r="VBQ7" s="0"/>
      <c r="VBR7" s="0"/>
      <c r="VBS7" s="0"/>
      <c r="VBT7" s="0"/>
      <c r="VBU7" s="0"/>
      <c r="VBV7" s="0"/>
      <c r="VBW7" s="0"/>
      <c r="VBX7" s="0"/>
      <c r="VBY7" s="0"/>
      <c r="VBZ7" s="0"/>
      <c r="VCA7" s="0"/>
      <c r="VCB7" s="0"/>
      <c r="VCC7" s="0"/>
      <c r="VCD7" s="0"/>
      <c r="VCE7" s="0"/>
      <c r="VCF7" s="0"/>
      <c r="VCG7" s="0"/>
      <c r="VCH7" s="0"/>
      <c r="VCI7" s="0"/>
      <c r="VCJ7" s="0"/>
      <c r="VCK7" s="0"/>
      <c r="VCL7" s="0"/>
      <c r="VCM7" s="0"/>
      <c r="VCN7" s="0"/>
      <c r="VCO7" s="0"/>
      <c r="VCP7" s="0"/>
      <c r="VCQ7" s="0"/>
      <c r="VCR7" s="0"/>
      <c r="VCS7" s="0"/>
      <c r="VCT7" s="0"/>
      <c r="VCU7" s="0"/>
      <c r="VCV7" s="0"/>
      <c r="VCW7" s="0"/>
      <c r="VCX7" s="0"/>
      <c r="VCY7" s="0"/>
      <c r="VCZ7" s="0"/>
      <c r="VDA7" s="0"/>
      <c r="VDB7" s="0"/>
      <c r="VDC7" s="0"/>
      <c r="VDD7" s="0"/>
      <c r="VDE7" s="0"/>
      <c r="VDF7" s="0"/>
      <c r="VDG7" s="0"/>
      <c r="VDH7" s="0"/>
      <c r="VDI7" s="0"/>
      <c r="VDJ7" s="0"/>
      <c r="VDK7" s="0"/>
      <c r="VDL7" s="0"/>
      <c r="VDM7" s="0"/>
      <c r="VDN7" s="0"/>
      <c r="VDO7" s="0"/>
      <c r="VDP7" s="0"/>
      <c r="VDQ7" s="0"/>
      <c r="VDR7" s="0"/>
      <c r="VDS7" s="0"/>
      <c r="VDT7" s="0"/>
      <c r="VDU7" s="0"/>
      <c r="VDV7" s="0"/>
      <c r="VDW7" s="0"/>
      <c r="VDX7" s="0"/>
      <c r="VDY7" s="0"/>
      <c r="VDZ7" s="0"/>
      <c r="VEA7" s="0"/>
      <c r="VEB7" s="0"/>
      <c r="VEC7" s="0"/>
      <c r="VED7" s="0"/>
      <c r="VEE7" s="0"/>
      <c r="VEF7" s="0"/>
      <c r="VEG7" s="0"/>
      <c r="VEH7" s="0"/>
      <c r="VEI7" s="0"/>
      <c r="VEJ7" s="0"/>
      <c r="VEK7" s="0"/>
      <c r="VEL7" s="0"/>
      <c r="VEM7" s="0"/>
      <c r="VEN7" s="0"/>
      <c r="VEO7" s="0"/>
      <c r="VEP7" s="0"/>
      <c r="VEQ7" s="0"/>
      <c r="VER7" s="0"/>
      <c r="VES7" s="0"/>
      <c r="VET7" s="0"/>
      <c r="VEU7" s="0"/>
      <c r="VEV7" s="0"/>
      <c r="VEW7" s="0"/>
      <c r="VEX7" s="0"/>
      <c r="VEY7" s="0"/>
      <c r="VEZ7" s="0"/>
      <c r="VFA7" s="0"/>
      <c r="VFB7" s="0"/>
      <c r="VFC7" s="0"/>
      <c r="VFD7" s="0"/>
      <c r="VFE7" s="0"/>
      <c r="VFF7" s="0"/>
      <c r="VFG7" s="0"/>
      <c r="VFH7" s="0"/>
      <c r="VFI7" s="0"/>
      <c r="VFJ7" s="0"/>
      <c r="VFK7" s="0"/>
      <c r="VFL7" s="0"/>
      <c r="VFM7" s="0"/>
      <c r="VFN7" s="0"/>
      <c r="VFO7" s="0"/>
      <c r="VFP7" s="0"/>
      <c r="VFQ7" s="0"/>
      <c r="VFR7" s="0"/>
      <c r="VFS7" s="0"/>
      <c r="VFT7" s="0"/>
      <c r="VFU7" s="0"/>
      <c r="VFV7" s="0"/>
      <c r="VFW7" s="0"/>
      <c r="VFX7" s="0"/>
      <c r="VFY7" s="0"/>
      <c r="VFZ7" s="0"/>
      <c r="VGA7" s="0"/>
      <c r="VGB7" s="0"/>
      <c r="VGC7" s="0"/>
      <c r="VGD7" s="0"/>
      <c r="VGE7" s="0"/>
      <c r="VGF7" s="0"/>
      <c r="VGG7" s="0"/>
      <c r="VGH7" s="0"/>
      <c r="VGI7" s="0"/>
      <c r="VGJ7" s="0"/>
      <c r="VGK7" s="0"/>
      <c r="VGL7" s="0"/>
      <c r="VGM7" s="0"/>
      <c r="VGN7" s="0"/>
      <c r="VGO7" s="0"/>
      <c r="VGP7" s="0"/>
      <c r="VGQ7" s="0"/>
      <c r="VGR7" s="0"/>
      <c r="VGS7" s="0"/>
      <c r="VGT7" s="0"/>
      <c r="VGU7" s="0"/>
      <c r="VGV7" s="0"/>
      <c r="VGW7" s="0"/>
      <c r="VGX7" s="0"/>
      <c r="VGY7" s="0"/>
      <c r="VGZ7" s="0"/>
      <c r="VHA7" s="0"/>
      <c r="VHB7" s="0"/>
      <c r="VHC7" s="0"/>
      <c r="VHD7" s="0"/>
      <c r="VHE7" s="0"/>
      <c r="VHF7" s="0"/>
      <c r="VHG7" s="0"/>
      <c r="VHH7" s="0"/>
      <c r="VHI7" s="0"/>
      <c r="VHJ7" s="0"/>
      <c r="VHK7" s="0"/>
      <c r="VHL7" s="0"/>
      <c r="VHM7" s="0"/>
      <c r="VHN7" s="0"/>
      <c r="VHO7" s="0"/>
      <c r="VHP7" s="0"/>
      <c r="VHQ7" s="0"/>
      <c r="VHR7" s="0"/>
      <c r="VHS7" s="0"/>
      <c r="VHT7" s="0"/>
      <c r="VHU7" s="0"/>
      <c r="VHV7" s="0"/>
      <c r="VHW7" s="0"/>
      <c r="VHX7" s="0"/>
      <c r="VHY7" s="0"/>
      <c r="VHZ7" s="0"/>
      <c r="VIA7" s="0"/>
      <c r="VIB7" s="0"/>
      <c r="VIC7" s="0"/>
      <c r="VID7" s="0"/>
      <c r="VIE7" s="0"/>
      <c r="VIF7" s="0"/>
      <c r="VIG7" s="0"/>
      <c r="VIH7" s="0"/>
      <c r="VII7" s="0"/>
      <c r="VIJ7" s="0"/>
      <c r="VIK7" s="0"/>
      <c r="VIL7" s="0"/>
      <c r="VIM7" s="0"/>
      <c r="VIN7" s="0"/>
      <c r="VIO7" s="0"/>
      <c r="VIP7" s="0"/>
      <c r="VIQ7" s="0"/>
      <c r="VIR7" s="0"/>
      <c r="VIS7" s="0"/>
      <c r="VIT7" s="0"/>
      <c r="VIU7" s="0"/>
      <c r="VIV7" s="0"/>
      <c r="VIW7" s="0"/>
      <c r="VIX7" s="0"/>
      <c r="VIY7" s="0"/>
      <c r="VIZ7" s="0"/>
      <c r="VJA7" s="0"/>
      <c r="VJB7" s="0"/>
      <c r="VJC7" s="0"/>
      <c r="VJD7" s="0"/>
      <c r="VJE7" s="0"/>
      <c r="VJF7" s="0"/>
      <c r="VJG7" s="0"/>
      <c r="VJH7" s="0"/>
      <c r="VJI7" s="0"/>
      <c r="VJJ7" s="0"/>
      <c r="VJK7" s="0"/>
      <c r="VJL7" s="0"/>
      <c r="VJM7" s="0"/>
      <c r="VJN7" s="0"/>
      <c r="VJO7" s="0"/>
      <c r="VJP7" s="0"/>
      <c r="VJQ7" s="0"/>
      <c r="VJR7" s="0"/>
      <c r="VJS7" s="0"/>
      <c r="VJT7" s="0"/>
      <c r="VJU7" s="0"/>
      <c r="VJV7" s="0"/>
      <c r="VJW7" s="0"/>
      <c r="VJX7" s="0"/>
      <c r="VJY7" s="0"/>
      <c r="VJZ7" s="0"/>
      <c r="VKA7" s="0"/>
      <c r="VKB7" s="0"/>
      <c r="VKC7" s="0"/>
      <c r="VKD7" s="0"/>
      <c r="VKE7" s="0"/>
      <c r="VKF7" s="0"/>
      <c r="VKG7" s="0"/>
      <c r="VKH7" s="0"/>
      <c r="VKI7" s="0"/>
      <c r="VKJ7" s="0"/>
      <c r="VKK7" s="0"/>
      <c r="VKL7" s="0"/>
      <c r="VKM7" s="0"/>
      <c r="VKN7" s="0"/>
      <c r="VKO7" s="0"/>
      <c r="VKP7" s="0"/>
      <c r="VKQ7" s="0"/>
      <c r="VKR7" s="0"/>
      <c r="VKS7" s="0"/>
      <c r="VKT7" s="0"/>
      <c r="VKU7" s="0"/>
      <c r="VKV7" s="0"/>
      <c r="VKW7" s="0"/>
      <c r="VKX7" s="0"/>
      <c r="VKY7" s="0"/>
      <c r="VKZ7" s="0"/>
      <c r="VLA7" s="0"/>
      <c r="VLB7" s="0"/>
      <c r="VLC7" s="0"/>
      <c r="VLD7" s="0"/>
      <c r="VLE7" s="0"/>
      <c r="VLF7" s="0"/>
      <c r="VLG7" s="0"/>
      <c r="VLH7" s="0"/>
      <c r="VLI7" s="0"/>
      <c r="VLJ7" s="0"/>
      <c r="VLK7" s="0"/>
      <c r="VLL7" s="0"/>
      <c r="VLM7" s="0"/>
      <c r="VLN7" s="0"/>
      <c r="VLO7" s="0"/>
      <c r="VLP7" s="0"/>
      <c r="VLQ7" s="0"/>
      <c r="VLR7" s="0"/>
      <c r="VLS7" s="0"/>
      <c r="VLT7" s="0"/>
      <c r="VLU7" s="0"/>
      <c r="VLV7" s="0"/>
      <c r="VLW7" s="0"/>
      <c r="VLX7" s="0"/>
      <c r="VLY7" s="0"/>
      <c r="VLZ7" s="0"/>
      <c r="VMA7" s="0"/>
      <c r="VMB7" s="0"/>
      <c r="VMC7" s="0"/>
      <c r="VMD7" s="0"/>
      <c r="VME7" s="0"/>
      <c r="VMF7" s="0"/>
      <c r="VMG7" s="0"/>
      <c r="VMH7" s="0"/>
      <c r="VMI7" s="0"/>
      <c r="VMJ7" s="0"/>
      <c r="VMK7" s="0"/>
      <c r="VML7" s="0"/>
      <c r="VMM7" s="0"/>
      <c r="VMN7" s="0"/>
      <c r="VMO7" s="0"/>
      <c r="VMP7" s="0"/>
      <c r="VMQ7" s="0"/>
      <c r="VMR7" s="0"/>
      <c r="VMS7" s="0"/>
      <c r="VMT7" s="0"/>
      <c r="VMU7" s="0"/>
      <c r="VMV7" s="0"/>
      <c r="VMW7" s="0"/>
      <c r="VMX7" s="0"/>
      <c r="VMY7" s="0"/>
      <c r="VMZ7" s="0"/>
      <c r="VNA7" s="0"/>
      <c r="VNB7" s="0"/>
      <c r="VNC7" s="0"/>
      <c r="VND7" s="0"/>
      <c r="VNE7" s="0"/>
      <c r="VNF7" s="0"/>
      <c r="VNG7" s="0"/>
      <c r="VNH7" s="0"/>
      <c r="VNI7" s="0"/>
      <c r="VNJ7" s="0"/>
      <c r="VNK7" s="0"/>
      <c r="VNL7" s="0"/>
      <c r="VNM7" s="0"/>
      <c r="VNN7" s="0"/>
      <c r="VNO7" s="0"/>
      <c r="VNP7" s="0"/>
      <c r="VNQ7" s="0"/>
      <c r="VNR7" s="0"/>
      <c r="VNS7" s="0"/>
      <c r="VNT7" s="0"/>
      <c r="VNU7" s="0"/>
      <c r="VNV7" s="0"/>
      <c r="VNW7" s="0"/>
      <c r="VNX7" s="0"/>
      <c r="VNY7" s="0"/>
      <c r="VNZ7" s="0"/>
      <c r="VOA7" s="0"/>
      <c r="VOB7" s="0"/>
      <c r="VOC7" s="0"/>
      <c r="VOD7" s="0"/>
      <c r="VOE7" s="0"/>
      <c r="VOF7" s="0"/>
      <c r="VOG7" s="0"/>
      <c r="VOH7" s="0"/>
      <c r="VOI7" s="0"/>
      <c r="VOJ7" s="0"/>
      <c r="VOK7" s="0"/>
      <c r="VOL7" s="0"/>
      <c r="VOM7" s="0"/>
      <c r="VON7" s="0"/>
      <c r="VOO7" s="0"/>
      <c r="VOP7" s="0"/>
      <c r="VOQ7" s="0"/>
      <c r="VOR7" s="0"/>
      <c r="VOS7" s="0"/>
      <c r="VOT7" s="0"/>
      <c r="VOU7" s="0"/>
      <c r="VOV7" s="0"/>
      <c r="VOW7" s="0"/>
      <c r="VOX7" s="0"/>
      <c r="VOY7" s="0"/>
      <c r="VOZ7" s="0"/>
      <c r="VPA7" s="0"/>
      <c r="VPB7" s="0"/>
      <c r="VPC7" s="0"/>
      <c r="VPD7" s="0"/>
      <c r="VPE7" s="0"/>
      <c r="VPF7" s="0"/>
      <c r="VPG7" s="0"/>
      <c r="VPH7" s="0"/>
      <c r="VPI7" s="0"/>
      <c r="VPJ7" s="0"/>
      <c r="VPK7" s="0"/>
      <c r="VPL7" s="0"/>
      <c r="VPM7" s="0"/>
      <c r="VPN7" s="0"/>
      <c r="VPO7" s="0"/>
      <c r="VPP7" s="0"/>
      <c r="VPQ7" s="0"/>
      <c r="VPR7" s="0"/>
      <c r="VPS7" s="0"/>
      <c r="VPT7" s="0"/>
      <c r="VPU7" s="0"/>
      <c r="VPV7" s="0"/>
      <c r="VPW7" s="0"/>
      <c r="VPX7" s="0"/>
      <c r="VPY7" s="0"/>
      <c r="VPZ7" s="0"/>
      <c r="VQA7" s="0"/>
      <c r="VQB7" s="0"/>
      <c r="VQC7" s="0"/>
      <c r="VQD7" s="0"/>
      <c r="VQE7" s="0"/>
      <c r="VQF7" s="0"/>
      <c r="VQG7" s="0"/>
      <c r="VQH7" s="0"/>
      <c r="VQI7" s="0"/>
      <c r="VQJ7" s="0"/>
      <c r="VQK7" s="0"/>
      <c r="VQL7" s="0"/>
      <c r="VQM7" s="0"/>
      <c r="VQN7" s="0"/>
      <c r="VQO7" s="0"/>
      <c r="VQP7" s="0"/>
      <c r="VQQ7" s="0"/>
      <c r="VQR7" s="0"/>
      <c r="VQS7" s="0"/>
      <c r="VQT7" s="0"/>
      <c r="VQU7" s="0"/>
      <c r="VQV7" s="0"/>
      <c r="VQW7" s="0"/>
      <c r="VQX7" s="0"/>
      <c r="VQY7" s="0"/>
      <c r="VQZ7" s="0"/>
      <c r="VRA7" s="0"/>
      <c r="VRB7" s="0"/>
      <c r="VRC7" s="0"/>
      <c r="VRD7" s="0"/>
      <c r="VRE7" s="0"/>
      <c r="VRF7" s="0"/>
      <c r="VRG7" s="0"/>
      <c r="VRH7" s="0"/>
      <c r="VRI7" s="0"/>
      <c r="VRJ7" s="0"/>
      <c r="VRK7" s="0"/>
      <c r="VRL7" s="0"/>
      <c r="VRM7" s="0"/>
      <c r="VRN7" s="0"/>
      <c r="VRO7" s="0"/>
      <c r="VRP7" s="0"/>
      <c r="VRQ7" s="0"/>
      <c r="VRR7" s="0"/>
      <c r="VRS7" s="0"/>
      <c r="VRT7" s="0"/>
      <c r="VRU7" s="0"/>
      <c r="VRV7" s="0"/>
      <c r="VRW7" s="0"/>
      <c r="VRX7" s="0"/>
      <c r="VRY7" s="0"/>
      <c r="VRZ7" s="0"/>
      <c r="VSA7" s="0"/>
      <c r="VSB7" s="0"/>
      <c r="VSC7" s="0"/>
      <c r="VSD7" s="0"/>
      <c r="VSE7" s="0"/>
      <c r="VSF7" s="0"/>
      <c r="VSG7" s="0"/>
      <c r="VSH7" s="0"/>
      <c r="VSI7" s="0"/>
      <c r="VSJ7" s="0"/>
      <c r="VSK7" s="0"/>
      <c r="VSL7" s="0"/>
      <c r="VSM7" s="0"/>
      <c r="VSN7" s="0"/>
      <c r="VSO7" s="0"/>
      <c r="VSP7" s="0"/>
      <c r="VSQ7" s="0"/>
      <c r="VSR7" s="0"/>
      <c r="VSS7" s="0"/>
      <c r="VST7" s="0"/>
      <c r="VSU7" s="0"/>
      <c r="VSV7" s="0"/>
      <c r="VSW7" s="0"/>
      <c r="VSX7" s="0"/>
      <c r="VSY7" s="0"/>
      <c r="VSZ7" s="0"/>
      <c r="VTA7" s="0"/>
      <c r="VTB7" s="0"/>
      <c r="VTC7" s="0"/>
      <c r="VTD7" s="0"/>
      <c r="VTE7" s="0"/>
      <c r="VTF7" s="0"/>
      <c r="VTG7" s="0"/>
      <c r="VTH7" s="0"/>
      <c r="VTI7" s="0"/>
      <c r="VTJ7" s="0"/>
      <c r="VTK7" s="0"/>
      <c r="VTL7" s="0"/>
      <c r="VTM7" s="0"/>
      <c r="VTN7" s="0"/>
      <c r="VTO7" s="0"/>
      <c r="VTP7" s="0"/>
      <c r="VTQ7" s="0"/>
      <c r="VTR7" s="0"/>
      <c r="VTS7" s="0"/>
      <c r="VTT7" s="0"/>
      <c r="VTU7" s="0"/>
      <c r="VTV7" s="0"/>
      <c r="VTW7" s="0"/>
      <c r="VTX7" s="0"/>
      <c r="VTY7" s="0"/>
      <c r="VTZ7" s="0"/>
      <c r="VUA7" s="0"/>
      <c r="VUB7" s="0"/>
      <c r="VUC7" s="0"/>
      <c r="VUD7" s="0"/>
      <c r="VUE7" s="0"/>
      <c r="VUF7" s="0"/>
      <c r="VUG7" s="0"/>
      <c r="VUH7" s="0"/>
      <c r="VUI7" s="0"/>
      <c r="VUJ7" s="0"/>
      <c r="VUK7" s="0"/>
      <c r="VUL7" s="0"/>
      <c r="VUM7" s="0"/>
      <c r="VUN7" s="0"/>
      <c r="VUO7" s="0"/>
      <c r="VUP7" s="0"/>
      <c r="VUQ7" s="0"/>
      <c r="VUR7" s="0"/>
      <c r="VUS7" s="0"/>
      <c r="VUT7" s="0"/>
      <c r="VUU7" s="0"/>
      <c r="VUV7" s="0"/>
      <c r="VUW7" s="0"/>
      <c r="VUX7" s="0"/>
      <c r="VUY7" s="0"/>
      <c r="VUZ7" s="0"/>
      <c r="VVA7" s="0"/>
      <c r="VVB7" s="0"/>
      <c r="VVC7" s="0"/>
      <c r="VVD7" s="0"/>
      <c r="VVE7" s="0"/>
      <c r="VVF7" s="0"/>
      <c r="VVG7" s="0"/>
      <c r="VVH7" s="0"/>
      <c r="VVI7" s="0"/>
      <c r="VVJ7" s="0"/>
      <c r="VVK7" s="0"/>
      <c r="VVL7" s="0"/>
      <c r="VVM7" s="0"/>
      <c r="VVN7" s="0"/>
      <c r="VVO7" s="0"/>
      <c r="VVP7" s="0"/>
      <c r="VVQ7" s="0"/>
      <c r="VVR7" s="0"/>
      <c r="VVS7" s="0"/>
      <c r="VVT7" s="0"/>
      <c r="VVU7" s="0"/>
      <c r="VVV7" s="0"/>
      <c r="VVW7" s="0"/>
      <c r="VVX7" s="0"/>
      <c r="VVY7" s="0"/>
      <c r="VVZ7" s="0"/>
      <c r="VWA7" s="0"/>
      <c r="VWB7" s="0"/>
      <c r="VWC7" s="0"/>
      <c r="VWD7" s="0"/>
      <c r="VWE7" s="0"/>
      <c r="VWF7" s="0"/>
      <c r="VWG7" s="0"/>
      <c r="VWH7" s="0"/>
      <c r="VWI7" s="0"/>
      <c r="VWJ7" s="0"/>
      <c r="VWK7" s="0"/>
      <c r="VWL7" s="0"/>
      <c r="VWM7" s="0"/>
      <c r="VWN7" s="0"/>
      <c r="VWO7" s="0"/>
      <c r="VWP7" s="0"/>
      <c r="VWQ7" s="0"/>
      <c r="VWR7" s="0"/>
      <c r="VWS7" s="0"/>
      <c r="VWT7" s="0"/>
      <c r="VWU7" s="0"/>
      <c r="VWV7" s="0"/>
      <c r="VWW7" s="0"/>
      <c r="VWX7" s="0"/>
      <c r="VWY7" s="0"/>
      <c r="VWZ7" s="0"/>
      <c r="VXA7" s="0"/>
      <c r="VXB7" s="0"/>
      <c r="VXC7" s="0"/>
      <c r="VXD7" s="0"/>
      <c r="VXE7" s="0"/>
      <c r="VXF7" s="0"/>
      <c r="VXG7" s="0"/>
      <c r="VXH7" s="0"/>
      <c r="VXI7" s="0"/>
      <c r="VXJ7" s="0"/>
      <c r="VXK7" s="0"/>
      <c r="VXL7" s="0"/>
      <c r="VXM7" s="0"/>
      <c r="VXN7" s="0"/>
      <c r="VXO7" s="0"/>
      <c r="VXP7" s="0"/>
      <c r="VXQ7" s="0"/>
      <c r="VXR7" s="0"/>
      <c r="VXS7" s="0"/>
      <c r="VXT7" s="0"/>
      <c r="VXU7" s="0"/>
      <c r="VXV7" s="0"/>
      <c r="VXW7" s="0"/>
      <c r="VXX7" s="0"/>
      <c r="VXY7" s="0"/>
      <c r="VXZ7" s="0"/>
      <c r="VYA7" s="0"/>
      <c r="VYB7" s="0"/>
      <c r="VYC7" s="0"/>
      <c r="VYD7" s="0"/>
      <c r="VYE7" s="0"/>
      <c r="VYF7" s="0"/>
      <c r="VYG7" s="0"/>
      <c r="VYH7" s="0"/>
      <c r="VYI7" s="0"/>
      <c r="VYJ7" s="0"/>
      <c r="VYK7" s="0"/>
      <c r="VYL7" s="0"/>
      <c r="VYM7" s="0"/>
      <c r="VYN7" s="0"/>
      <c r="VYO7" s="0"/>
      <c r="VYP7" s="0"/>
      <c r="VYQ7" s="0"/>
      <c r="VYR7" s="0"/>
      <c r="VYS7" s="0"/>
      <c r="VYT7" s="0"/>
      <c r="VYU7" s="0"/>
      <c r="VYV7" s="0"/>
      <c r="VYW7" s="0"/>
      <c r="VYX7" s="0"/>
      <c r="VYY7" s="0"/>
      <c r="VYZ7" s="0"/>
      <c r="VZA7" s="0"/>
      <c r="VZB7" s="0"/>
      <c r="VZC7" s="0"/>
      <c r="VZD7" s="0"/>
      <c r="VZE7" s="0"/>
      <c r="VZF7" s="0"/>
      <c r="VZG7" s="0"/>
      <c r="VZH7" s="0"/>
      <c r="VZI7" s="0"/>
      <c r="VZJ7" s="0"/>
      <c r="VZK7" s="0"/>
      <c r="VZL7" s="0"/>
      <c r="VZM7" s="0"/>
      <c r="VZN7" s="0"/>
      <c r="VZO7" s="0"/>
      <c r="VZP7" s="0"/>
      <c r="VZQ7" s="0"/>
      <c r="VZR7" s="0"/>
      <c r="VZS7" s="0"/>
      <c r="VZT7" s="0"/>
      <c r="VZU7" s="0"/>
      <c r="VZV7" s="0"/>
      <c r="VZW7" s="0"/>
      <c r="VZX7" s="0"/>
      <c r="VZY7" s="0"/>
      <c r="VZZ7" s="0"/>
      <c r="WAA7" s="0"/>
      <c r="WAB7" s="0"/>
      <c r="WAC7" s="0"/>
      <c r="WAD7" s="0"/>
      <c r="WAE7" s="0"/>
      <c r="WAF7" s="0"/>
      <c r="WAG7" s="0"/>
      <c r="WAH7" s="0"/>
      <c r="WAI7" s="0"/>
      <c r="WAJ7" s="0"/>
      <c r="WAK7" s="0"/>
      <c r="WAL7" s="0"/>
      <c r="WAM7" s="0"/>
      <c r="WAN7" s="0"/>
      <c r="WAO7" s="0"/>
      <c r="WAP7" s="0"/>
      <c r="WAQ7" s="0"/>
      <c r="WAR7" s="0"/>
      <c r="WAS7" s="0"/>
      <c r="WAT7" s="0"/>
      <c r="WAU7" s="0"/>
      <c r="WAV7" s="0"/>
      <c r="WAW7" s="0"/>
      <c r="WAX7" s="0"/>
      <c r="WAY7" s="0"/>
      <c r="WAZ7" s="0"/>
      <c r="WBA7" s="0"/>
      <c r="WBB7" s="0"/>
      <c r="WBC7" s="0"/>
      <c r="WBD7" s="0"/>
      <c r="WBE7" s="0"/>
      <c r="WBF7" s="0"/>
      <c r="WBG7" s="0"/>
      <c r="WBH7" s="0"/>
      <c r="WBI7" s="0"/>
      <c r="WBJ7" s="0"/>
      <c r="WBK7" s="0"/>
      <c r="WBL7" s="0"/>
      <c r="WBM7" s="0"/>
      <c r="WBN7" s="0"/>
      <c r="WBO7" s="0"/>
      <c r="WBP7" s="0"/>
      <c r="WBQ7" s="0"/>
      <c r="WBR7" s="0"/>
      <c r="WBS7" s="0"/>
      <c r="WBT7" s="0"/>
      <c r="WBU7" s="0"/>
      <c r="WBV7" s="0"/>
      <c r="WBW7" s="0"/>
      <c r="WBX7" s="0"/>
      <c r="WBY7" s="0"/>
      <c r="WBZ7" s="0"/>
      <c r="WCA7" s="0"/>
      <c r="WCB7" s="0"/>
      <c r="WCC7" s="0"/>
      <c r="WCD7" s="0"/>
      <c r="WCE7" s="0"/>
      <c r="WCF7" s="0"/>
      <c r="WCG7" s="0"/>
      <c r="WCH7" s="0"/>
      <c r="WCI7" s="0"/>
      <c r="WCJ7" s="0"/>
      <c r="WCK7" s="0"/>
      <c r="WCL7" s="0"/>
      <c r="WCM7" s="0"/>
      <c r="WCN7" s="0"/>
      <c r="WCO7" s="0"/>
      <c r="WCP7" s="0"/>
      <c r="WCQ7" s="0"/>
      <c r="WCR7" s="0"/>
      <c r="WCS7" s="0"/>
      <c r="WCT7" s="0"/>
      <c r="WCU7" s="0"/>
      <c r="WCV7" s="0"/>
      <c r="WCW7" s="0"/>
      <c r="WCX7" s="0"/>
      <c r="WCY7" s="0"/>
      <c r="WCZ7" s="0"/>
      <c r="WDA7" s="0"/>
      <c r="WDB7" s="0"/>
      <c r="WDC7" s="0"/>
      <c r="WDD7" s="0"/>
      <c r="WDE7" s="0"/>
      <c r="WDF7" s="0"/>
      <c r="WDG7" s="0"/>
      <c r="WDH7" s="0"/>
      <c r="WDI7" s="0"/>
      <c r="WDJ7" s="0"/>
      <c r="WDK7" s="0"/>
      <c r="WDL7" s="0"/>
      <c r="WDM7" s="0"/>
      <c r="WDN7" s="0"/>
      <c r="WDO7" s="0"/>
      <c r="WDP7" s="0"/>
      <c r="WDQ7" s="0"/>
      <c r="WDR7" s="0"/>
      <c r="WDS7" s="0"/>
      <c r="WDT7" s="0"/>
      <c r="WDU7" s="0"/>
      <c r="WDV7" s="0"/>
      <c r="WDW7" s="0"/>
      <c r="WDX7" s="0"/>
      <c r="WDY7" s="0"/>
      <c r="WDZ7" s="0"/>
      <c r="WEA7" s="0"/>
      <c r="WEB7" s="0"/>
      <c r="WEC7" s="0"/>
      <c r="WED7" s="0"/>
      <c r="WEE7" s="0"/>
      <c r="WEF7" s="0"/>
      <c r="WEG7" s="0"/>
      <c r="WEH7" s="0"/>
      <c r="WEI7" s="0"/>
      <c r="WEJ7" s="0"/>
      <c r="WEK7" s="0"/>
      <c r="WEL7" s="0"/>
      <c r="WEM7" s="0"/>
      <c r="WEN7" s="0"/>
      <c r="WEO7" s="0"/>
      <c r="WEP7" s="0"/>
      <c r="WEQ7" s="0"/>
      <c r="WER7" s="0"/>
      <c r="WES7" s="0"/>
      <c r="WET7" s="0"/>
      <c r="WEU7" s="0"/>
      <c r="WEV7" s="0"/>
      <c r="WEW7" s="0"/>
      <c r="WEX7" s="0"/>
      <c r="WEY7" s="0"/>
      <c r="WEZ7" s="0"/>
      <c r="WFA7" s="0"/>
      <c r="WFB7" s="0"/>
      <c r="WFC7" s="0"/>
      <c r="WFD7" s="0"/>
      <c r="WFE7" s="0"/>
      <c r="WFF7" s="0"/>
      <c r="WFG7" s="0"/>
      <c r="WFH7" s="0"/>
      <c r="WFI7" s="0"/>
      <c r="WFJ7" s="0"/>
      <c r="WFK7" s="0"/>
      <c r="WFL7" s="0"/>
      <c r="WFM7" s="0"/>
      <c r="WFN7" s="0"/>
      <c r="WFO7" s="0"/>
      <c r="WFP7" s="0"/>
      <c r="WFQ7" s="0"/>
      <c r="WFR7" s="0"/>
      <c r="WFS7" s="0"/>
      <c r="WFT7" s="0"/>
      <c r="WFU7" s="0"/>
      <c r="WFV7" s="0"/>
      <c r="WFW7" s="0"/>
      <c r="WFX7" s="0"/>
      <c r="WFY7" s="0"/>
      <c r="WFZ7" s="0"/>
      <c r="WGA7" s="0"/>
      <c r="WGB7" s="0"/>
      <c r="WGC7" s="0"/>
      <c r="WGD7" s="0"/>
      <c r="WGE7" s="0"/>
      <c r="WGF7" s="0"/>
      <c r="WGG7" s="0"/>
      <c r="WGH7" s="0"/>
      <c r="WGI7" s="0"/>
      <c r="WGJ7" s="0"/>
      <c r="WGK7" s="0"/>
      <c r="WGL7" s="0"/>
      <c r="WGM7" s="0"/>
      <c r="WGN7" s="0"/>
      <c r="WGO7" s="0"/>
      <c r="WGP7" s="0"/>
      <c r="WGQ7" s="0"/>
      <c r="WGR7" s="0"/>
      <c r="WGS7" s="0"/>
      <c r="WGT7" s="0"/>
      <c r="WGU7" s="0"/>
      <c r="WGV7" s="0"/>
      <c r="WGW7" s="0"/>
      <c r="WGX7" s="0"/>
      <c r="WGY7" s="0"/>
      <c r="WGZ7" s="0"/>
      <c r="WHA7" s="0"/>
      <c r="WHB7" s="0"/>
      <c r="WHC7" s="0"/>
      <c r="WHD7" s="0"/>
      <c r="WHE7" s="0"/>
      <c r="WHF7" s="0"/>
      <c r="WHG7" s="0"/>
      <c r="WHH7" s="0"/>
      <c r="WHI7" s="0"/>
      <c r="WHJ7" s="0"/>
      <c r="WHK7" s="0"/>
      <c r="WHL7" s="0"/>
      <c r="WHM7" s="0"/>
      <c r="WHN7" s="0"/>
      <c r="WHO7" s="0"/>
      <c r="WHP7" s="0"/>
      <c r="WHQ7" s="0"/>
      <c r="WHR7" s="0"/>
      <c r="WHS7" s="0"/>
      <c r="WHT7" s="0"/>
      <c r="WHU7" s="0"/>
      <c r="WHV7" s="0"/>
      <c r="WHW7" s="0"/>
      <c r="WHX7" s="0"/>
      <c r="WHY7" s="0"/>
      <c r="WHZ7" s="0"/>
      <c r="WIA7" s="0"/>
      <c r="WIB7" s="0"/>
      <c r="WIC7" s="0"/>
      <c r="WID7" s="0"/>
      <c r="WIE7" s="0"/>
      <c r="WIF7" s="0"/>
      <c r="WIG7" s="0"/>
      <c r="WIH7" s="0"/>
      <c r="WII7" s="0"/>
      <c r="WIJ7" s="0"/>
      <c r="WIK7" s="0"/>
      <c r="WIL7" s="0"/>
      <c r="WIM7" s="0"/>
      <c r="WIN7" s="0"/>
      <c r="WIO7" s="0"/>
      <c r="WIP7" s="0"/>
      <c r="WIQ7" s="0"/>
      <c r="WIR7" s="0"/>
      <c r="WIS7" s="0"/>
      <c r="WIT7" s="0"/>
      <c r="WIU7" s="0"/>
      <c r="WIV7" s="0"/>
      <c r="WIW7" s="0"/>
      <c r="WIX7" s="0"/>
      <c r="WIY7" s="0"/>
      <c r="WIZ7" s="0"/>
      <c r="WJA7" s="0"/>
      <c r="WJB7" s="0"/>
      <c r="WJC7" s="0"/>
      <c r="WJD7" s="0"/>
      <c r="WJE7" s="0"/>
      <c r="WJF7" s="0"/>
      <c r="WJG7" s="0"/>
      <c r="WJH7" s="0"/>
      <c r="WJI7" s="0"/>
      <c r="WJJ7" s="0"/>
      <c r="WJK7" s="0"/>
      <c r="WJL7" s="0"/>
      <c r="WJM7" s="0"/>
      <c r="WJN7" s="0"/>
      <c r="WJO7" s="0"/>
      <c r="WJP7" s="0"/>
      <c r="WJQ7" s="0"/>
      <c r="WJR7" s="0"/>
      <c r="WJS7" s="0"/>
      <c r="WJT7" s="0"/>
      <c r="WJU7" s="0"/>
      <c r="WJV7" s="0"/>
      <c r="WJW7" s="0"/>
      <c r="WJX7" s="0"/>
      <c r="WJY7" s="0"/>
      <c r="WJZ7" s="0"/>
      <c r="WKA7" s="0"/>
      <c r="WKB7" s="0"/>
      <c r="WKC7" s="0"/>
      <c r="WKD7" s="0"/>
      <c r="WKE7" s="0"/>
      <c r="WKF7" s="0"/>
      <c r="WKG7" s="0"/>
      <c r="WKH7" s="0"/>
      <c r="WKI7" s="0"/>
      <c r="WKJ7" s="0"/>
      <c r="WKK7" s="0"/>
      <c r="WKL7" s="0"/>
      <c r="WKM7" s="0"/>
      <c r="WKN7" s="0"/>
      <c r="WKO7" s="0"/>
      <c r="WKP7" s="0"/>
      <c r="WKQ7" s="0"/>
      <c r="WKR7" s="0"/>
      <c r="WKS7" s="0"/>
      <c r="WKT7" s="0"/>
      <c r="WKU7" s="0"/>
      <c r="WKV7" s="0"/>
      <c r="WKW7" s="0"/>
      <c r="WKX7" s="0"/>
      <c r="WKY7" s="0"/>
      <c r="WKZ7" s="0"/>
      <c r="WLA7" s="0"/>
      <c r="WLB7" s="0"/>
      <c r="WLC7" s="0"/>
      <c r="WLD7" s="0"/>
      <c r="WLE7" s="0"/>
      <c r="WLF7" s="0"/>
      <c r="WLG7" s="0"/>
      <c r="WLH7" s="0"/>
      <c r="WLI7" s="0"/>
      <c r="WLJ7" s="0"/>
      <c r="WLK7" s="0"/>
      <c r="WLL7" s="0"/>
      <c r="WLM7" s="0"/>
      <c r="WLN7" s="0"/>
      <c r="WLO7" s="0"/>
      <c r="WLP7" s="0"/>
      <c r="WLQ7" s="0"/>
      <c r="WLR7" s="0"/>
      <c r="WLS7" s="0"/>
      <c r="WLT7" s="0"/>
      <c r="WLU7" s="0"/>
      <c r="WLV7" s="0"/>
      <c r="WLW7" s="0"/>
      <c r="WLX7" s="0"/>
      <c r="WLY7" s="0"/>
      <c r="WLZ7" s="0"/>
      <c r="WMA7" s="0"/>
      <c r="WMB7" s="0"/>
      <c r="WMC7" s="0"/>
      <c r="WMD7" s="0"/>
      <c r="WME7" s="0"/>
      <c r="WMF7" s="0"/>
      <c r="WMG7" s="0"/>
      <c r="WMH7" s="0"/>
      <c r="WMI7" s="0"/>
      <c r="WMJ7" s="0"/>
      <c r="WMK7" s="0"/>
      <c r="WML7" s="0"/>
      <c r="WMM7" s="0"/>
      <c r="WMN7" s="0"/>
      <c r="WMO7" s="0"/>
      <c r="WMP7" s="0"/>
      <c r="WMQ7" s="0"/>
      <c r="WMR7" s="0"/>
      <c r="WMS7" s="0"/>
      <c r="WMT7" s="0"/>
      <c r="WMU7" s="0"/>
      <c r="WMV7" s="0"/>
      <c r="WMW7" s="0"/>
      <c r="WMX7" s="0"/>
      <c r="WMY7" s="0"/>
      <c r="WMZ7" s="0"/>
      <c r="WNA7" s="0"/>
      <c r="WNB7" s="0"/>
      <c r="WNC7" s="0"/>
      <c r="WND7" s="0"/>
      <c r="WNE7" s="0"/>
      <c r="WNF7" s="0"/>
      <c r="WNG7" s="0"/>
      <c r="WNH7" s="0"/>
      <c r="WNI7" s="0"/>
      <c r="WNJ7" s="0"/>
      <c r="WNK7" s="0"/>
      <c r="WNL7" s="0"/>
      <c r="WNM7" s="0"/>
      <c r="WNN7" s="0"/>
      <c r="WNO7" s="0"/>
      <c r="WNP7" s="0"/>
      <c r="WNQ7" s="0"/>
      <c r="WNR7" s="0"/>
      <c r="WNS7" s="0"/>
      <c r="WNT7" s="0"/>
      <c r="WNU7" s="0"/>
      <c r="WNV7" s="0"/>
      <c r="WNW7" s="0"/>
      <c r="WNX7" s="0"/>
      <c r="WNY7" s="0"/>
      <c r="WNZ7" s="0"/>
      <c r="WOA7" s="0"/>
      <c r="WOB7" s="0"/>
      <c r="WOC7" s="0"/>
      <c r="WOD7" s="0"/>
      <c r="WOE7" s="0"/>
      <c r="WOF7" s="0"/>
      <c r="WOG7" s="0"/>
      <c r="WOH7" s="0"/>
      <c r="WOI7" s="0"/>
      <c r="WOJ7" s="0"/>
      <c r="WOK7" s="0"/>
      <c r="WOL7" s="0"/>
      <c r="WOM7" s="0"/>
      <c r="WON7" s="0"/>
      <c r="WOO7" s="0"/>
      <c r="WOP7" s="0"/>
      <c r="WOQ7" s="0"/>
      <c r="WOR7" s="0"/>
      <c r="WOS7" s="0"/>
      <c r="WOT7" s="0"/>
      <c r="WOU7" s="0"/>
      <c r="WOV7" s="0"/>
      <c r="WOW7" s="0"/>
      <c r="WOX7" s="0"/>
      <c r="WOY7" s="0"/>
      <c r="WOZ7" s="0"/>
      <c r="WPA7" s="0"/>
      <c r="WPB7" s="0"/>
      <c r="WPC7" s="0"/>
      <c r="WPD7" s="0"/>
      <c r="WPE7" s="0"/>
      <c r="WPF7" s="0"/>
      <c r="WPG7" s="0"/>
      <c r="WPH7" s="0"/>
      <c r="WPI7" s="0"/>
      <c r="WPJ7" s="0"/>
      <c r="WPK7" s="0"/>
      <c r="WPL7" s="0"/>
      <c r="WPM7" s="0"/>
      <c r="WPN7" s="0"/>
      <c r="WPO7" s="0"/>
      <c r="WPP7" s="0"/>
      <c r="WPQ7" s="0"/>
      <c r="WPR7" s="0"/>
      <c r="WPS7" s="0"/>
      <c r="WPT7" s="0"/>
      <c r="WPU7" s="0"/>
      <c r="WPV7" s="0"/>
      <c r="WPW7" s="0"/>
      <c r="WPX7" s="0"/>
      <c r="WPY7" s="0"/>
      <c r="WPZ7" s="0"/>
      <c r="WQA7" s="0"/>
      <c r="WQB7" s="0"/>
      <c r="WQC7" s="0"/>
      <c r="WQD7" s="0"/>
      <c r="WQE7" s="0"/>
      <c r="WQF7" s="0"/>
      <c r="WQG7" s="0"/>
      <c r="WQH7" s="0"/>
      <c r="WQI7" s="0"/>
      <c r="WQJ7" s="0"/>
      <c r="WQK7" s="0"/>
      <c r="WQL7" s="0"/>
      <c r="WQM7" s="0"/>
      <c r="WQN7" s="0"/>
      <c r="WQO7" s="0"/>
      <c r="WQP7" s="0"/>
      <c r="WQQ7" s="0"/>
      <c r="WQR7" s="0"/>
      <c r="WQS7" s="0"/>
      <c r="WQT7" s="0"/>
      <c r="WQU7" s="0"/>
      <c r="WQV7" s="0"/>
      <c r="WQW7" s="0"/>
      <c r="WQX7" s="0"/>
      <c r="WQY7" s="0"/>
      <c r="WQZ7" s="0"/>
      <c r="WRA7" s="0"/>
      <c r="WRB7" s="0"/>
      <c r="WRC7" s="0"/>
      <c r="WRD7" s="0"/>
      <c r="WRE7" s="0"/>
      <c r="WRF7" s="0"/>
      <c r="WRG7" s="0"/>
      <c r="WRH7" s="0"/>
      <c r="WRI7" s="0"/>
      <c r="WRJ7" s="0"/>
      <c r="WRK7" s="0"/>
      <c r="WRL7" s="0"/>
      <c r="WRM7" s="0"/>
      <c r="WRN7" s="0"/>
      <c r="WRO7" s="0"/>
      <c r="WRP7" s="0"/>
      <c r="WRQ7" s="0"/>
      <c r="WRR7" s="0"/>
      <c r="WRS7" s="0"/>
      <c r="WRT7" s="0"/>
      <c r="WRU7" s="0"/>
      <c r="WRV7" s="0"/>
      <c r="WRW7" s="0"/>
      <c r="WRX7" s="0"/>
      <c r="WRY7" s="0"/>
      <c r="WRZ7" s="0"/>
      <c r="WSA7" s="0"/>
      <c r="WSB7" s="0"/>
      <c r="WSC7" s="0"/>
      <c r="WSD7" s="0"/>
      <c r="WSE7" s="0"/>
      <c r="WSF7" s="0"/>
      <c r="WSG7" s="0"/>
      <c r="WSH7" s="0"/>
      <c r="WSI7" s="0"/>
      <c r="WSJ7" s="0"/>
      <c r="WSK7" s="0"/>
      <c r="WSL7" s="0"/>
      <c r="WSM7" s="0"/>
      <c r="WSN7" s="0"/>
      <c r="WSO7" s="0"/>
      <c r="WSP7" s="0"/>
      <c r="WSQ7" s="0"/>
      <c r="WSR7" s="0"/>
      <c r="WSS7" s="0"/>
      <c r="WST7" s="0"/>
      <c r="WSU7" s="0"/>
      <c r="WSV7" s="0"/>
      <c r="WSW7" s="0"/>
      <c r="WSX7" s="0"/>
      <c r="WSY7" s="0"/>
      <c r="WSZ7" s="0"/>
      <c r="WTA7" s="0"/>
      <c r="WTB7" s="0"/>
      <c r="WTC7" s="0"/>
      <c r="WTD7" s="0"/>
      <c r="WTE7" s="0"/>
      <c r="WTF7" s="0"/>
      <c r="WTG7" s="0"/>
      <c r="WTH7" s="0"/>
      <c r="WTI7" s="0"/>
      <c r="WTJ7" s="0"/>
      <c r="WTK7" s="0"/>
      <c r="WTL7" s="0"/>
      <c r="WTM7" s="0"/>
      <c r="WTN7" s="0"/>
      <c r="WTO7" s="0"/>
      <c r="WTP7" s="0"/>
      <c r="WTQ7" s="0"/>
      <c r="WTR7" s="0"/>
      <c r="WTS7" s="0"/>
      <c r="WTT7" s="0"/>
      <c r="WTU7" s="0"/>
      <c r="WTV7" s="0"/>
      <c r="WTW7" s="0"/>
      <c r="WTX7" s="0"/>
      <c r="WTY7" s="0"/>
      <c r="WTZ7" s="0"/>
      <c r="WUA7" s="0"/>
      <c r="WUB7" s="0"/>
      <c r="WUC7" s="0"/>
      <c r="WUD7" s="0"/>
      <c r="WUE7" s="0"/>
      <c r="WUF7" s="0"/>
      <c r="WUG7" s="0"/>
      <c r="WUH7" s="0"/>
      <c r="WUI7" s="0"/>
      <c r="WUJ7" s="0"/>
      <c r="WUK7" s="0"/>
      <c r="WUL7" s="0"/>
      <c r="WUM7" s="0"/>
      <c r="WUN7" s="0"/>
      <c r="WUO7" s="0"/>
      <c r="WUP7" s="0"/>
      <c r="WUQ7" s="0"/>
      <c r="WUR7" s="0"/>
      <c r="WUS7" s="0"/>
      <c r="WUT7" s="0"/>
      <c r="WUU7" s="0"/>
      <c r="WUV7" s="0"/>
      <c r="WUW7" s="0"/>
      <c r="WUX7" s="0"/>
      <c r="WUY7" s="0"/>
      <c r="WUZ7" s="0"/>
      <c r="WVA7" s="0"/>
      <c r="WVB7" s="0"/>
      <c r="WVC7" s="0"/>
      <c r="WVD7" s="0"/>
      <c r="WVE7" s="0"/>
      <c r="WVF7" s="0"/>
      <c r="WVG7" s="0"/>
      <c r="WVH7" s="0"/>
      <c r="WVI7" s="0"/>
      <c r="WVJ7" s="0"/>
      <c r="WVK7" s="0"/>
      <c r="WVL7" s="0"/>
      <c r="WVM7" s="0"/>
      <c r="WVN7" s="0"/>
      <c r="WVO7" s="0"/>
      <c r="WVP7" s="0"/>
      <c r="WVQ7" s="0"/>
      <c r="WVR7" s="0"/>
      <c r="WVS7" s="0"/>
      <c r="WVT7" s="0"/>
      <c r="WVU7" s="0"/>
      <c r="WVV7" s="0"/>
      <c r="WVW7" s="0"/>
      <c r="WVX7" s="0"/>
      <c r="WVY7" s="0"/>
      <c r="WVZ7" s="0"/>
      <c r="WWA7" s="0"/>
      <c r="WWB7" s="0"/>
      <c r="WWC7" s="0"/>
      <c r="WWD7" s="0"/>
      <c r="WWE7" s="0"/>
      <c r="WWF7" s="0"/>
      <c r="WWG7" s="0"/>
      <c r="WWH7" s="0"/>
      <c r="WWI7" s="0"/>
      <c r="WWJ7" s="0"/>
      <c r="WWK7" s="0"/>
      <c r="WWL7" s="0"/>
      <c r="WWM7" s="0"/>
      <c r="WWN7" s="0"/>
      <c r="WWO7" s="0"/>
      <c r="WWP7" s="0"/>
      <c r="WWQ7" s="0"/>
      <c r="WWR7" s="0"/>
      <c r="WWS7" s="0"/>
      <c r="WWT7" s="0"/>
      <c r="WWU7" s="0"/>
      <c r="WWV7" s="0"/>
      <c r="WWW7" s="0"/>
      <c r="WWX7" s="0"/>
      <c r="WWY7" s="0"/>
      <c r="WWZ7" s="0"/>
      <c r="WXA7" s="0"/>
      <c r="WXB7" s="0"/>
      <c r="WXC7" s="0"/>
      <c r="WXD7" s="0"/>
      <c r="WXE7" s="0"/>
      <c r="WXF7" s="0"/>
      <c r="WXG7" s="0"/>
      <c r="WXH7" s="0"/>
      <c r="WXI7" s="0"/>
      <c r="WXJ7" s="0"/>
      <c r="WXK7" s="0"/>
      <c r="WXL7" s="0"/>
      <c r="WXM7" s="0"/>
      <c r="WXN7" s="0"/>
      <c r="WXO7" s="0"/>
      <c r="WXP7" s="0"/>
      <c r="WXQ7" s="0"/>
      <c r="WXR7" s="0"/>
      <c r="WXS7" s="0"/>
      <c r="WXT7" s="0"/>
      <c r="WXU7" s="0"/>
      <c r="WXV7" s="0"/>
      <c r="WXW7" s="0"/>
      <c r="WXX7" s="0"/>
      <c r="WXY7" s="0"/>
      <c r="WXZ7" s="0"/>
      <c r="WYA7" s="0"/>
      <c r="WYB7" s="0"/>
      <c r="WYC7" s="0"/>
      <c r="WYD7" s="0"/>
      <c r="WYE7" s="0"/>
      <c r="WYF7" s="0"/>
      <c r="WYG7" s="0"/>
      <c r="WYH7" s="0"/>
      <c r="WYI7" s="0"/>
      <c r="WYJ7" s="0"/>
      <c r="WYK7" s="0"/>
      <c r="WYL7" s="0"/>
      <c r="WYM7" s="0"/>
      <c r="WYN7" s="0"/>
      <c r="WYO7" s="0"/>
      <c r="WYP7" s="0"/>
      <c r="WYQ7" s="0"/>
      <c r="WYR7" s="0"/>
      <c r="WYS7" s="0"/>
      <c r="WYT7" s="0"/>
      <c r="WYU7" s="0"/>
      <c r="WYV7" s="0"/>
      <c r="WYW7" s="0"/>
      <c r="WYX7" s="0"/>
      <c r="WYY7" s="0"/>
      <c r="WYZ7" s="0"/>
      <c r="WZA7" s="0"/>
      <c r="WZB7" s="0"/>
      <c r="WZC7" s="0"/>
      <c r="WZD7" s="0"/>
      <c r="WZE7" s="0"/>
      <c r="WZF7" s="0"/>
      <c r="WZG7" s="0"/>
      <c r="WZH7" s="0"/>
      <c r="WZI7" s="0"/>
      <c r="WZJ7" s="0"/>
      <c r="WZK7" s="0"/>
      <c r="WZL7" s="0"/>
      <c r="WZM7" s="0"/>
      <c r="WZN7" s="0"/>
      <c r="WZO7" s="0"/>
      <c r="WZP7" s="0"/>
      <c r="WZQ7" s="0"/>
      <c r="WZR7" s="0"/>
      <c r="WZS7" s="0"/>
      <c r="WZT7" s="0"/>
      <c r="WZU7" s="0"/>
      <c r="WZV7" s="0"/>
      <c r="WZW7" s="0"/>
      <c r="WZX7" s="0"/>
      <c r="WZY7" s="0"/>
      <c r="WZZ7" s="0"/>
      <c r="XAA7" s="0"/>
      <c r="XAB7" s="0"/>
      <c r="XAC7" s="0"/>
      <c r="XAD7" s="0"/>
      <c r="XAE7" s="0"/>
      <c r="XAF7" s="0"/>
      <c r="XAG7" s="0"/>
      <c r="XAH7" s="0"/>
      <c r="XAI7" s="0"/>
      <c r="XAJ7" s="0"/>
      <c r="XAK7" s="0"/>
      <c r="XAL7" s="0"/>
      <c r="XAM7" s="0"/>
      <c r="XAN7" s="0"/>
      <c r="XAO7" s="0"/>
      <c r="XAP7" s="0"/>
      <c r="XAQ7" s="0"/>
      <c r="XAR7" s="0"/>
      <c r="XAS7" s="0"/>
      <c r="XAT7" s="0"/>
      <c r="XAU7" s="0"/>
      <c r="XAV7" s="0"/>
      <c r="XAW7" s="0"/>
      <c r="XAX7" s="0"/>
      <c r="XAY7" s="0"/>
      <c r="XAZ7" s="0"/>
      <c r="XBA7" s="0"/>
      <c r="XBB7" s="0"/>
      <c r="XBC7" s="0"/>
      <c r="XBD7" s="0"/>
      <c r="XBE7" s="0"/>
      <c r="XBF7" s="0"/>
      <c r="XBG7" s="0"/>
      <c r="XBH7" s="0"/>
      <c r="XBI7" s="0"/>
      <c r="XBJ7" s="0"/>
      <c r="XBK7" s="0"/>
      <c r="XBL7" s="0"/>
      <c r="XBM7" s="0"/>
      <c r="XBN7" s="0"/>
      <c r="XBO7" s="0"/>
      <c r="XBP7" s="0"/>
      <c r="XBQ7" s="0"/>
      <c r="XBR7" s="0"/>
      <c r="XBS7" s="0"/>
      <c r="XBT7" s="0"/>
      <c r="XBU7" s="0"/>
      <c r="XBV7" s="0"/>
      <c r="XBW7" s="0"/>
      <c r="XBX7" s="0"/>
      <c r="XBY7" s="0"/>
      <c r="XBZ7" s="0"/>
      <c r="XCA7" s="0"/>
      <c r="XCB7" s="0"/>
      <c r="XCC7" s="0"/>
      <c r="XCD7" s="0"/>
      <c r="XCE7" s="0"/>
      <c r="XCF7" s="0"/>
      <c r="XCG7" s="0"/>
      <c r="XCH7" s="0"/>
      <c r="XCI7" s="0"/>
      <c r="XCJ7" s="0"/>
      <c r="XCK7" s="0"/>
      <c r="XCL7" s="0"/>
      <c r="XCM7" s="0"/>
      <c r="XCN7" s="0"/>
      <c r="XCO7" s="0"/>
      <c r="XCP7" s="0"/>
      <c r="XCQ7" s="0"/>
      <c r="XCR7" s="0"/>
      <c r="XCS7" s="0"/>
      <c r="XCT7" s="0"/>
      <c r="XCU7" s="0"/>
      <c r="XCV7" s="0"/>
      <c r="XCW7" s="0"/>
      <c r="XCX7" s="0"/>
      <c r="XCY7" s="0"/>
      <c r="XCZ7" s="0"/>
      <c r="XDA7" s="0"/>
      <c r="XDB7" s="0"/>
      <c r="XDC7" s="0"/>
      <c r="XDD7" s="0"/>
      <c r="XDE7" s="0"/>
      <c r="XDF7" s="0"/>
      <c r="XDG7" s="0"/>
      <c r="XDH7" s="0"/>
      <c r="XDI7" s="0"/>
      <c r="XDJ7" s="0"/>
      <c r="XDK7" s="0"/>
      <c r="XDL7" s="0"/>
      <c r="XDM7" s="0"/>
      <c r="XDN7" s="0"/>
      <c r="XDO7" s="0"/>
      <c r="XDP7" s="0"/>
      <c r="XDQ7" s="0"/>
      <c r="XDR7" s="0"/>
      <c r="XDS7" s="0"/>
      <c r="XDT7" s="0"/>
      <c r="XDU7" s="0"/>
      <c r="XDV7" s="0"/>
      <c r="XDW7" s="0"/>
      <c r="XDX7" s="0"/>
      <c r="XDY7" s="0"/>
      <c r="XDZ7" s="0"/>
      <c r="XEA7" s="0"/>
      <c r="XEB7" s="0"/>
      <c r="XEC7" s="0"/>
      <c r="XED7" s="0"/>
      <c r="XEE7" s="0"/>
      <c r="XEF7" s="0"/>
      <c r="XEG7" s="0"/>
      <c r="XEH7" s="0"/>
      <c r="XEI7" s="0"/>
      <c r="XEJ7" s="0"/>
      <c r="XEK7" s="0"/>
      <c r="XEL7" s="0"/>
      <c r="XEM7" s="0"/>
      <c r="XEN7" s="0"/>
      <c r="XEO7" s="0"/>
      <c r="XEP7" s="0"/>
      <c r="XEQ7" s="0"/>
      <c r="XER7" s="0"/>
      <c r="XES7" s="0"/>
      <c r="XET7" s="0"/>
      <c r="XEU7" s="0"/>
      <c r="XEV7" s="0"/>
      <c r="XEW7" s="0"/>
      <c r="XEX7" s="0"/>
      <c r="XEY7" s="0"/>
      <c r="XEZ7" s="0"/>
      <c r="XFA7" s="0"/>
      <c r="XFB7" s="0"/>
      <c r="XFC7" s="0"/>
      <c r="XFD7" s="0"/>
    </row>
    <row r="8" customFormat="false" ht="15" hidden="false" customHeight="false" outlineLevel="0" collapsed="false">
      <c r="B8" s="8" t="s">
        <v>671</v>
      </c>
    </row>
    <row r="9" s="100" customFormat="true" ht="15" hidden="false" customHeight="false" outlineLevel="0" collapsed="false">
      <c r="A9" s="1"/>
      <c r="B9" s="1"/>
      <c r="C9" s="11" t="s">
        <v>672</v>
      </c>
      <c r="D9" s="25"/>
      <c r="E9" s="1"/>
      <c r="F9" s="1"/>
      <c r="G9" s="100" t="n">
        <f aca="false">SUM('2. NPV'!G9:G9)</f>
        <v>0</v>
      </c>
      <c r="H9" s="100" t="n">
        <f aca="false">'2. NPV'!H9</f>
        <v>3000000</v>
      </c>
      <c r="I9" s="100" t="n">
        <f aca="false">'2. NPV'!I9</f>
        <v>2000000</v>
      </c>
      <c r="J9" s="100" t="n">
        <f aca="false">'2. NPV'!J9</f>
        <v>2663550.88</v>
      </c>
      <c r="K9" s="100" t="n">
        <f aca="false">'2. NPV'!K9</f>
        <v>609898.70048</v>
      </c>
      <c r="L9" s="100" t="n">
        <f aca="false">'2. NPV'!L9</f>
        <v>162538.0131456</v>
      </c>
      <c r="M9" s="100" t="n">
        <f aca="false">'2. NPV'!M9</f>
        <v>366908.132519424</v>
      </c>
      <c r="N9" s="100" t="n">
        <f aca="false">'2. NPV'!N9</f>
        <v>872190.270471583</v>
      </c>
      <c r="O9" s="100" t="n">
        <f aca="false">'2. NPV'!O9</f>
        <v>754272.956805223</v>
      </c>
      <c r="P9" s="100" t="n">
        <f aca="false">'2. NPV'!P9</f>
        <v>127476.540653047</v>
      </c>
      <c r="Q9" s="100" t="n">
        <f aca="false">'2. NPV'!Q9</f>
        <v>3727254.70301926</v>
      </c>
      <c r="R9" s="100" t="n">
        <f aca="false">'2. NPV'!R9</f>
        <v>3801799.79707965</v>
      </c>
      <c r="S9" s="100" t="n">
        <f aca="false">'2. NPV'!S9</f>
        <v>3877835.79302124</v>
      </c>
      <c r="T9" s="100" t="n">
        <f aca="false">'2. NPV'!T9</f>
        <v>3955392.50888167</v>
      </c>
      <c r="U9" s="100" t="n">
        <f aca="false">'2. NPV'!U9</f>
        <v>4034500.3590593</v>
      </c>
      <c r="V9" s="100" t="n">
        <f aca="false">'2. NPV'!V9</f>
        <v>4115190.36624049</v>
      </c>
      <c r="W9" s="100" t="n">
        <f aca="false">'2. NPV'!W9</f>
        <v>4197494.1735653</v>
      </c>
      <c r="X9" s="100" t="n">
        <f aca="false">'2. NPV'!X9</f>
        <v>4281444.0570366</v>
      </c>
      <c r="Y9" s="100" t="n">
        <f aca="false">'2. NPV'!Y9</f>
        <v>4367072.93817733</v>
      </c>
      <c r="Z9" s="100" t="n">
        <f aca="false">'2. NPV'!Z9</f>
        <v>4454414.39694088</v>
      </c>
      <c r="AA9" s="100" t="n">
        <f aca="false">'2. NPV'!AA9</f>
        <v>4543502.6848797</v>
      </c>
      <c r="AB9" s="100" t="n">
        <f aca="false">'2. NPV'!AB9</f>
        <v>4634372.73857729</v>
      </c>
      <c r="AC9" s="100" t="n">
        <f aca="false">'2. NPV'!AC9</f>
        <v>4727060.19334884</v>
      </c>
      <c r="AD9" s="100" t="n">
        <f aca="false">'2. NPV'!AD9</f>
        <v>4821601.39721582</v>
      </c>
      <c r="AE9" s="100" t="n">
        <f aca="false">'2. NPV'!AE9</f>
        <v>4918033.42516013</v>
      </c>
      <c r="AF9" s="100" t="n">
        <f aca="false">'2. NPV'!AF9</f>
        <v>5016394.09366334</v>
      </c>
      <c r="AG9" s="100" t="n">
        <f aca="false">'2. NPV'!AG9</f>
        <v>5116721.9755366</v>
      </c>
      <c r="AH9" s="100" t="n">
        <f aca="false">'2. NPV'!AH9</f>
        <v>5219056.41504733</v>
      </c>
      <c r="AI9" s="100" t="n">
        <f aca="false">'2. NPV'!AI9</f>
        <v>5323437.54334828</v>
      </c>
      <c r="AJ9" s="100" t="n">
        <f aca="false">'2. NPV'!AJ9</f>
        <v>5429906.29421525</v>
      </c>
      <c r="AK9" s="100" t="n">
        <f aca="false">'2. NPV'!AK9</f>
        <v>5538504.42009955</v>
      </c>
      <c r="AL9" s="100" t="n">
        <f aca="false">'2. NPV'!AL9</f>
        <v>5649274.50850154</v>
      </c>
    </row>
    <row r="10" s="100" customFormat="true" ht="15" hidden="false" customHeight="false" outlineLevel="0" collapsed="false">
      <c r="A10" s="1"/>
      <c r="B10" s="1"/>
      <c r="C10" s="11" t="s">
        <v>673</v>
      </c>
      <c r="D10" s="25"/>
      <c r="E10" s="1"/>
      <c r="F10" s="1"/>
      <c r="H10" s="100" t="n">
        <f aca="false">'2. NPV'!H10</f>
        <v>0</v>
      </c>
      <c r="I10" s="100" t="n">
        <f aca="false">'2. NPV'!I10</f>
        <v>640513.53125</v>
      </c>
      <c r="J10" s="100" t="n">
        <f aca="false">'2. NPV'!J10</f>
        <v>6217535.7125</v>
      </c>
      <c r="K10" s="100" t="n">
        <f aca="false">'2. NPV'!K10</f>
        <v>11217332.929043</v>
      </c>
      <c r="L10" s="100" t="n">
        <f aca="false">'2. NPV'!L10</f>
        <v>12954963.4600615</v>
      </c>
      <c r="M10" s="100" t="n">
        <f aca="false">'2. NPV'!M10</f>
        <v>19267436.3735435</v>
      </c>
      <c r="N10" s="100" t="n">
        <f aca="false">'2. NPV'!N10</f>
        <v>20128253.6040146</v>
      </c>
      <c r="O10" s="100" t="n">
        <f aca="false">'2. NPV'!O10</f>
        <v>21020069.5482757</v>
      </c>
      <c r="P10" s="100" t="n">
        <f aca="false">'2. NPV'!P10</f>
        <v>21943896.1312474</v>
      </c>
      <c r="Q10" s="100" t="n">
        <f aca="false">'2. NPV'!Q10</f>
        <v>22900776.4999</v>
      </c>
      <c r="R10" s="100" t="n">
        <f aca="false">'2. NPV'!R10</f>
        <v>23473295.9123975</v>
      </c>
      <c r="S10" s="100" t="n">
        <f aca="false">'2. NPV'!S10</f>
        <v>24060128.3102075</v>
      </c>
      <c r="T10" s="100" t="n">
        <f aca="false">'2. NPV'!T10</f>
        <v>24661631.5179627</v>
      </c>
      <c r="U10" s="100" t="n">
        <f aca="false">'2. NPV'!U10</f>
        <v>25278172.3059117</v>
      </c>
      <c r="V10" s="100" t="n">
        <f aca="false">'2. NPV'!V10</f>
        <v>25910126.6135595</v>
      </c>
      <c r="W10" s="100" t="n">
        <f aca="false">'2. NPV'!W10</f>
        <v>26557879.7788985</v>
      </c>
      <c r="X10" s="100" t="n">
        <f aca="false">'2. NPV'!X10</f>
        <v>27221826.773371</v>
      </c>
      <c r="Y10" s="100" t="n">
        <f aca="false">'2. NPV'!Y10</f>
        <v>27902372.4427052</v>
      </c>
      <c r="Z10" s="100" t="n">
        <f aca="false">'2. NPV'!Z10</f>
        <v>28599931.7537729</v>
      </c>
      <c r="AA10" s="100" t="n">
        <f aca="false">'2. NPV'!AA10</f>
        <v>29314930.0476172</v>
      </c>
      <c r="AB10" s="100" t="n">
        <f aca="false">'2. NPV'!AB10</f>
        <v>30047803.2988076</v>
      </c>
      <c r="AC10" s="100" t="n">
        <f aca="false">'2. NPV'!AC10</f>
        <v>30798998.3812778</v>
      </c>
      <c r="AD10" s="100" t="n">
        <f aca="false">'2. NPV'!AD10</f>
        <v>31568973.3408098</v>
      </c>
      <c r="AE10" s="100" t="n">
        <f aca="false">'2. NPV'!AE10</f>
        <v>32358197.67433</v>
      </c>
      <c r="AF10" s="100" t="n">
        <f aca="false">'2. NPV'!AF10</f>
        <v>33167152.6161882</v>
      </c>
      <c r="AG10" s="100" t="n">
        <f aca="false">'2. NPV'!AG10</f>
        <v>33996331.4315929</v>
      </c>
      <c r="AH10" s="100" t="n">
        <f aca="false">'2. NPV'!AH10</f>
        <v>34846239.7173828</v>
      </c>
      <c r="AI10" s="100" t="n">
        <f aca="false">'2. NPV'!AI10</f>
        <v>35717395.7103173</v>
      </c>
      <c r="AJ10" s="100" t="n">
        <f aca="false">'2. NPV'!AJ10</f>
        <v>36610330.6030753</v>
      </c>
      <c r="AK10" s="100" t="n">
        <f aca="false">'2. NPV'!AK10</f>
        <v>37525588.8681521</v>
      </c>
      <c r="AL10" s="100" t="n">
        <f aca="false">'2. NPV'!AL10</f>
        <v>38463728.589856</v>
      </c>
    </row>
    <row r="11" customFormat="false" ht="15" hidden="false" customHeight="false" outlineLevel="0" collapsed="false">
      <c r="C11" s="11" t="s">
        <v>674</v>
      </c>
      <c r="H11" s="100" t="n">
        <f aca="false">-SUM('2. NPV'!H18:H19)</f>
        <v>-285147.526100772</v>
      </c>
      <c r="I11" s="100" t="n">
        <f aca="false">-SUM('2. NPV'!I18:I19)</f>
        <v>-297782.296867907</v>
      </c>
      <c r="J11" s="100" t="n">
        <f aca="false">-SUM('2. NPV'!J18:J19)</f>
        <v>-60545.6014845211</v>
      </c>
      <c r="K11" s="100" t="n">
        <f aca="false">-SUM('2. NPV'!K18:K19)</f>
        <v>-91926.7623524459</v>
      </c>
      <c r="L11" s="100" t="n">
        <f aca="false">-SUM('2. NPV'!L18:L19)</f>
        <v>-84992.9922218773</v>
      </c>
      <c r="M11" s="100" t="n">
        <f aca="false">-SUM('2. NPV'!M18:M19)</f>
        <v>-119898.3567643</v>
      </c>
      <c r="N11" s="100" t="n">
        <f aca="false">-SUM('2. NPV'!N18:N19)</f>
        <v>-114452.432830458</v>
      </c>
      <c r="O11" s="100" t="n">
        <f aca="false">-SUM('2. NPV'!O18:O19)</f>
        <v>-170434.987765083</v>
      </c>
      <c r="P11" s="100" t="n">
        <f aca="false">-SUM('2. NPV'!P18:P19)</f>
        <v>-146153.474078027</v>
      </c>
      <c r="Q11" s="100" t="n">
        <f aca="false">-SUM('2. NPV'!Q18:Q19)</f>
        <v>-171209.896623496</v>
      </c>
      <c r="R11" s="100" t="n">
        <f aca="false">-SUM('2. NPV'!R18:R19)</f>
        <v>-152058.074430779</v>
      </c>
      <c r="S11" s="100" t="n">
        <f aca="false">-SUM('2. NPV'!S18:S19)</f>
        <v>-178126.776447085</v>
      </c>
      <c r="T11" s="100" t="n">
        <f aca="false">-SUM('2. NPV'!T18:T19)</f>
        <v>-158201.220637783</v>
      </c>
      <c r="U11" s="100" t="n">
        <f aca="false">-SUM('2. NPV'!U18:U19)</f>
        <v>-206885.166064056</v>
      </c>
      <c r="V11" s="100" t="n">
        <f aca="false">-SUM('2. NPV'!V18:V19)</f>
        <v>-164592.549951549</v>
      </c>
      <c r="W11" s="100" t="n">
        <f aca="false">-SUM('2. NPV'!W18:W19)</f>
        <v>-192810.151383456</v>
      </c>
      <c r="X11" s="100" t="n">
        <f aca="false">-SUM('2. NPV'!X18:X19)</f>
        <v>-171242.088969592</v>
      </c>
      <c r="Y11" s="100" t="n">
        <f aca="false">-SUM('2. NPV'!Y18:Y19)</f>
        <v>-200599.681499347</v>
      </c>
      <c r="Z11" s="100" t="n">
        <f aca="false">-SUM('2. NPV'!Z18:Z19)</f>
        <v>-178160.269363963</v>
      </c>
      <c r="AA11" s="100" t="n">
        <f aca="false">-SUM('2. NPV'!AA18:AA19)</f>
        <v>-232986.299124531</v>
      </c>
      <c r="AB11" s="100" t="n">
        <f aca="false">-SUM('2. NPV'!AB18:AB19)</f>
        <v>-185357.944246268</v>
      </c>
      <c r="AC11" s="100" t="n">
        <f aca="false">-SUM('2. NPV'!AC18:AC19)</f>
        <v>-217135.54654065</v>
      </c>
      <c r="AD11" s="100" t="n">
        <f aca="false">-SUM('2. NPV'!AD18:AD19)</f>
        <v>-192846.405193817</v>
      </c>
      <c r="AE11" s="100" t="n">
        <f aca="false">-SUM('2. NPV'!AE18:AE19)</f>
        <v>-225907.822620893</v>
      </c>
      <c r="AF11" s="100" t="n">
        <f aca="false">-SUM('2. NPV'!AF18:AF19)</f>
        <v>-200637.399963647</v>
      </c>
      <c r="AG11" s="100" t="n">
        <f aca="false">-SUM('2. NPV'!AG18:AG19)</f>
        <v>-262380.414277448</v>
      </c>
      <c r="AH11" s="100" t="n">
        <f aca="false">-SUM('2. NPV'!AH18:AH19)</f>
        <v>-208743.150922178</v>
      </c>
      <c r="AI11" s="100" t="n">
        <f aca="false">-SUM('2. NPV'!AI18:AI19)</f>
        <v>-244529.89240043</v>
      </c>
      <c r="AJ11" s="100" t="n">
        <f aca="false">-SUM('2. NPV'!AJ18:AJ19)</f>
        <v>-217176.374219434</v>
      </c>
      <c r="AK11" s="100" t="n">
        <f aca="false">-SUM('2. NPV'!AK18:AK19)</f>
        <v>-254408.900053407</v>
      </c>
      <c r="AL11" s="100" t="n">
        <f aca="false">-SUM('2. NPV'!AL18:AL19)</f>
        <v>-225950.299737899</v>
      </c>
    </row>
    <row r="12" s="100" customFormat="true" ht="15" hidden="false" customHeight="false" outlineLevel="0" collapsed="false">
      <c r="A12" s="1"/>
      <c r="B12" s="1"/>
      <c r="C12" s="11" t="s">
        <v>675</v>
      </c>
      <c r="D12" s="25"/>
      <c r="E12" s="1"/>
      <c r="F12" s="1"/>
      <c r="G12" s="1"/>
      <c r="H12" s="100" t="n">
        <f aca="false">-SUM('6.P&amp;L'!H17:H27)</f>
        <v>-1234800</v>
      </c>
      <c r="I12" s="100" t="n">
        <f aca="false">-SUM('6.P&amp;L'!I17:I27)</f>
        <v>-2701549.961</v>
      </c>
      <c r="J12" s="100" t="n">
        <f aca="false">-SUM('6.P&amp;L'!J17:J27)</f>
        <v>-3630388.55525938</v>
      </c>
      <c r="K12" s="100" t="n">
        <f aca="false">-SUM('6.P&amp;L'!K17:K27)</f>
        <v>-4506368.40242531</v>
      </c>
      <c r="L12" s="100" t="n">
        <f aca="false">-SUM('6.P&amp;L'!L17:L27)</f>
        <v>-5135653.26216064</v>
      </c>
      <c r="M12" s="100" t="n">
        <f aca="false">-SUM('6.P&amp;L'!M17:M27)</f>
        <v>-5824084.28880929</v>
      </c>
      <c r="N12" s="100" t="n">
        <f aca="false">-SUM('6.P&amp;L'!N17:N27)</f>
        <v>-6277303.31510734</v>
      </c>
      <c r="O12" s="100" t="n">
        <f aca="false">-SUM('6.P&amp;L'!O17:O27)</f>
        <v>-6654793.1645583</v>
      </c>
      <c r="P12" s="100" t="n">
        <f aca="false">-SUM('6.P&amp;L'!P17:P27)</f>
        <v>-5516239.27463934</v>
      </c>
      <c r="Q12" s="100" t="n">
        <f aca="false">-SUM('6.P&amp;L'!Q17:Q27)</f>
        <v>-5110779.88078295</v>
      </c>
      <c r="R12" s="100" t="n">
        <f aca="false">-SUM('6.P&amp;L'!R17:R27)</f>
        <v>-5004130.06175335</v>
      </c>
      <c r="S12" s="100" t="n">
        <f aca="false">-SUM('6.P&amp;L'!S17:S27)</f>
        <v>-4943750.69835819</v>
      </c>
      <c r="T12" s="100" t="n">
        <f aca="false">-SUM('6.P&amp;L'!T17:T27)</f>
        <v>-4879138.36251425</v>
      </c>
      <c r="U12" s="100" t="n">
        <f aca="false">-SUM('6.P&amp;L'!U17:U27)</f>
        <v>-4989605.30798372</v>
      </c>
      <c r="V12" s="100" t="n">
        <f aca="false">-SUM('6.P&amp;L'!V17:V27)</f>
        <v>-5102740.14168288</v>
      </c>
      <c r="W12" s="100" t="n">
        <f aca="false">-SUM('6.P&amp;L'!W17:W27)</f>
        <v>-5218614.50735257</v>
      </c>
      <c r="X12" s="100" t="n">
        <f aca="false">-SUM('6.P&amp;L'!X17:X27)</f>
        <v>-5337302.27987002</v>
      </c>
      <c r="Y12" s="100" t="n">
        <f aca="false">-SUM('6.P&amp;L'!Y17:Y27)</f>
        <v>-5458879.64688371</v>
      </c>
      <c r="Z12" s="100" t="n">
        <f aca="false">-SUM('6.P&amp;L'!Z17:Z27)</f>
        <v>-5583425.19385906</v>
      </c>
      <c r="AA12" s="100" t="n">
        <f aca="false">-SUM('6.P&amp;L'!AA17:AA27)</f>
        <v>-5711019.99269012</v>
      </c>
      <c r="AB12" s="100" t="n">
        <f aca="false">-SUM('6.P&amp;L'!AB17:AB27)</f>
        <v>-5841747.69404018</v>
      </c>
      <c r="AC12" s="100" t="n">
        <f aca="false">-SUM('6.P&amp;L'!AC17:AC27)</f>
        <v>-5975694.62358161</v>
      </c>
      <c r="AD12" s="100" t="n">
        <f aca="false">-SUM('6.P&amp;L'!AD17:AD27)</f>
        <v>-6112949.88231368</v>
      </c>
      <c r="AE12" s="100" t="n">
        <f aca="false">-SUM('6.P&amp;L'!AE17:AE27)</f>
        <v>-6253605.45114563</v>
      </c>
      <c r="AF12" s="100" t="n">
        <f aca="false">-SUM('6.P&amp;L'!AF17:AF27)</f>
        <v>-6397756.29994102</v>
      </c>
      <c r="AG12" s="100" t="n">
        <f aca="false">-SUM('6.P&amp;L'!AG17:AG27)</f>
        <v>-6545500.50122914</v>
      </c>
      <c r="AH12" s="100" t="n">
        <f aca="false">-SUM('6.P&amp;L'!AH17:AH27)</f>
        <v>-6696939.3487989</v>
      </c>
      <c r="AI12" s="100" t="n">
        <f aca="false">-SUM('6.P&amp;L'!AI17:AI27)</f>
        <v>-6852177.481401</v>
      </c>
      <c r="AJ12" s="100" t="n">
        <f aca="false">-SUM('6.P&amp;L'!AJ17:AJ27)</f>
        <v>-7011323.01179524</v>
      </c>
      <c r="AK12" s="100" t="n">
        <f aca="false">-SUM('6.P&amp;L'!AK17:AK27)</f>
        <v>-7174487.66139093</v>
      </c>
      <c r="AL12" s="100" t="n">
        <f aca="false">-SUM('6.P&amp;L'!AL17:AL27)</f>
        <v>-7341786.90074065</v>
      </c>
    </row>
    <row r="13" s="100" customFormat="true" ht="15" hidden="false" customHeight="false" outlineLevel="0" collapsed="false">
      <c r="A13" s="1"/>
      <c r="B13" s="1"/>
      <c r="C13" s="11" t="s">
        <v>676</v>
      </c>
      <c r="D13" s="25"/>
      <c r="E13" s="1"/>
      <c r="F13" s="1"/>
      <c r="G13" s="1"/>
      <c r="H13" s="100" t="n">
        <f aca="false">-'9.BS Items'!H34</f>
        <v>5589.04109589041</v>
      </c>
      <c r="I13" s="100" t="n">
        <f aca="false">-'9.BS Items'!I34</f>
        <v>-105077.164811644</v>
      </c>
      <c r="J13" s="100" t="n">
        <f aca="false">-'9.BS Items'!J34</f>
        <v>-1457551.44974743</v>
      </c>
      <c r="K13" s="100" t="n">
        <f aca="false">-'9.BS Items'!K34</f>
        <v>-1295934.90102529</v>
      </c>
      <c r="L13" s="100" t="n">
        <f aca="false">-'9.BS Items'!L34</f>
        <v>-398588.240042413</v>
      </c>
      <c r="M13" s="100" t="n">
        <f aca="false">-'9.BS Items'!M34</f>
        <v>-1648233.39862741</v>
      </c>
      <c r="N13" s="100" t="n">
        <f aca="false">-'9.BS Items'!N34</f>
        <v>-150754.387126002</v>
      </c>
      <c r="O13" s="100" t="n">
        <f aca="false">-'9.BS Items'!O34</f>
        <v>-155229.487081456</v>
      </c>
      <c r="P13" s="100" t="n">
        <f aca="false">-'9.BS Items'!P34</f>
        <v>-170311.639495422</v>
      </c>
      <c r="Q13" s="100" t="n">
        <f aca="false">-'9.BS Items'!Q34</f>
        <v>-164781.502570064</v>
      </c>
      <c r="R13" s="100" t="n">
        <f aca="false">-'9.BS Items'!R34</f>
        <v>-138521.82823578</v>
      </c>
      <c r="S13" s="100" t="n">
        <f aca="false">-'9.BS Items'!S34</f>
        <v>-141984.873941676</v>
      </c>
      <c r="T13" s="100" t="n">
        <f aca="false">-'9.BS Items'!T34</f>
        <v>-145534.495790217</v>
      </c>
      <c r="U13" s="100" t="n">
        <f aca="false">-'9.BS Items'!U34</f>
        <v>-149172.858184972</v>
      </c>
      <c r="V13" s="100" t="n">
        <f aca="false">-'9.BS Items'!V34</f>
        <v>-152902.179639598</v>
      </c>
      <c r="W13" s="100" t="n">
        <f aca="false">-'9.BS Items'!W34</f>
        <v>-156724.734130587</v>
      </c>
      <c r="X13" s="100" t="n">
        <f aca="false">-'9.BS Items'!X34</f>
        <v>-160642.85248385</v>
      </c>
      <c r="Y13" s="100" t="n">
        <f aca="false">-'9.BS Items'!Y34</f>
        <v>-164658.92379595</v>
      </c>
      <c r="Z13" s="100" t="n">
        <f aca="false">-'9.BS Items'!Z34</f>
        <v>-168775.396890848</v>
      </c>
      <c r="AA13" s="100" t="n">
        <f aca="false">-'9.BS Items'!AA34</f>
        <v>-172994.781813115</v>
      </c>
      <c r="AB13" s="100" t="n">
        <f aca="false">-'9.BS Items'!AB34</f>
        <v>-177319.651358446</v>
      </c>
      <c r="AC13" s="100" t="n">
        <f aca="false">-'9.BS Items'!AC34</f>
        <v>-181752.642642406</v>
      </c>
      <c r="AD13" s="100" t="n">
        <f aca="false">-'9.BS Items'!AD34</f>
        <v>-186296.458708469</v>
      </c>
      <c r="AE13" s="100" t="n">
        <f aca="false">-'9.BS Items'!AE34</f>
        <v>-190953.870176178</v>
      </c>
      <c r="AF13" s="100" t="n">
        <f aca="false">-'9.BS Items'!AF34</f>
        <v>-195727.71693058</v>
      </c>
      <c r="AG13" s="100" t="n">
        <f aca="false">-'9.BS Items'!AG34</f>
        <v>-200620.909853849</v>
      </c>
      <c r="AH13" s="100" t="n">
        <f aca="false">-'9.BS Items'!AH34</f>
        <v>-205636.432600192</v>
      </c>
      <c r="AI13" s="100" t="n">
        <f aca="false">-'9.BS Items'!AI34</f>
        <v>-210777.343415197</v>
      </c>
      <c r="AJ13" s="100" t="n">
        <f aca="false">-'9.BS Items'!AJ34</f>
        <v>-216046.777000582</v>
      </c>
      <c r="AK13" s="100" t="n">
        <f aca="false">-'9.BS Items'!AK34</f>
        <v>-221447.946425591</v>
      </c>
      <c r="AL13" s="100" t="n">
        <f aca="false">-'9.BS Items'!AL34</f>
        <v>-226984.145086236</v>
      </c>
    </row>
    <row r="14" s="100" customFormat="true" ht="15" hidden="false" customHeight="false" outlineLevel="0" collapsed="false">
      <c r="A14" s="1"/>
      <c r="B14" s="427" t="s">
        <v>677</v>
      </c>
      <c r="C14" s="428"/>
      <c r="D14" s="429"/>
      <c r="E14" s="430"/>
      <c r="F14" s="430"/>
      <c r="G14" s="430"/>
      <c r="H14" s="431" t="n">
        <f aca="false">SUM(H9:H13)</f>
        <v>1485641.51499512</v>
      </c>
      <c r="I14" s="431" t="n">
        <f aca="false">SUM(I9:I13)</f>
        <v>-463895.891429551</v>
      </c>
      <c r="J14" s="431" t="n">
        <f aca="false">SUM(J9:J13)</f>
        <v>3732600.98600867</v>
      </c>
      <c r="K14" s="431" t="n">
        <f aca="false">SUM(K9:K13)</f>
        <v>5933001.56371992</v>
      </c>
      <c r="L14" s="431" t="n">
        <f aca="false">SUM(L9:L13)</f>
        <v>7498266.97878219</v>
      </c>
      <c r="M14" s="431" t="n">
        <f aca="false">SUM(M9:M13)</f>
        <v>12042128.4618619</v>
      </c>
      <c r="N14" s="431" t="n">
        <f aca="false">SUM(N9:N13)</f>
        <v>14457933.7394224</v>
      </c>
      <c r="O14" s="431" t="n">
        <f aca="false">SUM(O9:O13)</f>
        <v>14793884.8656761</v>
      </c>
      <c r="P14" s="431" t="n">
        <f aca="false">SUM(P9:P13)</f>
        <v>16238668.2836877</v>
      </c>
      <c r="Q14" s="431" t="n">
        <f aca="false">SUM(Q9:Q13)</f>
        <v>21181259.9229428</v>
      </c>
      <c r="R14" s="431" t="n">
        <f aca="false">SUM(R9:R13)</f>
        <v>21980385.7450573</v>
      </c>
      <c r="S14" s="431" t="n">
        <f aca="false">SUM(S9:S13)</f>
        <v>22674101.7544818</v>
      </c>
      <c r="T14" s="431" t="n">
        <f aca="false">SUM(T9:T13)</f>
        <v>23434149.9479021</v>
      </c>
      <c r="U14" s="431" t="n">
        <f aca="false">SUM(U9:U13)</f>
        <v>23967009.3327383</v>
      </c>
      <c r="V14" s="431" t="n">
        <f aca="false">SUM(V9:V13)</f>
        <v>24605082.108526</v>
      </c>
      <c r="W14" s="431" t="n">
        <f aca="false">SUM(W9:W13)</f>
        <v>25187224.5595972</v>
      </c>
      <c r="X14" s="431" t="n">
        <f aca="false">SUM(X9:X13)</f>
        <v>25834083.6090841</v>
      </c>
      <c r="Y14" s="431" t="n">
        <f aca="false">SUM(Y9:Y13)</f>
        <v>26445307.1287036</v>
      </c>
      <c r="Z14" s="431" t="n">
        <f aca="false">SUM(Z9:Z13)</f>
        <v>27123985.2905999</v>
      </c>
      <c r="AA14" s="431" t="n">
        <f aca="false">SUM(AA9:AA13)</f>
        <v>27741431.6588691</v>
      </c>
      <c r="AB14" s="431" t="n">
        <f aca="false">SUM(AB9:AB13)</f>
        <v>28477750.74774</v>
      </c>
      <c r="AC14" s="431" t="n">
        <f aca="false">SUM(AC9:AC13)</f>
        <v>29151475.761862</v>
      </c>
      <c r="AD14" s="431" t="n">
        <f aca="false">SUM(AD9:AD13)</f>
        <v>29898481.9918096</v>
      </c>
      <c r="AE14" s="431" t="n">
        <f aca="false">SUM(AE9:AE13)</f>
        <v>30605763.9555474</v>
      </c>
      <c r="AF14" s="431" t="n">
        <f aca="false">SUM(AF9:AF13)</f>
        <v>31389425.2930163</v>
      </c>
      <c r="AG14" s="431" t="n">
        <f aca="false">SUM(AG9:AG13)</f>
        <v>32104551.5817691</v>
      </c>
      <c r="AH14" s="431" t="n">
        <f aca="false">SUM(AH9:AH13)</f>
        <v>32953977.2001088</v>
      </c>
      <c r="AI14" s="431" t="n">
        <f aca="false">SUM(AI9:AI13)</f>
        <v>33733348.536449</v>
      </c>
      <c r="AJ14" s="431" t="n">
        <f aca="false">SUM(AJ9:AJ13)</f>
        <v>34595690.7342753</v>
      </c>
      <c r="AK14" s="431" t="n">
        <f aca="false">SUM(AK9:AK13)</f>
        <v>35413748.7803818</v>
      </c>
      <c r="AL14" s="431" t="n">
        <f aca="false">SUM(AL9:AL13)</f>
        <v>36318281.7527927</v>
      </c>
    </row>
    <row r="15" s="100" customFormat="true" ht="15" hidden="false" customHeight="false" outlineLevel="0" collapsed="false">
      <c r="A15" s="1"/>
      <c r="B15" s="1"/>
      <c r="D15" s="25"/>
      <c r="E15" s="1"/>
      <c r="F15" s="1"/>
      <c r="G15" s="1"/>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c r="AK15" s="432"/>
      <c r="AL15" s="432"/>
    </row>
    <row r="16" s="100" customFormat="true" ht="15" hidden="false" customHeight="false" outlineLevel="0" collapsed="false">
      <c r="A16" s="1"/>
      <c r="B16" s="8" t="s">
        <v>678</v>
      </c>
      <c r="D16" s="25"/>
      <c r="E16" s="1"/>
      <c r="F16" s="1"/>
      <c r="G16" s="1"/>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c r="AK16" s="432"/>
      <c r="AL16" s="432"/>
    </row>
    <row r="17" s="100" customFormat="true" ht="15" hidden="false" customHeight="false" outlineLevel="0" collapsed="false">
      <c r="A17" s="1"/>
      <c r="B17" s="1"/>
      <c r="C17" s="11" t="s">
        <v>679</v>
      </c>
      <c r="D17" s="25"/>
      <c r="E17" s="110"/>
      <c r="F17" s="110"/>
      <c r="G17" s="1"/>
      <c r="H17" s="100" t="n">
        <f aca="false">-'10.Depn'!H21</f>
        <v>-1116372.625</v>
      </c>
      <c r="I17" s="100" t="n">
        <f aca="false">-'10.Depn'!I21</f>
        <v>-1539086.5575</v>
      </c>
      <c r="J17" s="100" t="n">
        <f aca="false">-'10.Depn'!J21</f>
        <v>-1083623.481</v>
      </c>
      <c r="K17" s="100" t="n">
        <f aca="false">-'10.Depn'!K21</f>
        <v>-1116838.6758</v>
      </c>
      <c r="L17" s="100" t="n">
        <f aca="false">-'10.Depn'!L21</f>
        <v>-1235809.94652</v>
      </c>
      <c r="M17" s="100" t="n">
        <f aca="false">-'10.Depn'!M21</f>
        <v>-1221231.7844991</v>
      </c>
      <c r="N17" s="100" t="n">
        <f aca="false">-'10.Depn'!N21</f>
        <v>-1345948.4274799</v>
      </c>
      <c r="O17" s="100" t="n">
        <f aca="false">-'10.Depn'!O21</f>
        <v>-1406764.78291539</v>
      </c>
      <c r="P17" s="100" t="n">
        <f aca="false">-'10.Depn'!P21</f>
        <v>-1471830.55484665</v>
      </c>
      <c r="Q17" s="100" t="n">
        <f aca="false">-'10.Depn'!Q21</f>
        <v>-1540044.16603018</v>
      </c>
      <c r="R17" s="100" t="n">
        <f aca="false">-'10.Depn'!R21</f>
        <v>-469793.074822719</v>
      </c>
      <c r="S17" s="100" t="n">
        <f aca="false">-'10.Depn'!S21</f>
        <v>-487687.544176079</v>
      </c>
      <c r="T17" s="100" t="n">
        <f aca="false">-'10.Depn'!T21</f>
        <v>-506364.833309352</v>
      </c>
      <c r="U17" s="100" t="n">
        <f aca="false">-'10.Depn'!U21</f>
        <v>-525861.845137777</v>
      </c>
      <c r="V17" s="100" t="n">
        <f aca="false">-'10.Depn'!V21</f>
        <v>-546217.282960883</v>
      </c>
      <c r="W17" s="100" t="n">
        <f aca="false">-'10.Depn'!W21</f>
        <v>-567471.739586469</v>
      </c>
      <c r="X17" s="100" t="n">
        <f aca="false">-'10.Depn'!X21</f>
        <v>-589667.790892885</v>
      </c>
      <c r="Y17" s="100" t="n">
        <f aca="false">-'10.Depn'!Y21</f>
        <v>-612850.094051163</v>
      </c>
      <c r="Z17" s="100" t="n">
        <f aca="false">-'10.Depn'!Z21</f>
        <v>-637065.490639628</v>
      </c>
      <c r="AA17" s="100" t="n">
        <f aca="false">-'10.Depn'!AA21</f>
        <v>-662363.114895234</v>
      </c>
      <c r="AB17" s="100" t="n">
        <f aca="false">-'10.Depn'!AB21</f>
        <v>-688794.507358093</v>
      </c>
      <c r="AC17" s="100" t="n">
        <f aca="false">-'10.Depn'!AC21</f>
        <v>-716413.734178457</v>
      </c>
      <c r="AD17" s="100" t="n">
        <f aca="false">-'10.Depn'!AD21</f>
        <v>-745277.512368889</v>
      </c>
      <c r="AE17" s="100" t="n">
        <f aca="false">-'10.Depn'!AE21</f>
        <v>-775445.341298472</v>
      </c>
      <c r="AF17" s="100" t="n">
        <f aca="false">-'10.Depn'!AF21</f>
        <v>-806979.640740757</v>
      </c>
      <c r="AG17" s="100" t="n">
        <f aca="false">-'10.Depn'!AG21</f>
        <v>-839945.895802704</v>
      </c>
      <c r="AH17" s="100" t="n">
        <f aca="false">-'10.Depn'!AH21</f>
        <v>-874412.809078246</v>
      </c>
      <c r="AI17" s="100" t="n">
        <f aca="false">-'10.Depn'!AI21</f>
        <v>-910452.460387273</v>
      </c>
      <c r="AJ17" s="100" t="n">
        <f aca="false">-'10.Depn'!AJ21</f>
        <v>-948140.474478854</v>
      </c>
      <c r="AK17" s="100" t="n">
        <f aca="false">-'10.Depn'!AK21</f>
        <v>-987556.197096458</v>
      </c>
      <c r="AL17" s="100" t="n">
        <f aca="false">-'10.Depn'!AL21</f>
        <v>-1028782.87982282</v>
      </c>
    </row>
    <row r="18" s="100" customFormat="true" ht="15" hidden="false" customHeight="false" outlineLevel="0" collapsed="false">
      <c r="A18" s="1"/>
      <c r="B18" s="427" t="s">
        <v>680</v>
      </c>
      <c r="C18" s="428"/>
      <c r="D18" s="429"/>
      <c r="E18" s="430"/>
      <c r="F18" s="430"/>
      <c r="G18" s="428"/>
      <c r="H18" s="427" t="n">
        <f aca="false">SUM(H17:H17)</f>
        <v>-1116372.625</v>
      </c>
      <c r="I18" s="427" t="n">
        <f aca="false">SUM(I17:I17)</f>
        <v>-1539086.5575</v>
      </c>
      <c r="J18" s="427" t="n">
        <f aca="false">SUM(J17:J17)</f>
        <v>-1083623.481</v>
      </c>
      <c r="K18" s="427" t="n">
        <f aca="false">SUM(K17:K17)</f>
        <v>-1116838.6758</v>
      </c>
      <c r="L18" s="427" t="n">
        <f aca="false">SUM(L17:L17)</f>
        <v>-1235809.94652</v>
      </c>
      <c r="M18" s="427" t="n">
        <f aca="false">SUM(M17:M17)</f>
        <v>-1221231.7844991</v>
      </c>
      <c r="N18" s="427" t="n">
        <f aca="false">SUM(N17:N17)</f>
        <v>-1345948.4274799</v>
      </c>
      <c r="O18" s="427" t="n">
        <f aca="false">SUM(O17:O17)</f>
        <v>-1406764.78291539</v>
      </c>
      <c r="P18" s="427" t="n">
        <f aca="false">SUM(P17:P17)</f>
        <v>-1471830.55484665</v>
      </c>
      <c r="Q18" s="427" t="n">
        <f aca="false">SUM(Q17:Q17)</f>
        <v>-1540044.16603018</v>
      </c>
      <c r="R18" s="427" t="n">
        <f aca="false">SUM(R17:R17)</f>
        <v>-469793.074822719</v>
      </c>
      <c r="S18" s="427" t="n">
        <f aca="false">SUM(S17:S17)</f>
        <v>-487687.544176079</v>
      </c>
      <c r="T18" s="427" t="n">
        <f aca="false">SUM(T17:T17)</f>
        <v>-506364.833309352</v>
      </c>
      <c r="U18" s="427" t="n">
        <f aca="false">SUM(U17:U17)</f>
        <v>-525861.845137777</v>
      </c>
      <c r="V18" s="427" t="n">
        <f aca="false">SUM(V17:V17)</f>
        <v>-546217.282960883</v>
      </c>
      <c r="W18" s="427" t="n">
        <f aca="false">SUM(W17:W17)</f>
        <v>-567471.739586469</v>
      </c>
      <c r="X18" s="427" t="n">
        <f aca="false">SUM(X17:X17)</f>
        <v>-589667.790892885</v>
      </c>
      <c r="Y18" s="427" t="n">
        <f aca="false">SUM(Y17:Y17)</f>
        <v>-612850.094051163</v>
      </c>
      <c r="Z18" s="427" t="n">
        <f aca="false">SUM(Z17:Z17)</f>
        <v>-637065.490639628</v>
      </c>
      <c r="AA18" s="427" t="n">
        <f aca="false">SUM(AA17:AA17)</f>
        <v>-662363.114895234</v>
      </c>
      <c r="AB18" s="427" t="n">
        <f aca="false">SUM(AB17:AB17)</f>
        <v>-688794.507358093</v>
      </c>
      <c r="AC18" s="427" t="n">
        <f aca="false">SUM(AC17:AC17)</f>
        <v>-716413.734178457</v>
      </c>
      <c r="AD18" s="427" t="n">
        <f aca="false">SUM(AD17:AD17)</f>
        <v>-745277.512368889</v>
      </c>
      <c r="AE18" s="427" t="n">
        <f aca="false">SUM(AE17:AE17)</f>
        <v>-775445.341298472</v>
      </c>
      <c r="AF18" s="427" t="n">
        <f aca="false">SUM(AF17:AF17)</f>
        <v>-806979.640740757</v>
      </c>
      <c r="AG18" s="427" t="n">
        <f aca="false">SUM(AG17:AG17)</f>
        <v>-839945.895802704</v>
      </c>
      <c r="AH18" s="427" t="n">
        <f aca="false">SUM(AH17:AH17)</f>
        <v>-874412.809078246</v>
      </c>
      <c r="AI18" s="427" t="n">
        <f aca="false">SUM(AI17:AI17)</f>
        <v>-910452.460387273</v>
      </c>
      <c r="AJ18" s="427" t="n">
        <f aca="false">SUM(AJ17:AJ17)</f>
        <v>-948140.474478854</v>
      </c>
      <c r="AK18" s="427" t="n">
        <f aca="false">SUM(AK17:AK17)</f>
        <v>-987556.197096458</v>
      </c>
      <c r="AL18" s="427" t="n">
        <f aca="false">SUM(AL17:AL17)</f>
        <v>-1028782.87982282</v>
      </c>
    </row>
    <row r="19" s="100" customFormat="true" ht="15" hidden="false" customHeight="false" outlineLevel="0" collapsed="false">
      <c r="A19" s="1"/>
      <c r="B19" s="1"/>
    </row>
    <row r="20" s="100" customFormat="true" ht="15" hidden="false" customHeight="false" outlineLevel="0" collapsed="false">
      <c r="A20" s="1"/>
      <c r="B20" s="10" t="s">
        <v>681</v>
      </c>
      <c r="D20" s="25"/>
      <c r="E20" s="1"/>
      <c r="F20" s="1"/>
      <c r="G20" s="1"/>
      <c r="H20" s="432"/>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2"/>
      <c r="AG20" s="432"/>
      <c r="AH20" s="432"/>
      <c r="AI20" s="432"/>
      <c r="AJ20" s="432"/>
      <c r="AK20" s="432"/>
      <c r="AL20" s="432"/>
    </row>
    <row r="21" s="100" customFormat="true" ht="15" hidden="false" customHeight="false" outlineLevel="0" collapsed="false">
      <c r="A21" s="1"/>
      <c r="B21" s="1"/>
      <c r="C21" s="11" t="s">
        <v>682</v>
      </c>
      <c r="D21" s="25"/>
      <c r="E21" s="1"/>
      <c r="F21" s="1"/>
      <c r="G21" s="1"/>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row>
    <row r="22" s="100" customFormat="true" ht="15" hidden="false" customHeight="false" outlineLevel="0" collapsed="false">
      <c r="A22" s="1"/>
      <c r="B22" s="1"/>
      <c r="C22" s="11" t="s">
        <v>683</v>
      </c>
      <c r="D22" s="25"/>
      <c r="E22" s="1"/>
      <c r="F22" s="1"/>
      <c r="G22" s="1"/>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row>
    <row r="23" s="100" customFormat="true" ht="15" hidden="false" customHeight="false" outlineLevel="0" collapsed="false">
      <c r="A23" s="1"/>
      <c r="B23" s="1"/>
      <c r="C23" s="11" t="s">
        <v>684</v>
      </c>
      <c r="D23" s="25"/>
      <c r="E23" s="1"/>
      <c r="F23" s="1"/>
      <c r="G23" s="1"/>
      <c r="H23" s="103" t="n">
        <f aca="false">'9.BS Items'!H84</f>
        <v>0</v>
      </c>
      <c r="I23" s="103" t="n">
        <f aca="false">'9.BS Items'!I84</f>
        <v>5000000</v>
      </c>
      <c r="J23" s="103" t="n">
        <f aca="false">'9.BS Items'!J84</f>
        <v>0</v>
      </c>
      <c r="K23" s="103" t="n">
        <f aca="false">'9.BS Items'!K84</f>
        <v>0</v>
      </c>
      <c r="L23" s="103" t="n">
        <f aca="false">'9.BS Items'!L84</f>
        <v>0</v>
      </c>
      <c r="M23" s="103" t="n">
        <f aca="false">'9.BS Items'!M84</f>
        <v>0</v>
      </c>
      <c r="N23" s="103" t="n">
        <f aca="false">'9.BS Items'!N84</f>
        <v>0</v>
      </c>
      <c r="O23" s="103" t="n">
        <f aca="false">'9.BS Items'!O84</f>
        <v>0</v>
      </c>
      <c r="P23" s="103" t="n">
        <f aca="false">'9.BS Items'!P84</f>
        <v>0</v>
      </c>
      <c r="Q23" s="103" t="n">
        <f aca="false">'9.BS Items'!Q84</f>
        <v>0</v>
      </c>
      <c r="R23" s="103" t="n">
        <f aca="false">'9.BS Items'!R84</f>
        <v>0</v>
      </c>
      <c r="S23" s="103" t="n">
        <f aca="false">'9.BS Items'!S84</f>
        <v>0</v>
      </c>
      <c r="T23" s="103" t="n">
        <f aca="false">'9.BS Items'!T84</f>
        <v>0</v>
      </c>
      <c r="U23" s="103" t="n">
        <f aca="false">'9.BS Items'!U84</f>
        <v>0</v>
      </c>
      <c r="V23" s="103" t="n">
        <f aca="false">'9.BS Items'!V84</f>
        <v>0</v>
      </c>
      <c r="W23" s="103" t="n">
        <f aca="false">'9.BS Items'!W84</f>
        <v>0</v>
      </c>
      <c r="X23" s="103" t="n">
        <f aca="false">'9.BS Items'!X84</f>
        <v>0</v>
      </c>
      <c r="Y23" s="103" t="n">
        <f aca="false">'9.BS Items'!Y84</f>
        <v>0</v>
      </c>
      <c r="Z23" s="103" t="n">
        <f aca="false">'9.BS Items'!Z84</f>
        <v>0</v>
      </c>
      <c r="AA23" s="103" t="n">
        <f aca="false">'9.BS Items'!AA84</f>
        <v>0</v>
      </c>
      <c r="AB23" s="103" t="n">
        <f aca="false">'9.BS Items'!AB84</f>
        <v>0</v>
      </c>
      <c r="AC23" s="103" t="n">
        <f aca="false">'9.BS Items'!AC84</f>
        <v>0</v>
      </c>
      <c r="AD23" s="103" t="n">
        <f aca="false">'9.BS Items'!AD84</f>
        <v>0</v>
      </c>
      <c r="AE23" s="103" t="n">
        <f aca="false">'9.BS Items'!AE84</f>
        <v>0</v>
      </c>
      <c r="AF23" s="103" t="n">
        <f aca="false">'9.BS Items'!AF84</f>
        <v>0</v>
      </c>
      <c r="AG23" s="103" t="n">
        <f aca="false">'9.BS Items'!AG84</f>
        <v>0</v>
      </c>
      <c r="AH23" s="103" t="n">
        <f aca="false">'9.BS Items'!AH84</f>
        <v>0</v>
      </c>
      <c r="AI23" s="103" t="n">
        <f aca="false">'9.BS Items'!AI84</f>
        <v>0</v>
      </c>
      <c r="AJ23" s="103" t="n">
        <f aca="false">'9.BS Items'!AJ84</f>
        <v>0</v>
      </c>
      <c r="AK23" s="103" t="n">
        <f aca="false">'9.BS Items'!AK84</f>
        <v>0</v>
      </c>
      <c r="AL23" s="103" t="n">
        <f aca="false">'9.BS Items'!AL84</f>
        <v>0</v>
      </c>
    </row>
    <row r="24" s="100" customFormat="true" ht="15" hidden="false" customHeight="false" outlineLevel="0" collapsed="false">
      <c r="A24" s="1"/>
      <c r="B24" s="1"/>
      <c r="C24" s="11" t="s">
        <v>685</v>
      </c>
      <c r="D24" s="25"/>
      <c r="E24" s="1"/>
      <c r="F24" s="1"/>
      <c r="G24" s="1"/>
      <c r="H24" s="103" t="n">
        <f aca="false">'9.BS Items'!H85</f>
        <v>0</v>
      </c>
      <c r="I24" s="103" t="n">
        <f aca="false">'9.BS Items'!I85</f>
        <v>0</v>
      </c>
      <c r="J24" s="103" t="n">
        <f aca="false">'9.BS Items'!J85</f>
        <v>0</v>
      </c>
      <c r="K24" s="103" t="n">
        <f aca="false">'9.BS Items'!K85</f>
        <v>-500000</v>
      </c>
      <c r="L24" s="103" t="n">
        <f aca="false">'9.BS Items'!L85</f>
        <v>-500000</v>
      </c>
      <c r="M24" s="103" t="n">
        <f aca="false">'9.BS Items'!M85</f>
        <v>-500000</v>
      </c>
      <c r="N24" s="103" t="n">
        <f aca="false">'9.BS Items'!N85</f>
        <v>-500000</v>
      </c>
      <c r="O24" s="103" t="n">
        <f aca="false">'9.BS Items'!O85</f>
        <v>-500000</v>
      </c>
      <c r="P24" s="103" t="n">
        <f aca="false">'9.BS Items'!P85</f>
        <v>-500000</v>
      </c>
      <c r="Q24" s="103" t="n">
        <f aca="false">'9.BS Items'!Q85</f>
        <v>-500000</v>
      </c>
      <c r="R24" s="103" t="n">
        <f aca="false">'9.BS Items'!R85</f>
        <v>-500000</v>
      </c>
      <c r="S24" s="103" t="n">
        <f aca="false">'9.BS Items'!S85</f>
        <v>-500000</v>
      </c>
      <c r="T24" s="103" t="n">
        <f aca="false">'9.BS Items'!T85</f>
        <v>-500000</v>
      </c>
      <c r="U24" s="103" t="n">
        <f aca="false">'9.BS Items'!U85</f>
        <v>0</v>
      </c>
      <c r="V24" s="103" t="n">
        <f aca="false">'9.BS Items'!V85</f>
        <v>0</v>
      </c>
      <c r="W24" s="103" t="n">
        <f aca="false">'9.BS Items'!W85</f>
        <v>0</v>
      </c>
      <c r="X24" s="103" t="n">
        <f aca="false">'9.BS Items'!X85</f>
        <v>0</v>
      </c>
      <c r="Y24" s="103" t="n">
        <f aca="false">'9.BS Items'!Y85</f>
        <v>0</v>
      </c>
      <c r="Z24" s="103" t="n">
        <f aca="false">'9.BS Items'!Z85</f>
        <v>0</v>
      </c>
      <c r="AA24" s="103" t="n">
        <f aca="false">'9.BS Items'!AA85</f>
        <v>0</v>
      </c>
      <c r="AB24" s="103" t="n">
        <f aca="false">'9.BS Items'!AB85</f>
        <v>0</v>
      </c>
      <c r="AC24" s="103" t="n">
        <f aca="false">'9.BS Items'!AC85</f>
        <v>0</v>
      </c>
      <c r="AD24" s="103" t="n">
        <f aca="false">'9.BS Items'!AD85</f>
        <v>0</v>
      </c>
      <c r="AE24" s="103" t="n">
        <f aca="false">'9.BS Items'!AE85</f>
        <v>0</v>
      </c>
      <c r="AF24" s="103" t="n">
        <f aca="false">'9.BS Items'!AF85</f>
        <v>0</v>
      </c>
      <c r="AG24" s="103" t="n">
        <f aca="false">'9.BS Items'!AG85</f>
        <v>0</v>
      </c>
      <c r="AH24" s="103" t="n">
        <f aca="false">'9.BS Items'!AH85</f>
        <v>0</v>
      </c>
      <c r="AI24" s="103" t="n">
        <f aca="false">'9.BS Items'!AI85</f>
        <v>0</v>
      </c>
      <c r="AJ24" s="103" t="n">
        <f aca="false">'9.BS Items'!AJ85</f>
        <v>0</v>
      </c>
      <c r="AK24" s="103" t="n">
        <f aca="false">'9.BS Items'!AK85</f>
        <v>0</v>
      </c>
      <c r="AL24" s="103" t="n">
        <f aca="false">'9.BS Items'!AL85</f>
        <v>0</v>
      </c>
    </row>
    <row r="25" s="100" customFormat="true" ht="15" hidden="false" customHeight="false" outlineLevel="0" collapsed="false">
      <c r="A25" s="1"/>
      <c r="B25" s="1"/>
      <c r="C25" s="11" t="s">
        <v>686</v>
      </c>
      <c r="D25" s="25"/>
      <c r="E25" s="1"/>
      <c r="F25" s="1"/>
      <c r="G25" s="1"/>
      <c r="H25" s="103" t="n">
        <f aca="false">-'9.BS Items'!H88</f>
        <v>0</v>
      </c>
      <c r="I25" s="103" t="n">
        <f aca="false">-'9.BS Items'!I88</f>
        <v>-175000</v>
      </c>
      <c r="J25" s="103" t="n">
        <f aca="false">-'9.BS Items'!J88</f>
        <v>-350000</v>
      </c>
      <c r="K25" s="103" t="n">
        <f aca="false">-'9.BS Items'!K88</f>
        <v>-332500</v>
      </c>
      <c r="L25" s="103" t="n">
        <f aca="false">-'9.BS Items'!L88</f>
        <v>-297500</v>
      </c>
      <c r="M25" s="103" t="n">
        <f aca="false">-'9.BS Items'!M88</f>
        <v>-262500</v>
      </c>
      <c r="N25" s="103" t="n">
        <f aca="false">-'9.BS Items'!N88</f>
        <v>-227500</v>
      </c>
      <c r="O25" s="103" t="n">
        <f aca="false">-'9.BS Items'!O88</f>
        <v>-192500</v>
      </c>
      <c r="P25" s="103" t="n">
        <f aca="false">-'9.BS Items'!P88</f>
        <v>-157500</v>
      </c>
      <c r="Q25" s="103" t="n">
        <f aca="false">-'9.BS Items'!Q88</f>
        <v>-122500</v>
      </c>
      <c r="R25" s="103" t="n">
        <f aca="false">-'9.BS Items'!R88</f>
        <v>-87500</v>
      </c>
      <c r="S25" s="103" t="n">
        <f aca="false">-'9.BS Items'!S88</f>
        <v>-52500</v>
      </c>
      <c r="T25" s="103" t="n">
        <f aca="false">-'9.BS Items'!T88</f>
        <v>-17500</v>
      </c>
      <c r="U25" s="103" t="n">
        <f aca="false">-'9.BS Items'!U88</f>
        <v>0</v>
      </c>
      <c r="V25" s="103" t="n">
        <f aca="false">-'9.BS Items'!V88</f>
        <v>0</v>
      </c>
      <c r="W25" s="103" t="n">
        <f aca="false">-'9.BS Items'!W88</f>
        <v>0</v>
      </c>
      <c r="X25" s="103" t="n">
        <f aca="false">-'9.BS Items'!X88</f>
        <v>0</v>
      </c>
      <c r="Y25" s="103" t="n">
        <f aca="false">-'9.BS Items'!Y88</f>
        <v>0</v>
      </c>
      <c r="Z25" s="103" t="n">
        <f aca="false">-'9.BS Items'!Z88</f>
        <v>0</v>
      </c>
      <c r="AA25" s="103" t="n">
        <f aca="false">-'9.BS Items'!AA88</f>
        <v>0</v>
      </c>
      <c r="AB25" s="103" t="n">
        <f aca="false">-'9.BS Items'!AB88</f>
        <v>0</v>
      </c>
      <c r="AC25" s="103" t="n">
        <f aca="false">-'9.BS Items'!AC88</f>
        <v>0</v>
      </c>
      <c r="AD25" s="103" t="n">
        <f aca="false">-'9.BS Items'!AD88</f>
        <v>0</v>
      </c>
      <c r="AE25" s="103" t="n">
        <f aca="false">-'9.BS Items'!AE88</f>
        <v>0</v>
      </c>
      <c r="AF25" s="103" t="n">
        <f aca="false">-'9.BS Items'!AF88</f>
        <v>0</v>
      </c>
      <c r="AG25" s="103" t="n">
        <f aca="false">-'9.BS Items'!AG88</f>
        <v>0</v>
      </c>
      <c r="AH25" s="103" t="n">
        <f aca="false">-'9.BS Items'!AH88</f>
        <v>0</v>
      </c>
      <c r="AI25" s="103" t="n">
        <f aca="false">-'9.BS Items'!AI88</f>
        <v>0</v>
      </c>
      <c r="AJ25" s="103" t="n">
        <f aca="false">-'9.BS Items'!AJ88</f>
        <v>0</v>
      </c>
      <c r="AK25" s="103" t="n">
        <f aca="false">-'9.BS Items'!AK88</f>
        <v>0</v>
      </c>
      <c r="AL25" s="103" t="n">
        <f aca="false">-'9.BS Items'!AL88</f>
        <v>0</v>
      </c>
    </row>
    <row r="26" s="100" customFormat="true" ht="15" hidden="false" customHeight="false" outlineLevel="0" collapsed="false">
      <c r="A26" s="1"/>
      <c r="B26" s="1"/>
      <c r="C26" s="11" t="s">
        <v>146</v>
      </c>
      <c r="D26" s="25"/>
      <c r="E26" s="1"/>
      <c r="F26" s="1"/>
      <c r="G26" s="1"/>
      <c r="H26" s="103" t="n">
        <f aca="false">'2. NPV'!H11</f>
        <v>0</v>
      </c>
      <c r="I26" s="103" t="n">
        <f aca="false">'2. NPV'!I11</f>
        <v>0</v>
      </c>
      <c r="J26" s="103" t="n">
        <f aca="false">'2. NPV'!J11</f>
        <v>0</v>
      </c>
      <c r="K26" s="103" t="n">
        <f aca="false">'2. NPV'!K11</f>
        <v>0</v>
      </c>
      <c r="L26" s="103" t="n">
        <f aca="false">'2. NPV'!L11</f>
        <v>0</v>
      </c>
      <c r="M26" s="103" t="n">
        <f aca="false">'2. NPV'!M11</f>
        <v>0</v>
      </c>
      <c r="N26" s="103" t="n">
        <f aca="false">'2. NPV'!N11</f>
        <v>0</v>
      </c>
      <c r="O26" s="103" t="n">
        <f aca="false">'2. NPV'!O11</f>
        <v>0</v>
      </c>
      <c r="P26" s="103" t="n">
        <f aca="false">'2. NPV'!P11</f>
        <v>0</v>
      </c>
      <c r="Q26" s="103" t="n">
        <f aca="false">'2. NPV'!Q11</f>
        <v>0</v>
      </c>
      <c r="R26" s="103" t="n">
        <f aca="false">'2. NPV'!R11</f>
        <v>0</v>
      </c>
      <c r="S26" s="103" t="n">
        <f aca="false">'2. NPV'!S11</f>
        <v>0</v>
      </c>
      <c r="T26" s="103" t="n">
        <f aca="false">'2. NPV'!T11</f>
        <v>0</v>
      </c>
      <c r="U26" s="103" t="n">
        <f aca="false">'2. NPV'!U11</f>
        <v>0</v>
      </c>
      <c r="V26" s="103" t="n">
        <f aca="false">'2. NPV'!V11</f>
        <v>0</v>
      </c>
      <c r="W26" s="103" t="n">
        <f aca="false">'2. NPV'!W11</f>
        <v>0</v>
      </c>
      <c r="X26" s="103" t="n">
        <f aca="false">'2. NPV'!X11</f>
        <v>0</v>
      </c>
      <c r="Y26" s="103" t="n">
        <f aca="false">'2. NPV'!Y11</f>
        <v>0</v>
      </c>
      <c r="Z26" s="103" t="n">
        <f aca="false">'2. NPV'!Z11</f>
        <v>0</v>
      </c>
      <c r="AA26" s="103" t="n">
        <f aca="false">'2. NPV'!AA11</f>
        <v>0</v>
      </c>
      <c r="AB26" s="103" t="n">
        <f aca="false">'2. NPV'!AB11</f>
        <v>0</v>
      </c>
      <c r="AC26" s="103" t="n">
        <f aca="false">'2. NPV'!AC11</f>
        <v>0</v>
      </c>
      <c r="AD26" s="103" t="n">
        <f aca="false">'2. NPV'!AD11</f>
        <v>0</v>
      </c>
      <c r="AE26" s="103" t="n">
        <f aca="false">'2. NPV'!AE11</f>
        <v>0</v>
      </c>
      <c r="AF26" s="103" t="n">
        <f aca="false">'2. NPV'!AF11</f>
        <v>0</v>
      </c>
      <c r="AG26" s="103" t="n">
        <f aca="false">'2. NPV'!AG11</f>
        <v>0</v>
      </c>
      <c r="AH26" s="103" t="n">
        <f aca="false">'2. NPV'!AH11</f>
        <v>0</v>
      </c>
      <c r="AI26" s="103" t="n">
        <f aca="false">'2. NPV'!AI11</f>
        <v>0</v>
      </c>
      <c r="AJ26" s="103" t="n">
        <f aca="false">'2. NPV'!AJ11</f>
        <v>0</v>
      </c>
      <c r="AK26" s="103" t="n">
        <f aca="false">'2. NPV'!AK11</f>
        <v>0</v>
      </c>
      <c r="AL26" s="103" t="n">
        <f aca="false">'2. NPV'!AL11</f>
        <v>0</v>
      </c>
    </row>
    <row r="27" s="107" customFormat="true" ht="15" hidden="false" customHeight="false" outlineLevel="0" collapsed="false">
      <c r="A27" s="8"/>
      <c r="B27" s="104" t="s">
        <v>687</v>
      </c>
      <c r="C27" s="106"/>
      <c r="D27" s="421"/>
      <c r="E27" s="274"/>
      <c r="F27" s="274"/>
      <c r="G27" s="276"/>
      <c r="H27" s="106" t="n">
        <f aca="false">SUM(H21:H26)</f>
        <v>0</v>
      </c>
      <c r="I27" s="106" t="n">
        <f aca="false">SUM(I21:I26)</f>
        <v>4825000</v>
      </c>
      <c r="J27" s="106" t="n">
        <f aca="false">SUM(J21:J26)</f>
        <v>-350000</v>
      </c>
      <c r="K27" s="106" t="n">
        <f aca="false">SUM(K21:K26)</f>
        <v>-832500</v>
      </c>
      <c r="L27" s="106" t="n">
        <f aca="false">SUM(L21:L26)</f>
        <v>-797500</v>
      </c>
      <c r="M27" s="106" t="n">
        <f aca="false">SUM(M21:M26)</f>
        <v>-762500</v>
      </c>
      <c r="N27" s="106" t="n">
        <f aca="false">SUM(N21:N26)</f>
        <v>-727500</v>
      </c>
      <c r="O27" s="106" t="n">
        <f aca="false">SUM(O21:O26)</f>
        <v>-692500</v>
      </c>
      <c r="P27" s="106" t="n">
        <f aca="false">SUM(P21:P26)</f>
        <v>-657500</v>
      </c>
      <c r="Q27" s="106" t="n">
        <f aca="false">SUM(Q21:Q26)</f>
        <v>-622500</v>
      </c>
      <c r="R27" s="106" t="n">
        <f aca="false">SUM(R21:R26)</f>
        <v>-587500</v>
      </c>
      <c r="S27" s="106" t="n">
        <f aca="false">SUM(S21:S26)</f>
        <v>-552500</v>
      </c>
      <c r="T27" s="106" t="n">
        <f aca="false">SUM(T21:T26)</f>
        <v>-517500</v>
      </c>
      <c r="U27" s="106" t="n">
        <f aca="false">SUM(U21:U26)</f>
        <v>0</v>
      </c>
      <c r="V27" s="106" t="n">
        <f aca="false">SUM(V21:V26)</f>
        <v>0</v>
      </c>
      <c r="W27" s="106" t="n">
        <f aca="false">SUM(W21:W26)</f>
        <v>0</v>
      </c>
      <c r="X27" s="106" t="n">
        <f aca="false">SUM(X21:X26)</f>
        <v>0</v>
      </c>
      <c r="Y27" s="106" t="n">
        <f aca="false">SUM(Y21:Y26)</f>
        <v>0</v>
      </c>
      <c r="Z27" s="106" t="n">
        <f aca="false">SUM(Z21:Z26)</f>
        <v>0</v>
      </c>
      <c r="AA27" s="106" t="n">
        <f aca="false">SUM(AA21:AA26)</f>
        <v>0</v>
      </c>
      <c r="AB27" s="106" t="n">
        <f aca="false">SUM(AB21:AB26)</f>
        <v>0</v>
      </c>
      <c r="AC27" s="106" t="n">
        <f aca="false">SUM(AC21:AC26)</f>
        <v>0</v>
      </c>
      <c r="AD27" s="106" t="n">
        <f aca="false">SUM(AD21:AD26)</f>
        <v>0</v>
      </c>
      <c r="AE27" s="106" t="n">
        <f aca="false">SUM(AE21:AE26)</f>
        <v>0</v>
      </c>
      <c r="AF27" s="106" t="n">
        <f aca="false">SUM(AF21:AF26)</f>
        <v>0</v>
      </c>
      <c r="AG27" s="106" t="n">
        <f aca="false">SUM(AG21:AG26)</f>
        <v>0</v>
      </c>
      <c r="AH27" s="106" t="n">
        <f aca="false">SUM(AH21:AH26)</f>
        <v>0</v>
      </c>
      <c r="AI27" s="106" t="n">
        <f aca="false">SUM(AI21:AI26)</f>
        <v>0</v>
      </c>
      <c r="AJ27" s="106" t="n">
        <f aca="false">SUM(AJ21:AJ26)</f>
        <v>0</v>
      </c>
      <c r="AK27" s="106" t="n">
        <f aca="false">SUM(AK21:AK26)</f>
        <v>0</v>
      </c>
      <c r="AL27" s="106" t="n">
        <f aca="false">SUM(AL21:AL26)</f>
        <v>0</v>
      </c>
    </row>
    <row r="28" s="100" customFormat="true" ht="15" hidden="false" customHeight="false" outlineLevel="0" collapsed="false">
      <c r="A28" s="1"/>
      <c r="B28" s="1"/>
      <c r="C28" s="10"/>
      <c r="D28" s="25"/>
      <c r="E28" s="1"/>
      <c r="F28" s="1"/>
      <c r="G28" s="1"/>
    </row>
    <row r="29" s="100" customFormat="true" ht="15" hidden="false" customHeight="false" outlineLevel="0" collapsed="false">
      <c r="A29" s="1"/>
      <c r="B29" s="10" t="s">
        <v>688</v>
      </c>
      <c r="D29" s="356"/>
      <c r="E29" s="8"/>
      <c r="F29" s="8"/>
      <c r="G29" s="8"/>
      <c r="H29" s="107" t="n">
        <f aca="false">H14+H18+H27</f>
        <v>369268.889995119</v>
      </c>
      <c r="I29" s="107" t="n">
        <f aca="false">I14+I18+I27</f>
        <v>2822017.55107045</v>
      </c>
      <c r="J29" s="107" t="n">
        <f aca="false">J14+J18+J27</f>
        <v>2298977.50500867</v>
      </c>
      <c r="K29" s="107" t="n">
        <f aca="false">K14+K18+K27</f>
        <v>3983662.88791992</v>
      </c>
      <c r="L29" s="107" t="n">
        <f aca="false">L14+L18+L27</f>
        <v>5464957.03226219</v>
      </c>
      <c r="M29" s="107" t="n">
        <f aca="false">M14+M18+M27</f>
        <v>10058396.6773628</v>
      </c>
      <c r="N29" s="107" t="n">
        <f aca="false">N14+N18+N27</f>
        <v>12384485.3119425</v>
      </c>
      <c r="O29" s="107" t="n">
        <f aca="false">O14+O18+O27</f>
        <v>12694620.0827607</v>
      </c>
      <c r="P29" s="107" t="n">
        <f aca="false">P14+P18+P27</f>
        <v>14109337.728841</v>
      </c>
      <c r="Q29" s="107" t="n">
        <f aca="false">Q14+Q18+Q27</f>
        <v>19018715.7569126</v>
      </c>
      <c r="R29" s="107" t="n">
        <f aca="false">R14+R18+R27</f>
        <v>20923092.6702346</v>
      </c>
      <c r="S29" s="107" t="n">
        <f aca="false">S14+S18+S27</f>
        <v>21633914.2103057</v>
      </c>
      <c r="T29" s="107" t="n">
        <f aca="false">T14+T18+T27</f>
        <v>22410285.1145927</v>
      </c>
      <c r="U29" s="107" t="n">
        <f aca="false">U14+U18+U27</f>
        <v>23441147.4876005</v>
      </c>
      <c r="V29" s="107" t="n">
        <f aca="false">V14+V18+V27</f>
        <v>24058864.8255651</v>
      </c>
      <c r="W29" s="107" t="n">
        <f aca="false">W14+W18+W27</f>
        <v>24619752.8200107</v>
      </c>
      <c r="X29" s="107" t="n">
        <f aca="false">X14+X18+X27</f>
        <v>25244415.8181912</v>
      </c>
      <c r="Y29" s="107" t="n">
        <f aca="false">Y14+Y18+Y27</f>
        <v>25832457.0346524</v>
      </c>
      <c r="Z29" s="107" t="n">
        <f aca="false">Z14+Z18+Z27</f>
        <v>26486919.7999603</v>
      </c>
      <c r="AA29" s="107" t="n">
        <f aca="false">AA14+AA18+AA27</f>
        <v>27079068.5439739</v>
      </c>
      <c r="AB29" s="107" t="n">
        <f aca="false">AB14+AB18+AB27</f>
        <v>27788956.2403819</v>
      </c>
      <c r="AC29" s="107" t="n">
        <f aca="false">AC14+AC18+AC27</f>
        <v>28435062.0276835</v>
      </c>
      <c r="AD29" s="107" t="n">
        <f aca="false">AD14+AD18+AD27</f>
        <v>29153204.4794407</v>
      </c>
      <c r="AE29" s="107" t="n">
        <f aca="false">AE14+AE18+AE27</f>
        <v>29830318.614249</v>
      </c>
      <c r="AF29" s="107" t="n">
        <f aca="false">AF14+AF18+AF27</f>
        <v>30582445.6522756</v>
      </c>
      <c r="AG29" s="107" t="n">
        <f aca="false">AG14+AG18+AG27</f>
        <v>31264605.6859664</v>
      </c>
      <c r="AH29" s="107" t="n">
        <f aca="false">AH14+AH18+AH27</f>
        <v>32079564.3910306</v>
      </c>
      <c r="AI29" s="107" t="n">
        <f aca="false">AI14+AI18+AI27</f>
        <v>32822896.0760617</v>
      </c>
      <c r="AJ29" s="107" t="n">
        <f aca="false">AJ14+AJ18+AJ27</f>
        <v>33647550.2597964</v>
      </c>
      <c r="AK29" s="107" t="n">
        <f aca="false">AK14+AK18+AK27</f>
        <v>34426192.5832853</v>
      </c>
      <c r="AL29" s="107" t="n">
        <f aca="false">AL14+AL18+AL27</f>
        <v>35289498.8729699</v>
      </c>
    </row>
    <row r="30" s="100" customFormat="true" ht="15" hidden="false" customHeight="false" outlineLevel="0" collapsed="false">
      <c r="A30" s="1"/>
      <c r="B30" s="11" t="s">
        <v>689</v>
      </c>
      <c r="D30" s="25"/>
      <c r="E30" s="1"/>
      <c r="F30" s="1"/>
      <c r="G30" s="1"/>
      <c r="H30" s="100" t="n">
        <f aca="false">0</f>
        <v>0</v>
      </c>
      <c r="I30" s="100" t="n">
        <f aca="false">H31</f>
        <v>369268.889995119</v>
      </c>
      <c r="J30" s="100" t="n">
        <f aca="false">I31</f>
        <v>3191286.44106557</v>
      </c>
      <c r="K30" s="100" t="n">
        <f aca="false">J31</f>
        <v>5490263.94607424</v>
      </c>
      <c r="L30" s="100" t="n">
        <f aca="false">K31</f>
        <v>9473926.83399416</v>
      </c>
      <c r="M30" s="100" t="n">
        <f aca="false">L31</f>
        <v>14938883.8662563</v>
      </c>
      <c r="N30" s="100" t="n">
        <f aca="false">M31</f>
        <v>24997280.5436192</v>
      </c>
      <c r="O30" s="100" t="n">
        <f aca="false">N31</f>
        <v>37381765.8555616</v>
      </c>
      <c r="P30" s="100" t="n">
        <f aca="false">O31</f>
        <v>50076385.9383224</v>
      </c>
      <c r="Q30" s="100" t="n">
        <f aca="false">P31</f>
        <v>64185723.6671634</v>
      </c>
      <c r="R30" s="100" t="n">
        <f aca="false">Q31</f>
        <v>83204439.424076</v>
      </c>
      <c r="S30" s="100" t="n">
        <f aca="false">R31</f>
        <v>104127532.094311</v>
      </c>
      <c r="T30" s="100" t="n">
        <f aca="false">S31</f>
        <v>125761446.304616</v>
      </c>
      <c r="U30" s="100" t="n">
        <f aca="false">T31</f>
        <v>148171731.419209</v>
      </c>
      <c r="V30" s="100" t="n">
        <f aca="false">U31</f>
        <v>171612878.90681</v>
      </c>
      <c r="W30" s="100" t="n">
        <f aca="false">V31</f>
        <v>195671743.732375</v>
      </c>
      <c r="X30" s="100" t="n">
        <f aca="false">W31</f>
        <v>220291496.552385</v>
      </c>
      <c r="Y30" s="100" t="n">
        <f aca="false">X31</f>
        <v>245535912.370577</v>
      </c>
      <c r="Z30" s="100" t="n">
        <f aca="false">Y31</f>
        <v>271368369.405229</v>
      </c>
      <c r="AA30" s="100" t="n">
        <f aca="false">Z31</f>
        <v>297855289.205189</v>
      </c>
      <c r="AB30" s="100" t="n">
        <f aca="false">AA31</f>
        <v>324934357.749163</v>
      </c>
      <c r="AC30" s="100" t="n">
        <f aca="false">AB31</f>
        <v>352723313.989545</v>
      </c>
      <c r="AD30" s="100" t="n">
        <f aca="false">AC31</f>
        <v>381158376.017229</v>
      </c>
      <c r="AE30" s="100" t="n">
        <f aca="false">AD31</f>
        <v>410311580.496669</v>
      </c>
      <c r="AF30" s="100" t="n">
        <f aca="false">AE31</f>
        <v>440141899.110918</v>
      </c>
      <c r="AG30" s="100" t="n">
        <f aca="false">AF31</f>
        <v>470724344.763194</v>
      </c>
      <c r="AH30" s="100" t="n">
        <f aca="false">AG31</f>
        <v>501988950.44916</v>
      </c>
      <c r="AI30" s="100" t="n">
        <f aca="false">AH31</f>
        <v>534068514.840191</v>
      </c>
      <c r="AJ30" s="100" t="n">
        <f aca="false">AI31</f>
        <v>566891410.916253</v>
      </c>
      <c r="AK30" s="100" t="n">
        <f aca="false">AJ31</f>
        <v>600538961.176049</v>
      </c>
      <c r="AL30" s="100" t="n">
        <f aca="false">AK31</f>
        <v>634965153.759334</v>
      </c>
    </row>
    <row r="31" s="100" customFormat="true" ht="15" hidden="false" customHeight="false" outlineLevel="0" collapsed="false">
      <c r="A31" s="1"/>
      <c r="B31" s="433" t="s">
        <v>690</v>
      </c>
      <c r="C31" s="428"/>
      <c r="D31" s="429"/>
      <c r="E31" s="430"/>
      <c r="F31" s="430"/>
      <c r="G31" s="430"/>
      <c r="H31" s="427" t="n">
        <f aca="false">SUM(H29:H30)</f>
        <v>369268.889995119</v>
      </c>
      <c r="I31" s="427" t="n">
        <f aca="false">SUM(I29:I30)</f>
        <v>3191286.44106557</v>
      </c>
      <c r="J31" s="427" t="n">
        <f aca="false">SUM(J29:J30)</f>
        <v>5490263.94607424</v>
      </c>
      <c r="K31" s="427" t="n">
        <f aca="false">SUM(K29:K30)</f>
        <v>9473926.83399416</v>
      </c>
      <c r="L31" s="427" t="n">
        <f aca="false">SUM(L29:L30)</f>
        <v>14938883.8662563</v>
      </c>
      <c r="M31" s="427" t="n">
        <f aca="false">SUM(M29:M30)</f>
        <v>24997280.5436192</v>
      </c>
      <c r="N31" s="427" t="n">
        <f aca="false">SUM(N29:N30)</f>
        <v>37381765.8555616</v>
      </c>
      <c r="O31" s="427" t="n">
        <f aca="false">SUM(O29:O30)</f>
        <v>50076385.9383224</v>
      </c>
      <c r="P31" s="427" t="n">
        <f aca="false">SUM(P29:P30)</f>
        <v>64185723.6671634</v>
      </c>
      <c r="Q31" s="427" t="n">
        <f aca="false">SUM(Q29:Q30)</f>
        <v>83204439.424076</v>
      </c>
      <c r="R31" s="427" t="n">
        <f aca="false">SUM(R29:R30)</f>
        <v>104127532.094311</v>
      </c>
      <c r="S31" s="427" t="n">
        <f aca="false">SUM(S29:S30)</f>
        <v>125761446.304616</v>
      </c>
      <c r="T31" s="427" t="n">
        <f aca="false">SUM(T29:T30)</f>
        <v>148171731.419209</v>
      </c>
      <c r="U31" s="427" t="n">
        <f aca="false">SUM(U29:U30)</f>
        <v>171612878.90681</v>
      </c>
      <c r="V31" s="427" t="n">
        <f aca="false">SUM(V29:V30)</f>
        <v>195671743.732375</v>
      </c>
      <c r="W31" s="427" t="n">
        <f aca="false">SUM(W29:W30)</f>
        <v>220291496.552385</v>
      </c>
      <c r="X31" s="427" t="n">
        <f aca="false">SUM(X29:X30)</f>
        <v>245535912.370577</v>
      </c>
      <c r="Y31" s="427" t="n">
        <f aca="false">SUM(Y29:Y30)</f>
        <v>271368369.405229</v>
      </c>
      <c r="Z31" s="427" t="n">
        <f aca="false">SUM(Z29:Z30)</f>
        <v>297855289.205189</v>
      </c>
      <c r="AA31" s="427" t="n">
        <f aca="false">SUM(AA29:AA30)</f>
        <v>324934357.749163</v>
      </c>
      <c r="AB31" s="427" t="n">
        <f aca="false">SUM(AB29:AB30)</f>
        <v>352723313.989545</v>
      </c>
      <c r="AC31" s="427" t="n">
        <f aca="false">SUM(AC29:AC30)</f>
        <v>381158376.017229</v>
      </c>
      <c r="AD31" s="427" t="n">
        <f aca="false">SUM(AD29:AD30)</f>
        <v>410311580.496669</v>
      </c>
      <c r="AE31" s="427" t="n">
        <f aca="false">SUM(AE29:AE30)</f>
        <v>440141899.110918</v>
      </c>
      <c r="AF31" s="427" t="n">
        <f aca="false">SUM(AF29:AF30)</f>
        <v>470724344.763194</v>
      </c>
      <c r="AG31" s="427" t="n">
        <f aca="false">SUM(AG29:AG30)</f>
        <v>501988950.44916</v>
      </c>
      <c r="AH31" s="427" t="n">
        <f aca="false">SUM(AH29:AH30)</f>
        <v>534068514.840191</v>
      </c>
      <c r="AI31" s="427" t="n">
        <f aca="false">SUM(AI29:AI30)</f>
        <v>566891410.916253</v>
      </c>
      <c r="AJ31" s="427" t="n">
        <f aca="false">SUM(AJ29:AJ30)</f>
        <v>600538961.176049</v>
      </c>
      <c r="AK31" s="427" t="n">
        <f aca="false">SUM(AK29:AK30)</f>
        <v>634965153.759334</v>
      </c>
      <c r="AL31" s="427" t="n">
        <f aca="false">SUM(AL29:AL30)</f>
        <v>670254652.632304</v>
      </c>
    </row>
    <row r="32" s="100" customFormat="true" ht="15" hidden="false" customHeight="false" outlineLevel="0" collapsed="false">
      <c r="A32" s="1"/>
      <c r="B32" s="1"/>
      <c r="C32" s="11"/>
      <c r="D32" s="25"/>
      <c r="E32" s="1"/>
      <c r="F32" s="1"/>
      <c r="G32" s="1"/>
    </row>
    <row r="33" s="434" customFormat="true" ht="15" hidden="false" customHeight="false" outlineLevel="0" collapsed="false">
      <c r="C33" s="435" t="s">
        <v>691</v>
      </c>
      <c r="G33" s="434" t="n">
        <f aca="false">'8.BS'!G44</f>
        <v>0</v>
      </c>
      <c r="H33" s="434" t="e">
        <f aca="false">'8.BS'!H44</f>
        <v>#VALUE!</v>
      </c>
      <c r="I33" s="434" t="e">
        <f aca="false">'8.BS'!I44</f>
        <v>#VALUE!</v>
      </c>
      <c r="J33" s="434" t="e">
        <f aca="false">'8.BS'!J44</f>
        <v>#VALUE!</v>
      </c>
      <c r="K33" s="434" t="e">
        <f aca="false">'8.BS'!K44</f>
        <v>#VALUE!</v>
      </c>
      <c r="L33" s="434" t="e">
        <f aca="false">'8.BS'!L44</f>
        <v>#VALUE!</v>
      </c>
      <c r="M33" s="434" t="e">
        <f aca="false">'8.BS'!M44</f>
        <v>#VALUE!</v>
      </c>
      <c r="N33" s="434" t="e">
        <f aca="false">'8.BS'!N44</f>
        <v>#VALUE!</v>
      </c>
      <c r="O33" s="434" t="e">
        <f aca="false">'8.BS'!O44</f>
        <v>#VALUE!</v>
      </c>
      <c r="P33" s="434" t="e">
        <f aca="false">'8.BS'!P44</f>
        <v>#VALUE!</v>
      </c>
      <c r="Q33" s="434" t="e">
        <f aca="false">'8.BS'!Q44</f>
        <v>#VALUE!</v>
      </c>
      <c r="R33" s="434" t="e">
        <f aca="false">'8.BS'!R44</f>
        <v>#VALUE!</v>
      </c>
      <c r="S33" s="434" t="e">
        <f aca="false">'8.BS'!S44</f>
        <v>#VALUE!</v>
      </c>
      <c r="T33" s="434" t="e">
        <f aca="false">'8.BS'!T44</f>
        <v>#VALUE!</v>
      </c>
      <c r="U33" s="434" t="e">
        <f aca="false">'8.BS'!U44</f>
        <v>#VALUE!</v>
      </c>
      <c r="V33" s="434" t="e">
        <f aca="false">'8.BS'!V44</f>
        <v>#VALUE!</v>
      </c>
      <c r="W33" s="434" t="e">
        <f aca="false">'8.BS'!W44</f>
        <v>#VALUE!</v>
      </c>
      <c r="X33" s="434" t="e">
        <f aca="false">'8.BS'!X44</f>
        <v>#VALUE!</v>
      </c>
      <c r="Y33" s="434" t="e">
        <f aca="false">'8.BS'!Y44</f>
        <v>#VALUE!</v>
      </c>
      <c r="Z33" s="434" t="e">
        <f aca="false">'8.BS'!Z44</f>
        <v>#VALUE!</v>
      </c>
      <c r="AA33" s="434" t="e">
        <f aca="false">'8.BS'!AA44</f>
        <v>#VALUE!</v>
      </c>
      <c r="AB33" s="434" t="e">
        <f aca="false">'8.BS'!AB44</f>
        <v>#VALUE!</v>
      </c>
      <c r="AC33" s="434" t="e">
        <f aca="false">'8.BS'!AC44</f>
        <v>#VALUE!</v>
      </c>
      <c r="AD33" s="434" t="e">
        <f aca="false">'8.BS'!AD44</f>
        <v>#VALUE!</v>
      </c>
      <c r="AE33" s="434" t="e">
        <f aca="false">'8.BS'!AE44</f>
        <v>#VALUE!</v>
      </c>
      <c r="AF33" s="434" t="e">
        <f aca="false">'8.BS'!AF44</f>
        <v>#VALUE!</v>
      </c>
      <c r="AG33" s="434" t="e">
        <f aca="false">'8.BS'!AG44</f>
        <v>#VALUE!</v>
      </c>
      <c r="AH33" s="434" t="e">
        <f aca="false">'8.BS'!AH44</f>
        <v>#VALUE!</v>
      </c>
      <c r="AI33" s="434" t="e">
        <f aca="false">'8.BS'!AI44</f>
        <v>#VALUE!</v>
      </c>
      <c r="AJ33" s="434" t="e">
        <f aca="false">'8.BS'!AJ44</f>
        <v>#VALUE!</v>
      </c>
      <c r="AK33" s="434" t="e">
        <f aca="false">'8.BS'!AK44</f>
        <v>#VALUE!</v>
      </c>
      <c r="AL33" s="434" t="e">
        <f aca="false">'8.BS'!AL44</f>
        <v>#VALUE!</v>
      </c>
    </row>
    <row r="34" s="434" customFormat="true" ht="15" hidden="false" customHeight="false" outlineLevel="0" collapsed="false">
      <c r="C34" s="434" t="s">
        <v>692</v>
      </c>
      <c r="G34" s="434" t="n">
        <f aca="false">G31-'2. NPV'!G40-'8.BS'!G39</f>
        <v>0</v>
      </c>
      <c r="H34" s="436" t="n">
        <f aca="false">H31-'2. NPV'!H40-SUM($H$27:H27)</f>
        <v>0</v>
      </c>
      <c r="I34" s="436" t="n">
        <f aca="false">I31-'2. NPV'!I40-SUM($H$27:I27)</f>
        <v>0</v>
      </c>
      <c r="J34" s="436" t="n">
        <f aca="false">J31-'2. NPV'!J40-SUM($H$27:J27)</f>
        <v>0</v>
      </c>
      <c r="K34" s="436" t="n">
        <f aca="false">K31-'2. NPV'!K40-SUM($H$27:K27)</f>
        <v>0</v>
      </c>
      <c r="L34" s="436" t="n">
        <f aca="false">L31-'2. NPV'!L40-SUM($H$27:L27)</f>
        <v>0</v>
      </c>
      <c r="M34" s="436" t="n">
        <f aca="false">M31-'2. NPV'!M40-SUM($H$27:M27)</f>
        <v>0</v>
      </c>
      <c r="N34" s="436" t="n">
        <f aca="false">N31-'2. NPV'!N40-SUM($H$27:N27)</f>
        <v>0</v>
      </c>
      <c r="O34" s="436" t="n">
        <f aca="false">O31-'2. NPV'!O40-SUM($H$27:O27)</f>
        <v>0</v>
      </c>
      <c r="P34" s="436" t="n">
        <f aca="false">P31-'2. NPV'!P40-SUM($H$27:P27)</f>
        <v>0</v>
      </c>
      <c r="Q34" s="436" t="n">
        <f aca="false">Q31-'2. NPV'!Q40-SUM($H$27:Q27)</f>
        <v>0</v>
      </c>
      <c r="R34" s="436" t="n">
        <f aca="false">R31-'2. NPV'!R40-SUM($H$27:R27)</f>
        <v>0</v>
      </c>
      <c r="S34" s="436" t="n">
        <f aca="false">S31-'2. NPV'!S40-SUM($H$27:S27)</f>
        <v>0</v>
      </c>
      <c r="T34" s="436" t="n">
        <f aca="false">T31-'2. NPV'!T40-SUM($H$27:T27)</f>
        <v>0</v>
      </c>
      <c r="U34" s="436" t="n">
        <f aca="false">U31-'2. NPV'!U40-SUM($H$27:U27)</f>
        <v>0</v>
      </c>
      <c r="V34" s="436" t="n">
        <f aca="false">V31-'2. NPV'!V40-SUM($H$27:V27)</f>
        <v>0</v>
      </c>
      <c r="W34" s="436" t="n">
        <f aca="false">W31-'2. NPV'!W40-SUM($H$27:W27)</f>
        <v>0</v>
      </c>
      <c r="X34" s="436" t="n">
        <f aca="false">X31-'2. NPV'!X40-SUM($H$27:X27)</f>
        <v>0</v>
      </c>
      <c r="Y34" s="436" t="n">
        <f aca="false">Y31-'2. NPV'!Y40-SUM($H$27:Y27)</f>
        <v>0</v>
      </c>
      <c r="Z34" s="436" t="n">
        <f aca="false">Z31-'2. NPV'!Z40-SUM($H$27:Z27)</f>
        <v>0</v>
      </c>
      <c r="AA34" s="436" t="n">
        <f aca="false">AA31-'2. NPV'!AA40-SUM($H$27:AA27)</f>
        <v>0</v>
      </c>
      <c r="AB34" s="436" t="n">
        <f aca="false">AB31-'2. NPV'!AB40-SUM($H$27:AB27)</f>
        <v>0</v>
      </c>
      <c r="AC34" s="436" t="n">
        <f aca="false">AC31-'2. NPV'!AC40-SUM($H$27:AC27)</f>
        <v>0</v>
      </c>
      <c r="AD34" s="436" t="n">
        <f aca="false">AD31-'2. NPV'!AD40-SUM($H$27:AD27)</f>
        <v>0</v>
      </c>
      <c r="AE34" s="436" t="n">
        <f aca="false">AE31-'2. NPV'!AE40-SUM($H$27:AE27)</f>
        <v>0</v>
      </c>
      <c r="AF34" s="436" t="n">
        <f aca="false">AF31-'2. NPV'!AF40-SUM($H$27:AF27)</f>
        <v>0</v>
      </c>
      <c r="AG34" s="436" t="n">
        <f aca="false">AG31-'2. NPV'!AG40-SUM($H$27:AG27)</f>
        <v>0</v>
      </c>
      <c r="AH34" s="436" t="n">
        <f aca="false">AH31-'2. NPV'!AH40-SUM($H$27:AH27)</f>
        <v>0</v>
      </c>
      <c r="AI34" s="436" t="n">
        <f aca="false">AI31-'2. NPV'!AI40-SUM($H$27:AI27)</f>
        <v>0</v>
      </c>
      <c r="AJ34" s="436" t="n">
        <f aca="false">AJ31-'2. NPV'!AJ40-SUM($H$27:AJ27)</f>
        <v>0</v>
      </c>
      <c r="AK34" s="436" t="n">
        <f aca="false">AK31-'2. NPV'!AK40-SUM($H$27:AK27)</f>
        <v>0</v>
      </c>
      <c r="AL34" s="436" t="n">
        <f aca="false">AL31-'2. NPV'!AL40-SUM($H$27:AL27)</f>
        <v>0</v>
      </c>
    </row>
    <row r="35" customFormat="false" ht="15" hidden="false" customHeight="false" outlineLevel="0" collapsed="false">
      <c r="H35" s="437"/>
      <c r="I35" s="100"/>
      <c r="J35" s="100"/>
      <c r="K35" s="100"/>
      <c r="M35" s="100"/>
    </row>
    <row r="36" customFormat="false" ht="15" hidden="false" customHeight="false" outlineLevel="0" collapsed="false">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row>
    <row r="37" customFormat="false" ht="15" hidden="false" customHeight="false" outlineLevel="0" collapsed="false">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row>
    <row r="38" customFormat="false" ht="15" hidden="false" customHeight="false" outlineLevel="0" collapsed="false">
      <c r="H38" s="438"/>
      <c r="I38" s="438"/>
      <c r="J38" s="438"/>
      <c r="K38" s="438"/>
      <c r="L38" s="438"/>
      <c r="M38" s="438"/>
      <c r="N38" s="438"/>
      <c r="O38" s="438"/>
      <c r="P38" s="438"/>
      <c r="Q38" s="438"/>
      <c r="R38" s="438"/>
      <c r="S38" s="438"/>
      <c r="T38" s="438"/>
      <c r="U38" s="438"/>
      <c r="V38" s="438"/>
      <c r="W38" s="438"/>
      <c r="X38" s="438"/>
      <c r="Y38" s="438"/>
      <c r="Z38" s="438"/>
      <c r="AA38" s="438"/>
      <c r="AB38" s="438"/>
      <c r="AC38" s="438"/>
      <c r="AD38" s="438"/>
      <c r="AE38" s="438"/>
      <c r="AF38" s="438"/>
      <c r="AG38" s="438"/>
      <c r="AH38" s="438"/>
      <c r="AI38" s="438"/>
      <c r="AJ38" s="438"/>
      <c r="AK38" s="438"/>
    </row>
    <row r="39" customFormat="false" ht="15" hidden="false" customHeight="false" outlineLevel="0" collapsed="false">
      <c r="H39" s="100"/>
    </row>
    <row r="40" customFormat="false" ht="15" hidden="false" customHeight="false" outlineLevel="0" collapsed="false">
      <c r="H40" s="100"/>
    </row>
    <row r="41" customFormat="false" ht="15" hidden="false" customHeight="false" outlineLevel="0" collapsed="false">
      <c r="H41" s="100"/>
    </row>
    <row r="44" customFormat="false" ht="15" hidden="false" customHeight="false" outlineLevel="0" collapsed="false">
      <c r="B44" s="38"/>
      <c r="C44" s="38"/>
      <c r="D44" s="127"/>
      <c r="E44" s="38"/>
      <c r="F44" s="38"/>
      <c r="G44" s="38"/>
    </row>
    <row r="45" customFormat="false" ht="15" hidden="false" customHeight="false" outlineLevel="0" collapsed="false">
      <c r="B45" s="149"/>
      <c r="C45" s="38"/>
      <c r="D45" s="127"/>
      <c r="E45" s="38"/>
      <c r="F45" s="38"/>
      <c r="G45" s="38"/>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c r="AJ45" s="149"/>
      <c r="AK45" s="149"/>
    </row>
    <row r="46" customFormat="false" ht="15" hidden="false" customHeight="false" outlineLevel="0" collapsed="false">
      <c r="B46" s="149"/>
      <c r="C46" s="38"/>
      <c r="D46" s="127"/>
      <c r="G46" s="38"/>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49"/>
      <c r="AF46" s="149"/>
      <c r="AG46" s="149"/>
      <c r="AH46" s="149"/>
      <c r="AI46" s="149"/>
      <c r="AJ46" s="149"/>
      <c r="AK46" s="149"/>
    </row>
    <row r="47" customFormat="false" ht="15" hidden="false" customHeight="false" outlineLevel="0" collapsed="false">
      <c r="B47" s="149"/>
      <c r="C47" s="38"/>
      <c r="D47" s="127"/>
      <c r="E47" s="128"/>
      <c r="F47" s="128"/>
      <c r="G47" s="38"/>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row>
    <row r="48" customFormat="false" ht="15" hidden="false" customHeight="false" outlineLevel="0" collapsed="false">
      <c r="B48" s="149"/>
      <c r="C48" s="38"/>
      <c r="D48" s="127"/>
      <c r="E48" s="150"/>
      <c r="F48" s="150"/>
      <c r="G48" s="38"/>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row>
    <row r="307" customFormat="false" ht="15" hidden="false" customHeight="false" outlineLevel="0" collapsed="false">
      <c r="Q307" s="1" t="n">
        <f aca="false">$G307*Q$5</f>
        <v>0</v>
      </c>
    </row>
  </sheetData>
  <conditionalFormatting sqref="H31:AL31">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15"/>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2" min="1" style="1" width="3"/>
    <col collapsed="false" customWidth="true" hidden="false" outlineLevel="0" max="3" min="3" style="1" width="31.5"/>
    <col collapsed="false" customWidth="true" hidden="false" outlineLevel="0" max="4" min="4" style="25" width="1.33"/>
    <col collapsed="false" customWidth="true" hidden="false" outlineLevel="0" max="7" min="5" style="1" width="1.33"/>
    <col collapsed="false" customWidth="true" hidden="false" outlineLevel="0" max="17" min="8" style="1" width="13"/>
    <col collapsed="false" customWidth="true" hidden="false" outlineLevel="0" max="18" min="18" style="1" width="12.5"/>
    <col collapsed="false" customWidth="true" hidden="false" outlineLevel="0" max="36" min="19" style="1" width="13.5"/>
    <col collapsed="false" customWidth="true" hidden="false" outlineLevel="0" max="37" min="37" style="1" width="13.83"/>
    <col collapsed="false" customWidth="true" hidden="false" outlineLevel="0" max="38" min="38" style="1" width="13.5"/>
    <col collapsed="false" customWidth="false" hidden="false" outlineLevel="0" max="16384" min="39" style="1" width="8.67"/>
  </cols>
  <sheetData>
    <row r="1" customFormat="false" ht="15" hidden="false" customHeight="false" outlineLevel="0" collapsed="false">
      <c r="A1" s="0"/>
      <c r="B1" s="0"/>
      <c r="C1" s="0"/>
      <c r="D1" s="3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693</v>
      </c>
      <c r="C5" s="7"/>
      <c r="D5" s="97" t="s">
        <v>87</v>
      </c>
      <c r="E5" s="7"/>
      <c r="F5" s="7"/>
      <c r="G5" s="7"/>
      <c r="H5" s="99" t="n">
        <f aca="false">'2. NPV'!H5</f>
        <v>2024</v>
      </c>
      <c r="I5" s="99" t="n">
        <f aca="false">'2. NPV'!I5</f>
        <v>2025</v>
      </c>
      <c r="J5" s="99" t="n">
        <f aca="false">'2. NPV'!J5</f>
        <v>2026</v>
      </c>
      <c r="K5" s="99" t="n">
        <f aca="false">'2. NPV'!K5</f>
        <v>2027</v>
      </c>
      <c r="L5" s="99" t="n">
        <f aca="false">'2. NPV'!L5</f>
        <v>2028</v>
      </c>
      <c r="M5" s="99" t="n">
        <f aca="false">'2. NPV'!M5</f>
        <v>2029</v>
      </c>
      <c r="N5" s="99" t="n">
        <f aca="false">'2. NPV'!N5</f>
        <v>2030</v>
      </c>
      <c r="O5" s="99" t="n">
        <f aca="false">'2. NPV'!O5</f>
        <v>2031</v>
      </c>
      <c r="P5" s="99" t="n">
        <f aca="false">'2. NPV'!P5</f>
        <v>2032</v>
      </c>
      <c r="Q5" s="99" t="n">
        <f aca="false">'2. NPV'!Q5</f>
        <v>2033</v>
      </c>
      <c r="R5" s="99" t="n">
        <f aca="false">'2. NPV'!R5</f>
        <v>2034</v>
      </c>
      <c r="S5" s="99" t="n">
        <f aca="false">'2. NPV'!S5</f>
        <v>2035</v>
      </c>
      <c r="T5" s="99" t="n">
        <f aca="false">'2. NPV'!T5</f>
        <v>2036</v>
      </c>
      <c r="U5" s="99" t="n">
        <f aca="false">'2. NPV'!U5</f>
        <v>2037</v>
      </c>
      <c r="V5" s="99" t="n">
        <f aca="false">'2. NPV'!V5</f>
        <v>2038</v>
      </c>
      <c r="W5" s="99" t="n">
        <f aca="false">'2. NPV'!W5</f>
        <v>2039</v>
      </c>
      <c r="X5" s="99" t="n">
        <f aca="false">'2. NPV'!X5</f>
        <v>2040</v>
      </c>
      <c r="Y5" s="99" t="n">
        <f aca="false">'2. NPV'!Y5</f>
        <v>2041</v>
      </c>
      <c r="Z5" s="99" t="n">
        <f aca="false">'2. NPV'!Z5</f>
        <v>2042</v>
      </c>
      <c r="AA5" s="99" t="n">
        <f aca="false">'2. NPV'!AA5</f>
        <v>2043</v>
      </c>
      <c r="AB5" s="99" t="n">
        <f aca="false">'2. NPV'!AB5</f>
        <v>2044</v>
      </c>
      <c r="AC5" s="99" t="n">
        <f aca="false">'2. NPV'!AC5</f>
        <v>2045</v>
      </c>
      <c r="AD5" s="99" t="n">
        <f aca="false">'2. NPV'!AD5</f>
        <v>2046</v>
      </c>
      <c r="AE5" s="99" t="n">
        <f aca="false">'2. NPV'!AE5</f>
        <v>2047</v>
      </c>
      <c r="AF5" s="99" t="n">
        <f aca="false">'2. NPV'!AF5</f>
        <v>2048</v>
      </c>
      <c r="AG5" s="99" t="n">
        <f aca="false">'2. NPV'!AG5</f>
        <v>2049</v>
      </c>
      <c r="AH5" s="99" t="n">
        <f aca="false">'2. NPV'!AH5</f>
        <v>2050</v>
      </c>
      <c r="AI5" s="99" t="n">
        <f aca="false">'2. NPV'!AI5</f>
        <v>2051</v>
      </c>
      <c r="AJ5" s="99" t="n">
        <f aca="false">'2. NPV'!AJ5</f>
        <v>2052</v>
      </c>
      <c r="AK5" s="99" t="n">
        <f aca="false">'2. NPV'!AK5</f>
        <v>2053</v>
      </c>
      <c r="AL5" s="99" t="n">
        <f aca="false">'2. NPV'!AL5</f>
        <v>2054</v>
      </c>
    </row>
    <row r="6" customFormat="false" ht="15" hidden="false" customHeight="false" outlineLevel="0" collapsed="false">
      <c r="B6" s="6"/>
      <c r="C6" s="6"/>
      <c r="D6" s="6"/>
      <c r="E6" s="6"/>
      <c r="F6" s="6"/>
      <c r="G6" s="6"/>
      <c r="H6" s="6" t="n">
        <f aca="false">+'4.1 Revenue Build - VCU'!H$6</f>
        <v>1</v>
      </c>
      <c r="I6" s="6" t="n">
        <f aca="false">+'4.1 Revenue Build - VCU'!I$6</f>
        <v>2</v>
      </c>
      <c r="J6" s="6" t="n">
        <f aca="false">+'4.1 Revenue Build - VCU'!J$6</f>
        <v>3</v>
      </c>
      <c r="K6" s="6" t="n">
        <f aca="false">+'4.1 Revenue Build - VCU'!K$6</f>
        <v>4</v>
      </c>
      <c r="L6" s="6" t="n">
        <f aca="false">+'4.1 Revenue Build - VCU'!L$6</f>
        <v>5</v>
      </c>
      <c r="M6" s="6" t="n">
        <f aca="false">+'4.1 Revenue Build - VCU'!M$6</f>
        <v>6</v>
      </c>
      <c r="N6" s="6" t="n">
        <f aca="false">+'4.1 Revenue Build - VCU'!N$6</f>
        <v>7</v>
      </c>
      <c r="O6" s="6" t="n">
        <f aca="false">+'4.1 Revenue Build - VCU'!O$6</f>
        <v>8</v>
      </c>
      <c r="P6" s="6" t="n">
        <f aca="false">+'4.1 Revenue Build - VCU'!P$6</f>
        <v>9</v>
      </c>
      <c r="Q6" s="6" t="n">
        <f aca="false">+'4.1 Revenue Build - VCU'!Q$6</f>
        <v>10</v>
      </c>
      <c r="R6" s="6" t="n">
        <f aca="false">+'4.1 Revenue Build - VCU'!R$6</f>
        <v>11</v>
      </c>
      <c r="S6" s="6" t="n">
        <f aca="false">+'4.1 Revenue Build - VCU'!S$6</f>
        <v>12</v>
      </c>
      <c r="T6" s="6" t="n">
        <f aca="false">+'4.1 Revenue Build - VCU'!T$6</f>
        <v>13</v>
      </c>
      <c r="U6" s="6" t="n">
        <f aca="false">+'4.1 Revenue Build - VCU'!U$6</f>
        <v>14</v>
      </c>
      <c r="V6" s="6" t="n">
        <f aca="false">+'4.1 Revenue Build - VCU'!V$6</f>
        <v>15</v>
      </c>
      <c r="W6" s="6" t="n">
        <f aca="false">+'4.1 Revenue Build - VCU'!W$6</f>
        <v>16</v>
      </c>
      <c r="X6" s="6" t="n">
        <f aca="false">+'4.1 Revenue Build - VCU'!X$6</f>
        <v>17</v>
      </c>
      <c r="Y6" s="6" t="n">
        <f aca="false">+'4.1 Revenue Build - VCU'!Y$6</f>
        <v>18</v>
      </c>
      <c r="Z6" s="6" t="n">
        <f aca="false">+'4.1 Revenue Build - VCU'!Z$6</f>
        <v>19</v>
      </c>
      <c r="AA6" s="6" t="n">
        <f aca="false">+'4.1 Revenue Build - VCU'!AA$6</f>
        <v>20</v>
      </c>
      <c r="AB6" s="6" t="n">
        <f aca="false">+'4.1 Revenue Build - VCU'!AB$6</f>
        <v>21</v>
      </c>
      <c r="AC6" s="6" t="n">
        <f aca="false">+'4.1 Revenue Build - VCU'!AC$6</f>
        <v>22</v>
      </c>
      <c r="AD6" s="6" t="n">
        <f aca="false">+'4.1 Revenue Build - VCU'!AD$6</f>
        <v>23</v>
      </c>
      <c r="AE6" s="6" t="n">
        <f aca="false">+'4.1 Revenue Build - VCU'!AE$6</f>
        <v>24</v>
      </c>
      <c r="AF6" s="6" t="n">
        <f aca="false">+'4.1 Revenue Build - VCU'!AF$6</f>
        <v>25</v>
      </c>
      <c r="AG6" s="6" t="n">
        <f aca="false">+'4.1 Revenue Build - VCU'!AG$6</f>
        <v>26</v>
      </c>
      <c r="AH6" s="6" t="n">
        <f aca="false">+'4.1 Revenue Build - VCU'!AH$6</f>
        <v>27</v>
      </c>
      <c r="AI6" s="6" t="n">
        <f aca="false">+'4.1 Revenue Build - VCU'!AI$6</f>
        <v>28</v>
      </c>
      <c r="AJ6" s="6" t="n">
        <f aca="false">+'4.1 Revenue Build - VCU'!AJ$6</f>
        <v>29</v>
      </c>
      <c r="AK6" s="6" t="n">
        <f aca="false">+'4.1 Revenue Build - VCU'!AK$6</f>
        <v>30</v>
      </c>
      <c r="AL6" s="6" t="n">
        <f aca="false">+'4.1 Revenue Build - VCU'!AL$6</f>
        <v>31</v>
      </c>
    </row>
    <row r="8" customFormat="false" ht="15" hidden="false" customHeight="false" outlineLevel="0" collapsed="false">
      <c r="B8" s="8" t="s">
        <v>694</v>
      </c>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row>
    <row r="9" customFormat="false" ht="15" hidden="false" customHeight="false" outlineLevel="0" collapsed="false">
      <c r="C9" s="1" t="s">
        <v>695</v>
      </c>
      <c r="H9" s="130" t="n">
        <f aca="false">'7.CFS'!H31</f>
        <v>369268.889995119</v>
      </c>
      <c r="I9" s="130" t="n">
        <f aca="false">'7.CFS'!I31</f>
        <v>3191286.44106557</v>
      </c>
      <c r="J9" s="130" t="n">
        <f aca="false">'7.CFS'!J31</f>
        <v>5490263.94607424</v>
      </c>
      <c r="K9" s="130" t="n">
        <f aca="false">'7.CFS'!K31</f>
        <v>9473926.83399416</v>
      </c>
      <c r="L9" s="130" t="n">
        <f aca="false">'7.CFS'!L31</f>
        <v>14938883.8662563</v>
      </c>
      <c r="M9" s="130" t="n">
        <f aca="false">'7.CFS'!M31</f>
        <v>24997280.5436192</v>
      </c>
      <c r="N9" s="130" t="n">
        <f aca="false">'7.CFS'!N31</f>
        <v>37381765.8555616</v>
      </c>
      <c r="O9" s="130" t="n">
        <f aca="false">'7.CFS'!O31</f>
        <v>50076385.9383224</v>
      </c>
      <c r="P9" s="130" t="n">
        <f aca="false">'7.CFS'!P31</f>
        <v>64185723.6671634</v>
      </c>
      <c r="Q9" s="130" t="n">
        <f aca="false">'7.CFS'!Q31</f>
        <v>83204439.424076</v>
      </c>
      <c r="R9" s="130" t="n">
        <f aca="false">'7.CFS'!R31</f>
        <v>104127532.094311</v>
      </c>
      <c r="S9" s="130" t="n">
        <f aca="false">'7.CFS'!S31</f>
        <v>125761446.304616</v>
      </c>
      <c r="T9" s="130" t="n">
        <f aca="false">'7.CFS'!T31</f>
        <v>148171731.419209</v>
      </c>
      <c r="U9" s="130" t="n">
        <f aca="false">'7.CFS'!U31</f>
        <v>171612878.90681</v>
      </c>
      <c r="V9" s="130" t="n">
        <f aca="false">'7.CFS'!V31</f>
        <v>195671743.732375</v>
      </c>
      <c r="W9" s="130" t="n">
        <f aca="false">'7.CFS'!W31</f>
        <v>220291496.552385</v>
      </c>
      <c r="X9" s="130" t="n">
        <f aca="false">'7.CFS'!X31</f>
        <v>245535912.370577</v>
      </c>
      <c r="Y9" s="130" t="n">
        <f aca="false">'7.CFS'!Y31</f>
        <v>271368369.405229</v>
      </c>
      <c r="Z9" s="130" t="n">
        <f aca="false">'7.CFS'!Z31</f>
        <v>297855289.205189</v>
      </c>
      <c r="AA9" s="130" t="n">
        <f aca="false">'7.CFS'!AA31</f>
        <v>324934357.749163</v>
      </c>
      <c r="AB9" s="130" t="n">
        <f aca="false">'7.CFS'!AB31</f>
        <v>352723313.989545</v>
      </c>
      <c r="AC9" s="130" t="n">
        <f aca="false">'7.CFS'!AC31</f>
        <v>381158376.017229</v>
      </c>
      <c r="AD9" s="130" t="n">
        <f aca="false">'7.CFS'!AD31</f>
        <v>410311580.496669</v>
      </c>
      <c r="AE9" s="130" t="n">
        <f aca="false">'7.CFS'!AE31</f>
        <v>440141899.110918</v>
      </c>
      <c r="AF9" s="130" t="n">
        <f aca="false">'7.CFS'!AF31</f>
        <v>470724344.763194</v>
      </c>
      <c r="AG9" s="130" t="n">
        <f aca="false">'7.CFS'!AG31</f>
        <v>501988950.44916</v>
      </c>
      <c r="AH9" s="130" t="n">
        <f aca="false">'7.CFS'!AH31</f>
        <v>534068514.840191</v>
      </c>
      <c r="AI9" s="130" t="n">
        <f aca="false">'7.CFS'!AI31</f>
        <v>566891410.916253</v>
      </c>
      <c r="AJ9" s="130" t="n">
        <f aca="false">'7.CFS'!AJ31</f>
        <v>600538961.176049</v>
      </c>
      <c r="AK9" s="130" t="n">
        <f aca="false">'7.CFS'!AK31</f>
        <v>634965153.759334</v>
      </c>
      <c r="AL9" s="130" t="n">
        <f aca="false">'7.CFS'!AL31</f>
        <v>670254652.632304</v>
      </c>
    </row>
    <row r="10" customFormat="false" ht="15" hidden="false" customHeight="false" outlineLevel="0" collapsed="false">
      <c r="C10" s="1" t="s">
        <v>696</v>
      </c>
      <c r="H10" s="130" t="n">
        <f aca="false">'9.BS Items'!H19</f>
        <v>0</v>
      </c>
      <c r="I10" s="130" t="n">
        <f aca="false">'9.BS Items'!I19</f>
        <v>28813.0308219178</v>
      </c>
      <c r="J10" s="130" t="n">
        <f aca="false">'9.BS Items'!J19</f>
        <v>495767.251915668</v>
      </c>
      <c r="K10" s="130" t="n">
        <f aca="false">'9.BS Items'!K19</f>
        <v>909860.869162564</v>
      </c>
      <c r="L10" s="130" t="n">
        <f aca="false">'9.BS Items'!L19</f>
        <v>1031969.05503452</v>
      </c>
      <c r="M10" s="130" t="n">
        <f aca="false">'9.BS Items'!M19</f>
        <v>1559851.19234117</v>
      </c>
      <c r="N10" s="130" t="n">
        <f aca="false">'9.BS Items'!N19</f>
        <v>1600678.53671134</v>
      </c>
      <c r="O10" s="130" t="n">
        <f aca="false">'9.BS Items'!O19</f>
        <v>1642572.34130481</v>
      </c>
      <c r="P10" s="130" t="n">
        <f aca="false">'9.BS Items'!P19</f>
        <v>1685560.41204251</v>
      </c>
      <c r="Q10" s="130" t="n">
        <f aca="false">'9.BS Items'!Q19</f>
        <v>1729671.27860378</v>
      </c>
      <c r="R10" s="130" t="n">
        <f aca="false">'9.BS Items'!R19</f>
        <v>1772913.06056887</v>
      </c>
      <c r="S10" s="130" t="n">
        <f aca="false">'9.BS Items'!S19</f>
        <v>1817235.88708309</v>
      </c>
      <c r="T10" s="130" t="n">
        <f aca="false">'9.BS Items'!T19</f>
        <v>1862666.78426017</v>
      </c>
      <c r="U10" s="130" t="n">
        <f aca="false">'9.BS Items'!U19</f>
        <v>1909233.45386667</v>
      </c>
      <c r="V10" s="130" t="n">
        <f aca="false">'9.BS Items'!V19</f>
        <v>1956964.29021334</v>
      </c>
      <c r="W10" s="130" t="n">
        <f aca="false">'9.BS Items'!W19</f>
        <v>2005888.39746867</v>
      </c>
      <c r="X10" s="130" t="n">
        <f aca="false">'9.BS Items'!X19</f>
        <v>2056035.60740539</v>
      </c>
      <c r="Y10" s="130" t="n">
        <f aca="false">'9.BS Items'!Y19</f>
        <v>2107436.49759052</v>
      </c>
      <c r="Z10" s="130" t="n">
        <f aca="false">'9.BS Items'!Z19</f>
        <v>2160122.41003029</v>
      </c>
      <c r="AA10" s="130" t="n">
        <f aca="false">'9.BS Items'!AA19</f>
        <v>2214125.47028105</v>
      </c>
      <c r="AB10" s="130" t="n">
        <f aca="false">'9.BS Items'!AB19</f>
        <v>2269478.60703807</v>
      </c>
      <c r="AC10" s="130" t="n">
        <f aca="false">'9.BS Items'!AC19</f>
        <v>2326215.57221402</v>
      </c>
      <c r="AD10" s="130" t="n">
        <f aca="false">'9.BS Items'!AD19</f>
        <v>2384370.96151937</v>
      </c>
      <c r="AE10" s="130" t="n">
        <f aca="false">'9.BS Items'!AE19</f>
        <v>2443980.23555736</v>
      </c>
      <c r="AF10" s="130" t="n">
        <f aca="false">'9.BS Items'!AF19</f>
        <v>2505079.74144629</v>
      </c>
      <c r="AG10" s="130" t="n">
        <f aca="false">'9.BS Items'!AG19</f>
        <v>2567706.73498245</v>
      </c>
      <c r="AH10" s="130" t="n">
        <f aca="false">'9.BS Items'!AH19</f>
        <v>2631899.40335701</v>
      </c>
      <c r="AI10" s="130" t="n">
        <f aca="false">'9.BS Items'!AI19</f>
        <v>2697696.88844093</v>
      </c>
      <c r="AJ10" s="130" t="n">
        <f aca="false">'9.BS Items'!AJ19</f>
        <v>2765139.31065196</v>
      </c>
      <c r="AK10" s="130" t="n">
        <f aca="false">'9.BS Items'!AK19</f>
        <v>2834267.79341826</v>
      </c>
      <c r="AL10" s="130" t="n">
        <f aca="false">'9.BS Items'!AL19</f>
        <v>2905124.48825371</v>
      </c>
    </row>
    <row r="11" customFormat="false" ht="15" hidden="false" customHeight="false" outlineLevel="0" collapsed="false">
      <c r="C11" s="1" t="s">
        <v>697</v>
      </c>
      <c r="H11" s="130" t="n">
        <f aca="false">'9.BS Items'!H26</f>
        <v>0</v>
      </c>
      <c r="I11" s="130" t="n">
        <f aca="false">'9.BS Items'!I26</f>
        <v>107471.362962329</v>
      </c>
      <c r="J11" s="130" t="n">
        <f aca="false">'9.BS Items'!J26</f>
        <v>1128693.46841738</v>
      </c>
      <c r="K11" s="130" t="n">
        <f aca="false">'9.BS Items'!K26</f>
        <v>2044138.33518567</v>
      </c>
      <c r="L11" s="130" t="n">
        <f aca="false">'9.BS Items'!L26</f>
        <v>2357422.15114507</v>
      </c>
      <c r="M11" s="130" t="n">
        <f aca="false">'9.BS Items'!M26</f>
        <v>3518013.5294436</v>
      </c>
      <c r="N11" s="130" t="n">
        <f aca="false">'9.BS Items'!N26</f>
        <v>3671868.84129712</v>
      </c>
      <c r="O11" s="130" t="n">
        <f aca="false">'9.BS Items'!O26</f>
        <v>3833089.3341553</v>
      </c>
      <c r="P11" s="130" t="n">
        <f aca="false">'9.BS Items'!P26</f>
        <v>4002062.74183861</v>
      </c>
      <c r="Q11" s="130" t="n">
        <f aca="false">'9.BS Items'!Q26</f>
        <v>4179198.46711977</v>
      </c>
      <c r="R11" s="130" t="n">
        <f aca="false">'9.BS Items'!R26</f>
        <v>4292878.34420507</v>
      </c>
      <c r="S11" s="130" t="n">
        <f aca="false">'9.BS Items'!S26</f>
        <v>4409860.21398787</v>
      </c>
      <c r="T11" s="130" t="n">
        <f aca="false">'9.BS Items'!T26</f>
        <v>4530249.62607413</v>
      </c>
      <c r="U11" s="130" t="n">
        <f aca="false">'9.BS Items'!U26</f>
        <v>4654155.91879936</v>
      </c>
      <c r="V11" s="130" t="n">
        <f aca="false">'9.BS Items'!V26</f>
        <v>4781692.3714464</v>
      </c>
      <c r="W11" s="130" t="n">
        <f aca="false">'9.BS Items'!W26</f>
        <v>4912976.36314347</v>
      </c>
      <c r="X11" s="130" t="n">
        <f aca="false">'9.BS Items'!X26</f>
        <v>5048129.5387535</v>
      </c>
      <c r="Y11" s="130" t="n">
        <f aca="false">'9.BS Items'!Y26</f>
        <v>5187277.98208037</v>
      </c>
      <c r="Z11" s="130" t="n">
        <f aca="false">'9.BS Items'!Z26</f>
        <v>5330552.3967333</v>
      </c>
      <c r="AA11" s="130" t="n">
        <f aca="false">'9.BS Items'!AA26</f>
        <v>5478088.2950076</v>
      </c>
      <c r="AB11" s="130" t="n">
        <f aca="false">'9.BS Items'!AB26</f>
        <v>5630026.19515657</v>
      </c>
      <c r="AC11" s="130" t="n">
        <f aca="false">'9.BS Items'!AC26</f>
        <v>5786511.82744794</v>
      </c>
      <c r="AD11" s="130" t="n">
        <f aca="false">'9.BS Items'!AD26</f>
        <v>5947696.34941722</v>
      </c>
      <c r="AE11" s="130" t="n">
        <f aca="false">'9.BS Items'!AE26</f>
        <v>6113736.57074989</v>
      </c>
      <c r="AF11" s="130" t="n">
        <f aca="false">'9.BS Items'!AF26</f>
        <v>6284795.18824573</v>
      </c>
      <c r="AG11" s="130" t="n">
        <f aca="false">'9.BS Items'!AG26</f>
        <v>6461041.03134032</v>
      </c>
      <c r="AH11" s="130" t="n">
        <f aca="false">'9.BS Items'!AH26</f>
        <v>6642649.31868171</v>
      </c>
      <c r="AI11" s="130" t="n">
        <f aca="false">'9.BS Items'!AI26</f>
        <v>6829801.92628452</v>
      </c>
      <c r="AJ11" s="130" t="n">
        <f aca="false">'9.BS Items'!AJ26</f>
        <v>7022687.66780919</v>
      </c>
      <c r="AK11" s="130" t="n">
        <f aca="false">'9.BS Items'!AK26</f>
        <v>7221502.58754035</v>
      </c>
      <c r="AL11" s="130" t="n">
        <f aca="false">'9.BS Items'!AL26</f>
        <v>7426450.2666666</v>
      </c>
    </row>
    <row r="12" customFormat="false" ht="15" hidden="false" customHeight="false" outlineLevel="0" collapsed="false">
      <c r="C12" s="1" t="s">
        <v>698</v>
      </c>
      <c r="G12" s="130" t="n">
        <f aca="false">'9.BS Items'!G41</f>
        <v>0</v>
      </c>
      <c r="H12" s="130" t="n">
        <f aca="false">'9.BS Items'!H43</f>
        <v>0</v>
      </c>
      <c r="I12" s="130" t="n">
        <f aca="false">'9.BS Items'!I43</f>
        <v>0</v>
      </c>
      <c r="J12" s="130" t="n">
        <f aca="false">'9.BS Items'!J43</f>
        <v>0</v>
      </c>
      <c r="K12" s="130" t="n">
        <f aca="false">'9.BS Items'!K43</f>
        <v>0</v>
      </c>
      <c r="L12" s="130" t="n">
        <f aca="false">'9.BS Items'!L43</f>
        <v>0</v>
      </c>
      <c r="M12" s="130" t="n">
        <f aca="false">'9.BS Items'!M43</f>
        <v>0</v>
      </c>
      <c r="N12" s="130" t="n">
        <f aca="false">'9.BS Items'!N43</f>
        <v>0</v>
      </c>
      <c r="O12" s="130" t="n">
        <f aca="false">'9.BS Items'!O43</f>
        <v>0</v>
      </c>
      <c r="P12" s="130" t="n">
        <f aca="false">'9.BS Items'!P43</f>
        <v>2000000</v>
      </c>
      <c r="Q12" s="130" t="n">
        <f aca="false">'9.BS Items'!Q43</f>
        <v>2000000</v>
      </c>
      <c r="R12" s="130" t="n">
        <f aca="false">'9.BS Items'!R43</f>
        <v>2000000</v>
      </c>
      <c r="S12" s="130" t="n">
        <f aca="false">'9.BS Items'!S43</f>
        <v>2000000</v>
      </c>
      <c r="T12" s="130" t="n">
        <f aca="false">'9.BS Items'!T43</f>
        <v>2000000</v>
      </c>
      <c r="U12" s="130" t="n">
        <f aca="false">'9.BS Items'!U43</f>
        <v>2000000</v>
      </c>
      <c r="V12" s="130" t="n">
        <f aca="false">'9.BS Items'!V43</f>
        <v>2000000</v>
      </c>
      <c r="W12" s="130" t="n">
        <f aca="false">'9.BS Items'!W43</f>
        <v>2000000</v>
      </c>
      <c r="X12" s="130" t="n">
        <f aca="false">'9.BS Items'!X43</f>
        <v>2000000</v>
      </c>
      <c r="Y12" s="130" t="n">
        <f aca="false">'9.BS Items'!Y43</f>
        <v>2000000</v>
      </c>
      <c r="Z12" s="130" t="n">
        <f aca="false">'9.BS Items'!Z43</f>
        <v>2000000</v>
      </c>
      <c r="AA12" s="130" t="n">
        <f aca="false">'9.BS Items'!AA43</f>
        <v>2000000</v>
      </c>
      <c r="AB12" s="130" t="n">
        <f aca="false">'9.BS Items'!AB43</f>
        <v>1999999.99999999</v>
      </c>
      <c r="AC12" s="130" t="n">
        <f aca="false">'9.BS Items'!AC43</f>
        <v>2000000</v>
      </c>
      <c r="AD12" s="130" t="n">
        <f aca="false">'9.BS Items'!AD43</f>
        <v>1999999.99999999</v>
      </c>
      <c r="AE12" s="130" t="n">
        <f aca="false">'9.BS Items'!AE43</f>
        <v>1999999.99999999</v>
      </c>
      <c r="AF12" s="130" t="n">
        <f aca="false">'9.BS Items'!AF43</f>
        <v>1999999.99999999</v>
      </c>
      <c r="AG12" s="130" t="n">
        <f aca="false">'9.BS Items'!AG43</f>
        <v>1999999.99999999</v>
      </c>
      <c r="AH12" s="130" t="n">
        <f aca="false">'9.BS Items'!AH43</f>
        <v>1999999.99999999</v>
      </c>
      <c r="AI12" s="130" t="n">
        <f aca="false">'9.BS Items'!AI43</f>
        <v>1999999.99999999</v>
      </c>
      <c r="AJ12" s="130" t="n">
        <f aca="false">'9.BS Items'!AJ43</f>
        <v>1999999.99999999</v>
      </c>
      <c r="AK12" s="130" t="n">
        <f aca="false">'9.BS Items'!AK43</f>
        <v>1999999.99999999</v>
      </c>
      <c r="AL12" s="130" t="n">
        <f aca="false">'9.BS Items'!AL43</f>
        <v>2000000</v>
      </c>
    </row>
    <row r="13" customFormat="false" ht="15" hidden="false" customHeight="false" outlineLevel="0" collapsed="false">
      <c r="C13" s="1" t="s">
        <v>699</v>
      </c>
      <c r="G13" s="130" t="n">
        <f aca="false">'9.BS Items'!G52</f>
        <v>0</v>
      </c>
      <c r="H13" s="130" t="n">
        <f aca="false">'9.BS Items'!H52</f>
        <v>16521.7225777166</v>
      </c>
      <c r="I13" s="130" t="n">
        <f aca="false">'9.BS Items'!I52</f>
        <v>16521.7225777166</v>
      </c>
      <c r="J13" s="130" t="n">
        <f aca="false">'9.BS Items'!J52</f>
        <v>16521.7225777166</v>
      </c>
      <c r="K13" s="130" t="n">
        <f aca="false">'9.BS Items'!K52</f>
        <v>16521.7225777166</v>
      </c>
      <c r="L13" s="130" t="n">
        <f aca="false">'9.BS Items'!L52</f>
        <v>16521.7225777166</v>
      </c>
      <c r="M13" s="130" t="n">
        <f aca="false">'9.BS Items'!M52</f>
        <v>16521.7225777166</v>
      </c>
      <c r="N13" s="130" t="n">
        <f aca="false">'9.BS Items'!N52</f>
        <v>16521.7225777166</v>
      </c>
      <c r="O13" s="130" t="n">
        <f aca="false">'9.BS Items'!O52</f>
        <v>16521.7225777166</v>
      </c>
      <c r="P13" s="130" t="n">
        <f aca="false">'9.BS Items'!P52</f>
        <v>16521.7225777166</v>
      </c>
      <c r="Q13" s="130" t="n">
        <f aca="false">'9.BS Items'!Q52</f>
        <v>16521.7225777166</v>
      </c>
      <c r="R13" s="130" t="n">
        <f aca="false">'9.BS Items'!R52</f>
        <v>16521.7225777166</v>
      </c>
      <c r="S13" s="130" t="n">
        <f aca="false">'9.BS Items'!S52</f>
        <v>16521.7225777166</v>
      </c>
      <c r="T13" s="130" t="n">
        <f aca="false">'9.BS Items'!T52</f>
        <v>16521.7225777166</v>
      </c>
      <c r="U13" s="130" t="n">
        <f aca="false">'9.BS Items'!U52</f>
        <v>16521.7225777166</v>
      </c>
      <c r="V13" s="130" t="n">
        <f aca="false">'9.BS Items'!V52</f>
        <v>16521.7225777166</v>
      </c>
      <c r="W13" s="130" t="n">
        <f aca="false">'9.BS Items'!W52</f>
        <v>16521.7225777166</v>
      </c>
      <c r="X13" s="130" t="n">
        <f aca="false">'9.BS Items'!X52</f>
        <v>16521.7225777166</v>
      </c>
      <c r="Y13" s="130" t="n">
        <f aca="false">'9.BS Items'!Y52</f>
        <v>16521.7225777166</v>
      </c>
      <c r="Z13" s="130" t="n">
        <f aca="false">'9.BS Items'!Z52</f>
        <v>16521.7225777166</v>
      </c>
      <c r="AA13" s="130" t="n">
        <f aca="false">'9.BS Items'!AA52</f>
        <v>16521.7225777166</v>
      </c>
      <c r="AB13" s="130" t="n">
        <f aca="false">'9.BS Items'!AB52</f>
        <v>16521.7225777166</v>
      </c>
      <c r="AC13" s="130" t="n">
        <f aca="false">'9.BS Items'!AC52</f>
        <v>16521.7225777166</v>
      </c>
      <c r="AD13" s="130" t="n">
        <f aca="false">'9.BS Items'!AD52</f>
        <v>16521.7225777166</v>
      </c>
      <c r="AE13" s="130" t="n">
        <f aca="false">'9.BS Items'!AE52</f>
        <v>16521.7225777166</v>
      </c>
      <c r="AF13" s="130" t="n">
        <f aca="false">'9.BS Items'!AF52</f>
        <v>16521.7225777166</v>
      </c>
      <c r="AG13" s="130" t="n">
        <f aca="false">'9.BS Items'!AG52</f>
        <v>16521.7225777166</v>
      </c>
      <c r="AH13" s="130" t="n">
        <f aca="false">'9.BS Items'!AH52</f>
        <v>16521.7225777166</v>
      </c>
      <c r="AI13" s="130" t="n">
        <f aca="false">'9.BS Items'!AI52</f>
        <v>16521.7225777166</v>
      </c>
      <c r="AJ13" s="130" t="n">
        <f aca="false">'9.BS Items'!AJ52</f>
        <v>16521.7225777166</v>
      </c>
      <c r="AK13" s="130" t="n">
        <f aca="false">'9.BS Items'!AK52</f>
        <v>0</v>
      </c>
      <c r="AL13" s="130" t="n">
        <f aca="false">'9.BS Items'!AL52</f>
        <v>0</v>
      </c>
    </row>
    <row r="14" customFormat="false" ht="15" hidden="false" customHeight="false" outlineLevel="0" collapsed="false">
      <c r="B14" s="68" t="s">
        <v>700</v>
      </c>
      <c r="C14" s="68"/>
      <c r="D14" s="274"/>
      <c r="E14" s="276"/>
      <c r="F14" s="276"/>
      <c r="G14" s="276"/>
      <c r="H14" s="439" t="n">
        <f aca="false">SUM(H9:H13)</f>
        <v>385790.612572835</v>
      </c>
      <c r="I14" s="439" t="n">
        <f aca="false">SUM(I9:I13)</f>
        <v>3344092.55742753</v>
      </c>
      <c r="J14" s="439" t="n">
        <f aca="false">SUM(J9:J13)</f>
        <v>7131246.388985</v>
      </c>
      <c r="K14" s="439" t="n">
        <f aca="false">SUM(K9:K13)</f>
        <v>12444447.7609201</v>
      </c>
      <c r="L14" s="439" t="n">
        <f aca="false">SUM(L9:L13)</f>
        <v>18344796.7950137</v>
      </c>
      <c r="M14" s="439" t="n">
        <f aca="false">SUM(M9:M13)</f>
        <v>30091666.9879817</v>
      </c>
      <c r="N14" s="439" t="n">
        <f aca="false">SUM(N9:N13)</f>
        <v>42670834.9561478</v>
      </c>
      <c r="O14" s="439" t="n">
        <f aca="false">SUM(O9:O13)</f>
        <v>55568569.3363602</v>
      </c>
      <c r="P14" s="439" t="n">
        <f aca="false">SUM(P9:P13)</f>
        <v>71889868.5436222</v>
      </c>
      <c r="Q14" s="439" t="n">
        <f aca="false">SUM(Q9:Q13)</f>
        <v>91129830.8923773</v>
      </c>
      <c r="R14" s="439" t="n">
        <f aca="false">SUM(R9:R13)</f>
        <v>112209845.221662</v>
      </c>
      <c r="S14" s="439" t="n">
        <f aca="false">SUM(S9:S13)</f>
        <v>134005064.128265</v>
      </c>
      <c r="T14" s="439" t="n">
        <f aca="false">SUM(T9:T13)</f>
        <v>156581169.552121</v>
      </c>
      <c r="U14" s="439" t="n">
        <f aca="false">SUM(U9:U13)</f>
        <v>180192790.002053</v>
      </c>
      <c r="V14" s="439" t="n">
        <f aca="false">SUM(V9:V13)</f>
        <v>204426922.116612</v>
      </c>
      <c r="W14" s="439" t="n">
        <f aca="false">SUM(W9:W13)</f>
        <v>229226883.035575</v>
      </c>
      <c r="X14" s="439" t="n">
        <f aca="false">SUM(X9:X13)</f>
        <v>254656599.239313</v>
      </c>
      <c r="Y14" s="439" t="n">
        <f aca="false">SUM(Y9:Y13)</f>
        <v>280679605.607478</v>
      </c>
      <c r="Z14" s="439" t="n">
        <f aca="false">SUM(Z9:Z13)</f>
        <v>307362485.734531</v>
      </c>
      <c r="AA14" s="439" t="n">
        <f aca="false">SUM(AA9:AA13)</f>
        <v>334643093.23703</v>
      </c>
      <c r="AB14" s="439" t="n">
        <f aca="false">SUM(AB9:AB13)</f>
        <v>362639340.514317</v>
      </c>
      <c r="AC14" s="439" t="n">
        <f aca="false">SUM(AC9:AC13)</f>
        <v>391287625.139468</v>
      </c>
      <c r="AD14" s="439" t="n">
        <f aca="false">SUM(AD9:AD13)</f>
        <v>420660169.530184</v>
      </c>
      <c r="AE14" s="439" t="n">
        <f aca="false">SUM(AE9:AE13)</f>
        <v>450716137.639803</v>
      </c>
      <c r="AF14" s="439" t="n">
        <f aca="false">SUM(AF9:AF13)</f>
        <v>481530741.415464</v>
      </c>
      <c r="AG14" s="439" t="n">
        <f aca="false">SUM(AG9:AG13)</f>
        <v>513034219.938061</v>
      </c>
      <c r="AH14" s="439" t="n">
        <f aca="false">SUM(AH9:AH13)</f>
        <v>545359585.284807</v>
      </c>
      <c r="AI14" s="439" t="n">
        <f aca="false">SUM(AI9:AI13)</f>
        <v>578435431.453556</v>
      </c>
      <c r="AJ14" s="439" t="n">
        <f aca="false">SUM(AJ9:AJ13)</f>
        <v>612343309.877088</v>
      </c>
      <c r="AK14" s="439" t="n">
        <f aca="false">SUM(AK9:AK13)</f>
        <v>647020924.140293</v>
      </c>
      <c r="AL14" s="439" t="n">
        <f aca="false">SUM(AL9:AL13)</f>
        <v>682586227.387224</v>
      </c>
    </row>
    <row r="15" customFormat="false" ht="15" hidden="false" customHeight="false" outlineLevel="0" collapsed="false">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row>
    <row r="16" customFormat="false" ht="15" hidden="false" customHeight="false" outlineLevel="0" collapsed="false">
      <c r="B16" s="8" t="s">
        <v>701</v>
      </c>
      <c r="D16" s="30"/>
      <c r="H16" s="55"/>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row>
    <row r="17" customFormat="false" ht="15" hidden="false" customHeight="false" outlineLevel="0" collapsed="false">
      <c r="B17" s="8"/>
      <c r="C17" s="1" t="str">
        <f aca="false">'10.Depn'!C137</f>
        <v>Land</v>
      </c>
      <c r="D17" s="30"/>
      <c r="H17" s="55" t="n">
        <f aca="false">'10.Depn'!H137</f>
        <v>76500</v>
      </c>
      <c r="I17" s="55" t="n">
        <f aca="false">'10.Depn'!I137</f>
        <v>176580</v>
      </c>
      <c r="J17" s="55" t="n">
        <f aca="false">'10.Depn'!J137</f>
        <v>199732.5</v>
      </c>
      <c r="K17" s="55" t="n">
        <f aca="false">'10.Depn'!K137</f>
        <v>224042.625</v>
      </c>
      <c r="L17" s="55" t="n">
        <f aca="false">'10.Depn'!L137</f>
        <v>249568.25625</v>
      </c>
      <c r="M17" s="55" t="n">
        <f aca="false">'10.Depn'!M137</f>
        <v>276370.1690625</v>
      </c>
      <c r="N17" s="55" t="n">
        <f aca="false">'10.Depn'!N137</f>
        <v>304512.177515625</v>
      </c>
      <c r="O17" s="55" t="n">
        <f aca="false">'10.Depn'!O137</f>
        <v>334061.286391406</v>
      </c>
      <c r="P17" s="55" t="n">
        <f aca="false">'10.Depn'!P137</f>
        <v>365087.850710977</v>
      </c>
      <c r="Q17" s="55" t="n">
        <f aca="false">'10.Depn'!Q137</f>
        <v>397665.743246525</v>
      </c>
      <c r="R17" s="55" t="n">
        <f aca="false">'10.Depn'!R137</f>
        <v>397665.743246525</v>
      </c>
      <c r="S17" s="55" t="n">
        <f aca="false">'10.Depn'!S137</f>
        <v>397665.743246525</v>
      </c>
      <c r="T17" s="55" t="n">
        <f aca="false">'10.Depn'!T137</f>
        <v>397665.743246525</v>
      </c>
      <c r="U17" s="55" t="n">
        <f aca="false">'10.Depn'!U137</f>
        <v>397665.743246525</v>
      </c>
      <c r="V17" s="55" t="n">
        <f aca="false">'10.Depn'!V137</f>
        <v>397665.743246525</v>
      </c>
      <c r="W17" s="55" t="n">
        <f aca="false">'10.Depn'!W137</f>
        <v>397665.743246525</v>
      </c>
      <c r="X17" s="55" t="n">
        <f aca="false">'10.Depn'!X137</f>
        <v>397665.743246525</v>
      </c>
      <c r="Y17" s="55" t="n">
        <f aca="false">'10.Depn'!Y137</f>
        <v>397665.743246525</v>
      </c>
      <c r="Z17" s="55" t="n">
        <f aca="false">'10.Depn'!Z137</f>
        <v>397665.743246525</v>
      </c>
      <c r="AA17" s="55" t="n">
        <f aca="false">'10.Depn'!AA137</f>
        <v>397665.743246525</v>
      </c>
      <c r="AB17" s="55" t="n">
        <f aca="false">'10.Depn'!AB137</f>
        <v>397665.743246525</v>
      </c>
      <c r="AC17" s="55" t="n">
        <f aca="false">'10.Depn'!AC137</f>
        <v>397665.743246525</v>
      </c>
      <c r="AD17" s="55" t="n">
        <f aca="false">'10.Depn'!AD137</f>
        <v>397665.743246525</v>
      </c>
      <c r="AE17" s="55" t="n">
        <f aca="false">'10.Depn'!AE137</f>
        <v>397665.743246525</v>
      </c>
      <c r="AF17" s="55" t="n">
        <f aca="false">'10.Depn'!AF137</f>
        <v>397665.743246525</v>
      </c>
      <c r="AG17" s="55" t="n">
        <f aca="false">'10.Depn'!AG137</f>
        <v>397665.743246525</v>
      </c>
      <c r="AH17" s="55" t="n">
        <f aca="false">'10.Depn'!AH137</f>
        <v>397665.743246525</v>
      </c>
      <c r="AI17" s="55" t="n">
        <f aca="false">'10.Depn'!AI137</f>
        <v>397665.743246525</v>
      </c>
      <c r="AJ17" s="55" t="n">
        <f aca="false">'10.Depn'!AJ137</f>
        <v>397665.743246525</v>
      </c>
      <c r="AK17" s="55" t="n">
        <f aca="false">'10.Depn'!AK137</f>
        <v>397665.743246525</v>
      </c>
      <c r="AL17" s="55" t="n">
        <f aca="false">'10.Depn'!AL137</f>
        <v>397665.743246525</v>
      </c>
    </row>
    <row r="18" customFormat="false" ht="15" hidden="false" customHeight="false" outlineLevel="0" collapsed="false">
      <c r="B18" s="8"/>
      <c r="C18" s="1" t="str">
        <f aca="false">'10.Depn'!C138</f>
        <v>Buildings &amp; Infrastructure</v>
      </c>
      <c r="D18" s="30"/>
      <c r="H18" s="55" t="n">
        <f aca="false">'10.Depn'!H138</f>
        <v>0</v>
      </c>
      <c r="I18" s="55" t="n">
        <f aca="false">'10.Depn'!I138</f>
        <v>0</v>
      </c>
      <c r="J18" s="55" t="n">
        <f aca="false">'10.Depn'!J138</f>
        <v>0</v>
      </c>
      <c r="K18" s="55" t="n">
        <f aca="false">'10.Depn'!K138</f>
        <v>0</v>
      </c>
      <c r="L18" s="55" t="n">
        <f aca="false">'10.Depn'!L138</f>
        <v>0</v>
      </c>
      <c r="M18" s="55" t="n">
        <f aca="false">'10.Depn'!M138</f>
        <v>0</v>
      </c>
      <c r="N18" s="55" t="n">
        <f aca="false">'10.Depn'!N138</f>
        <v>0</v>
      </c>
      <c r="O18" s="55" t="n">
        <f aca="false">'10.Depn'!O138</f>
        <v>0</v>
      </c>
      <c r="P18" s="55" t="n">
        <f aca="false">'10.Depn'!P138</f>
        <v>0</v>
      </c>
      <c r="Q18" s="55" t="n">
        <f aca="false">'10.Depn'!Q138</f>
        <v>0</v>
      </c>
      <c r="R18" s="55" t="n">
        <f aca="false">'10.Depn'!R138</f>
        <v>0</v>
      </c>
      <c r="S18" s="55" t="n">
        <f aca="false">'10.Depn'!S138</f>
        <v>0</v>
      </c>
      <c r="T18" s="55" t="n">
        <f aca="false">'10.Depn'!T138</f>
        <v>0</v>
      </c>
      <c r="U18" s="55" t="n">
        <f aca="false">'10.Depn'!U138</f>
        <v>0</v>
      </c>
      <c r="V18" s="55" t="n">
        <f aca="false">'10.Depn'!V138</f>
        <v>0</v>
      </c>
      <c r="W18" s="55" t="n">
        <f aca="false">'10.Depn'!W138</f>
        <v>0</v>
      </c>
      <c r="X18" s="55" t="n">
        <f aca="false">'10.Depn'!X138</f>
        <v>0</v>
      </c>
      <c r="Y18" s="55" t="n">
        <f aca="false">'10.Depn'!Y138</f>
        <v>0</v>
      </c>
      <c r="Z18" s="55" t="n">
        <f aca="false">'10.Depn'!Z138</f>
        <v>0</v>
      </c>
      <c r="AA18" s="55" t="n">
        <f aca="false">'10.Depn'!AA138</f>
        <v>0</v>
      </c>
      <c r="AB18" s="55" t="n">
        <f aca="false">'10.Depn'!AB138</f>
        <v>0</v>
      </c>
      <c r="AC18" s="55" t="n">
        <f aca="false">'10.Depn'!AC138</f>
        <v>0</v>
      </c>
      <c r="AD18" s="55" t="n">
        <f aca="false">'10.Depn'!AD138</f>
        <v>0</v>
      </c>
      <c r="AE18" s="55" t="n">
        <f aca="false">'10.Depn'!AE138</f>
        <v>0</v>
      </c>
      <c r="AF18" s="55" t="n">
        <f aca="false">'10.Depn'!AF138</f>
        <v>0</v>
      </c>
      <c r="AG18" s="55" t="n">
        <f aca="false">'10.Depn'!AG138</f>
        <v>0</v>
      </c>
      <c r="AH18" s="55" t="n">
        <f aca="false">'10.Depn'!AH138</f>
        <v>0</v>
      </c>
      <c r="AI18" s="55" t="n">
        <f aca="false">'10.Depn'!AI138</f>
        <v>0</v>
      </c>
      <c r="AJ18" s="55" t="n">
        <f aca="false">'10.Depn'!AJ138</f>
        <v>0</v>
      </c>
      <c r="AK18" s="55" t="n">
        <f aca="false">'10.Depn'!AK138</f>
        <v>0</v>
      </c>
      <c r="AL18" s="55" t="n">
        <f aca="false">'10.Depn'!AL138</f>
        <v>0</v>
      </c>
    </row>
    <row r="19" customFormat="false" ht="15" hidden="false" customHeight="false" outlineLevel="0" collapsed="false">
      <c r="B19" s="8"/>
      <c r="C19" s="1" t="str">
        <f aca="false">'10.Depn'!C139</f>
        <v>Vehicles</v>
      </c>
      <c r="D19" s="30"/>
      <c r="H19" s="55" t="n">
        <f aca="false">'10.Depn'!H139</f>
        <v>0</v>
      </c>
      <c r="I19" s="55" t="n">
        <f aca="false">'10.Depn'!I139</f>
        <v>0</v>
      </c>
      <c r="J19" s="55" t="n">
        <f aca="false">'10.Depn'!J139</f>
        <v>0</v>
      </c>
      <c r="K19" s="55" t="n">
        <f aca="false">'10.Depn'!K139</f>
        <v>0</v>
      </c>
      <c r="L19" s="55" t="n">
        <f aca="false">'10.Depn'!L139</f>
        <v>0</v>
      </c>
      <c r="M19" s="55" t="n">
        <f aca="false">'10.Depn'!M139</f>
        <v>0</v>
      </c>
      <c r="N19" s="55" t="n">
        <f aca="false">'10.Depn'!N139</f>
        <v>0</v>
      </c>
      <c r="O19" s="55" t="n">
        <f aca="false">'10.Depn'!O139</f>
        <v>0</v>
      </c>
      <c r="P19" s="55" t="n">
        <f aca="false">'10.Depn'!P139</f>
        <v>0</v>
      </c>
      <c r="Q19" s="55" t="n">
        <f aca="false">'10.Depn'!Q139</f>
        <v>0</v>
      </c>
      <c r="R19" s="55" t="n">
        <f aca="false">'10.Depn'!R139</f>
        <v>0</v>
      </c>
      <c r="S19" s="55" t="n">
        <f aca="false">'10.Depn'!S139</f>
        <v>0</v>
      </c>
      <c r="T19" s="55" t="n">
        <f aca="false">'10.Depn'!T139</f>
        <v>0</v>
      </c>
      <c r="U19" s="55" t="n">
        <f aca="false">'10.Depn'!U139</f>
        <v>0</v>
      </c>
      <c r="V19" s="55" t="n">
        <f aca="false">'10.Depn'!V139</f>
        <v>0</v>
      </c>
      <c r="W19" s="55" t="n">
        <f aca="false">'10.Depn'!W139</f>
        <v>0</v>
      </c>
      <c r="X19" s="55" t="n">
        <f aca="false">'10.Depn'!X139</f>
        <v>0</v>
      </c>
      <c r="Y19" s="55" t="n">
        <f aca="false">'10.Depn'!Y139</f>
        <v>0</v>
      </c>
      <c r="Z19" s="55" t="n">
        <f aca="false">'10.Depn'!Z139</f>
        <v>0</v>
      </c>
      <c r="AA19" s="55" t="n">
        <f aca="false">'10.Depn'!AA139</f>
        <v>0</v>
      </c>
      <c r="AB19" s="55" t="n">
        <f aca="false">'10.Depn'!AB139</f>
        <v>0</v>
      </c>
      <c r="AC19" s="55" t="n">
        <f aca="false">'10.Depn'!AC139</f>
        <v>0</v>
      </c>
      <c r="AD19" s="55" t="n">
        <f aca="false">'10.Depn'!AD139</f>
        <v>0</v>
      </c>
      <c r="AE19" s="55" t="n">
        <f aca="false">'10.Depn'!AE139</f>
        <v>0</v>
      </c>
      <c r="AF19" s="55" t="n">
        <f aca="false">'10.Depn'!AF139</f>
        <v>0</v>
      </c>
      <c r="AG19" s="55" t="n">
        <f aca="false">'10.Depn'!AG139</f>
        <v>0</v>
      </c>
      <c r="AH19" s="55" t="n">
        <f aca="false">'10.Depn'!AH139</f>
        <v>0</v>
      </c>
      <c r="AI19" s="55" t="n">
        <f aca="false">'10.Depn'!AI139</f>
        <v>0</v>
      </c>
      <c r="AJ19" s="55" t="n">
        <f aca="false">'10.Depn'!AJ139</f>
        <v>0</v>
      </c>
      <c r="AK19" s="55" t="n">
        <f aca="false">'10.Depn'!AK139</f>
        <v>0</v>
      </c>
      <c r="AL19" s="55" t="n">
        <f aca="false">'10.Depn'!AL139</f>
        <v>0</v>
      </c>
    </row>
    <row r="20" customFormat="false" ht="15" hidden="false" customHeight="false" outlineLevel="0" collapsed="false">
      <c r="B20" s="8"/>
      <c r="C20" s="1" t="str">
        <f aca="false">'10.Depn'!C140</f>
        <v>Equipment</v>
      </c>
      <c r="D20" s="30"/>
      <c r="H20" s="55" t="n">
        <f aca="false">'10.Depn'!H140</f>
        <v>0</v>
      </c>
      <c r="I20" s="55" t="n">
        <f aca="false">'10.Depn'!I140</f>
        <v>0</v>
      </c>
      <c r="J20" s="55" t="n">
        <f aca="false">'10.Depn'!J140</f>
        <v>0</v>
      </c>
      <c r="K20" s="55" t="n">
        <f aca="false">'10.Depn'!K140</f>
        <v>0</v>
      </c>
      <c r="L20" s="55" t="n">
        <f aca="false">'10.Depn'!L140</f>
        <v>0</v>
      </c>
      <c r="M20" s="55" t="n">
        <f aca="false">'10.Depn'!M140</f>
        <v>0</v>
      </c>
      <c r="N20" s="55" t="n">
        <f aca="false">'10.Depn'!N140</f>
        <v>0</v>
      </c>
      <c r="O20" s="55" t="n">
        <f aca="false">'10.Depn'!O140</f>
        <v>0</v>
      </c>
      <c r="P20" s="55" t="n">
        <f aca="false">'10.Depn'!P140</f>
        <v>0</v>
      </c>
      <c r="Q20" s="55" t="n">
        <f aca="false">'10.Depn'!Q140</f>
        <v>0</v>
      </c>
      <c r="R20" s="55" t="n">
        <f aca="false">'10.Depn'!R140</f>
        <v>0</v>
      </c>
      <c r="S20" s="55" t="n">
        <f aca="false">'10.Depn'!S140</f>
        <v>0</v>
      </c>
      <c r="T20" s="55" t="n">
        <f aca="false">'10.Depn'!T140</f>
        <v>0</v>
      </c>
      <c r="U20" s="55" t="n">
        <f aca="false">'10.Depn'!U140</f>
        <v>0</v>
      </c>
      <c r="V20" s="55" t="n">
        <f aca="false">'10.Depn'!V140</f>
        <v>0</v>
      </c>
      <c r="W20" s="55" t="n">
        <f aca="false">'10.Depn'!W140</f>
        <v>0</v>
      </c>
      <c r="X20" s="55" t="n">
        <f aca="false">'10.Depn'!X140</f>
        <v>0</v>
      </c>
      <c r="Y20" s="55" t="n">
        <f aca="false">'10.Depn'!Y140</f>
        <v>0</v>
      </c>
      <c r="Z20" s="55" t="n">
        <f aca="false">'10.Depn'!Z140</f>
        <v>0</v>
      </c>
      <c r="AA20" s="55" t="n">
        <f aca="false">'10.Depn'!AA140</f>
        <v>0</v>
      </c>
      <c r="AB20" s="55" t="n">
        <f aca="false">'10.Depn'!AB140</f>
        <v>0</v>
      </c>
      <c r="AC20" s="55" t="n">
        <f aca="false">'10.Depn'!AC140</f>
        <v>0</v>
      </c>
      <c r="AD20" s="55" t="n">
        <f aca="false">'10.Depn'!AD140</f>
        <v>0</v>
      </c>
      <c r="AE20" s="55" t="n">
        <f aca="false">'10.Depn'!AE140</f>
        <v>0</v>
      </c>
      <c r="AF20" s="55" t="n">
        <f aca="false">'10.Depn'!AF140</f>
        <v>0</v>
      </c>
      <c r="AG20" s="55" t="n">
        <f aca="false">'10.Depn'!AG140</f>
        <v>0</v>
      </c>
      <c r="AH20" s="55" t="n">
        <f aca="false">'10.Depn'!AH140</f>
        <v>0</v>
      </c>
      <c r="AI20" s="55" t="n">
        <f aca="false">'10.Depn'!AI140</f>
        <v>0</v>
      </c>
      <c r="AJ20" s="55" t="n">
        <f aca="false">'10.Depn'!AJ140</f>
        <v>0</v>
      </c>
      <c r="AK20" s="55" t="n">
        <f aca="false">'10.Depn'!AK140</f>
        <v>0</v>
      </c>
      <c r="AL20" s="55" t="n">
        <f aca="false">'10.Depn'!AL140</f>
        <v>0</v>
      </c>
    </row>
    <row r="21" customFormat="false" ht="15" hidden="false" customHeight="false" outlineLevel="0" collapsed="false">
      <c r="B21" s="8"/>
      <c r="C21" s="1" t="str">
        <f aca="false">'10.Depn'!C141</f>
        <v>Plantation</v>
      </c>
      <c r="D21" s="30"/>
      <c r="H21" s="55" t="n">
        <f aca="false">'10.Depn'!H141</f>
        <v>0</v>
      </c>
      <c r="I21" s="55" t="n">
        <f aca="false">'10.Depn'!I141</f>
        <v>0</v>
      </c>
      <c r="J21" s="55" t="n">
        <f aca="false">'10.Depn'!J141</f>
        <v>0</v>
      </c>
      <c r="K21" s="55" t="n">
        <f aca="false">'10.Depn'!K141</f>
        <v>0</v>
      </c>
      <c r="L21" s="55" t="n">
        <f aca="false">'10.Depn'!L141</f>
        <v>0</v>
      </c>
      <c r="M21" s="55" t="n">
        <f aca="false">'10.Depn'!M141</f>
        <v>0</v>
      </c>
      <c r="N21" s="55" t="n">
        <f aca="false">'10.Depn'!N141</f>
        <v>0</v>
      </c>
      <c r="O21" s="55" t="n">
        <f aca="false">'10.Depn'!O141</f>
        <v>0</v>
      </c>
      <c r="P21" s="55" t="n">
        <f aca="false">'10.Depn'!P141</f>
        <v>0</v>
      </c>
      <c r="Q21" s="55" t="n">
        <f aca="false">'10.Depn'!Q141</f>
        <v>0</v>
      </c>
      <c r="R21" s="55" t="n">
        <f aca="false">'10.Depn'!R141</f>
        <v>0</v>
      </c>
      <c r="S21" s="55" t="n">
        <f aca="false">'10.Depn'!S141</f>
        <v>0</v>
      </c>
      <c r="T21" s="55" t="n">
        <f aca="false">'10.Depn'!T141</f>
        <v>0</v>
      </c>
      <c r="U21" s="55" t="n">
        <f aca="false">'10.Depn'!U141</f>
        <v>0</v>
      </c>
      <c r="V21" s="55" t="n">
        <f aca="false">'10.Depn'!V141</f>
        <v>0</v>
      </c>
      <c r="W21" s="55" t="n">
        <f aca="false">'10.Depn'!W141</f>
        <v>0</v>
      </c>
      <c r="X21" s="55" t="n">
        <f aca="false">'10.Depn'!X141</f>
        <v>0</v>
      </c>
      <c r="Y21" s="55" t="n">
        <f aca="false">'10.Depn'!Y141</f>
        <v>0</v>
      </c>
      <c r="Z21" s="55" t="n">
        <f aca="false">'10.Depn'!Z141</f>
        <v>0</v>
      </c>
      <c r="AA21" s="55" t="n">
        <f aca="false">'10.Depn'!AA141</f>
        <v>0</v>
      </c>
      <c r="AB21" s="55" t="n">
        <f aca="false">'10.Depn'!AB141</f>
        <v>0</v>
      </c>
      <c r="AC21" s="55" t="n">
        <f aca="false">'10.Depn'!AC141</f>
        <v>0</v>
      </c>
      <c r="AD21" s="55" t="n">
        <f aca="false">'10.Depn'!AD141</f>
        <v>0</v>
      </c>
      <c r="AE21" s="55" t="n">
        <f aca="false">'10.Depn'!AE141</f>
        <v>0</v>
      </c>
      <c r="AF21" s="55" t="n">
        <f aca="false">'10.Depn'!AF141</f>
        <v>0</v>
      </c>
      <c r="AG21" s="55" t="n">
        <f aca="false">'10.Depn'!AG141</f>
        <v>0</v>
      </c>
      <c r="AH21" s="55" t="n">
        <f aca="false">'10.Depn'!AH141</f>
        <v>0</v>
      </c>
      <c r="AI21" s="55" t="n">
        <f aca="false">'10.Depn'!AI141</f>
        <v>0</v>
      </c>
      <c r="AJ21" s="55" t="n">
        <f aca="false">'10.Depn'!AJ141</f>
        <v>0</v>
      </c>
      <c r="AK21" s="55" t="n">
        <f aca="false">'10.Depn'!AK141</f>
        <v>0</v>
      </c>
      <c r="AL21" s="55" t="n">
        <f aca="false">'10.Depn'!AL141</f>
        <v>0</v>
      </c>
    </row>
    <row r="22" customFormat="false" ht="15" hidden="false" customHeight="false" outlineLevel="0" collapsed="false">
      <c r="B22" s="8"/>
      <c r="C22" s="1" t="str">
        <f aca="false">'10.Depn'!C142</f>
        <v>Office Equipment</v>
      </c>
      <c r="D22" s="30"/>
      <c r="H22" s="55" t="n">
        <f aca="false">'10.Depn'!H142</f>
        <v>0</v>
      </c>
      <c r="I22" s="55" t="n">
        <f aca="false">'10.Depn'!I142</f>
        <v>0</v>
      </c>
      <c r="J22" s="55" t="n">
        <f aca="false">'10.Depn'!J142</f>
        <v>0</v>
      </c>
      <c r="K22" s="55" t="n">
        <f aca="false">'10.Depn'!K142</f>
        <v>0</v>
      </c>
      <c r="L22" s="55" t="n">
        <f aca="false">'10.Depn'!L142</f>
        <v>0</v>
      </c>
      <c r="M22" s="55" t="n">
        <f aca="false">'10.Depn'!M142</f>
        <v>0</v>
      </c>
      <c r="N22" s="55" t="n">
        <f aca="false">'10.Depn'!N142</f>
        <v>0</v>
      </c>
      <c r="O22" s="55" t="n">
        <f aca="false">'10.Depn'!O142</f>
        <v>0</v>
      </c>
      <c r="P22" s="55" t="n">
        <f aca="false">'10.Depn'!P142</f>
        <v>0</v>
      </c>
      <c r="Q22" s="55" t="n">
        <f aca="false">'10.Depn'!Q142</f>
        <v>0</v>
      </c>
      <c r="R22" s="55" t="n">
        <f aca="false">'10.Depn'!R142</f>
        <v>0</v>
      </c>
      <c r="S22" s="55" t="n">
        <f aca="false">'10.Depn'!S142</f>
        <v>0</v>
      </c>
      <c r="T22" s="55" t="n">
        <f aca="false">'10.Depn'!T142</f>
        <v>0</v>
      </c>
      <c r="U22" s="55" t="n">
        <f aca="false">'10.Depn'!U142</f>
        <v>0</v>
      </c>
      <c r="V22" s="55" t="n">
        <f aca="false">'10.Depn'!V142</f>
        <v>0</v>
      </c>
      <c r="W22" s="55" t="n">
        <f aca="false">'10.Depn'!W142</f>
        <v>0</v>
      </c>
      <c r="X22" s="55" t="n">
        <f aca="false">'10.Depn'!X142</f>
        <v>0</v>
      </c>
      <c r="Y22" s="55" t="n">
        <f aca="false">'10.Depn'!Y142</f>
        <v>0</v>
      </c>
      <c r="Z22" s="55" t="n">
        <f aca="false">'10.Depn'!Z142</f>
        <v>0</v>
      </c>
      <c r="AA22" s="55" t="n">
        <f aca="false">'10.Depn'!AA142</f>
        <v>0</v>
      </c>
      <c r="AB22" s="55" t="n">
        <f aca="false">'10.Depn'!AB142</f>
        <v>0</v>
      </c>
      <c r="AC22" s="55" t="n">
        <f aca="false">'10.Depn'!AC142</f>
        <v>0</v>
      </c>
      <c r="AD22" s="55" t="n">
        <f aca="false">'10.Depn'!AD142</f>
        <v>0</v>
      </c>
      <c r="AE22" s="55" t="n">
        <f aca="false">'10.Depn'!AE142</f>
        <v>0</v>
      </c>
      <c r="AF22" s="55" t="n">
        <f aca="false">'10.Depn'!AF142</f>
        <v>0</v>
      </c>
      <c r="AG22" s="55" t="n">
        <f aca="false">'10.Depn'!AG142</f>
        <v>0</v>
      </c>
      <c r="AH22" s="55" t="n">
        <f aca="false">'10.Depn'!AH142</f>
        <v>0</v>
      </c>
      <c r="AI22" s="55" t="n">
        <f aca="false">'10.Depn'!AI142</f>
        <v>0</v>
      </c>
      <c r="AJ22" s="55" t="n">
        <f aca="false">'10.Depn'!AJ142</f>
        <v>0</v>
      </c>
      <c r="AK22" s="55" t="n">
        <f aca="false">'10.Depn'!AK142</f>
        <v>0</v>
      </c>
      <c r="AL22" s="55" t="n">
        <f aca="false">'10.Depn'!AL142</f>
        <v>0</v>
      </c>
    </row>
    <row r="23" customFormat="false" ht="15" hidden="false" customHeight="false" outlineLevel="0" collapsed="false">
      <c r="C23" s="1" t="s">
        <v>702</v>
      </c>
      <c r="H23" s="130" t="n">
        <f aca="false">'9.BS Items'!H53</f>
        <v>247937.036006619</v>
      </c>
      <c r="I23" s="130" t="n">
        <f aca="false">'9.BS Items'!I53</f>
        <v>462608.232176065</v>
      </c>
      <c r="J23" s="130" t="n">
        <f aca="false">'9.BS Items'!J53</f>
        <v>446086.509598348</v>
      </c>
      <c r="K23" s="130" t="n">
        <f aca="false">'9.BS Items'!K53</f>
        <v>429564.787020632</v>
      </c>
      <c r="L23" s="130" t="n">
        <f aca="false">'9.BS Items'!L53</f>
        <v>413043.064442915</v>
      </c>
      <c r="M23" s="130" t="n">
        <f aca="false">'9.BS Items'!M53</f>
        <v>396521.341865198</v>
      </c>
      <c r="N23" s="130" t="n">
        <f aca="false">'9.BS Items'!N53</f>
        <v>379999.619287482</v>
      </c>
      <c r="O23" s="130" t="n">
        <f aca="false">'9.BS Items'!O53</f>
        <v>363477.896709765</v>
      </c>
      <c r="P23" s="130" t="n">
        <f aca="false">'9.BS Items'!P53</f>
        <v>346956.174132048</v>
      </c>
      <c r="Q23" s="130" t="n">
        <f aca="false">'9.BS Items'!Q53</f>
        <v>330434.451554332</v>
      </c>
      <c r="R23" s="130" t="n">
        <f aca="false">'9.BS Items'!R53</f>
        <v>313912.728976615</v>
      </c>
      <c r="S23" s="130" t="n">
        <f aca="false">'9.BS Items'!S53</f>
        <v>297391.006398899</v>
      </c>
      <c r="T23" s="130" t="n">
        <f aca="false">'9.BS Items'!T53</f>
        <v>280869.283821182</v>
      </c>
      <c r="U23" s="130" t="n">
        <f aca="false">'9.BS Items'!U53</f>
        <v>264347.561243465</v>
      </c>
      <c r="V23" s="130" t="n">
        <f aca="false">'9.BS Items'!V53</f>
        <v>247825.838665749</v>
      </c>
      <c r="W23" s="130" t="n">
        <f aca="false">'9.BS Items'!W53</f>
        <v>231304.116088032</v>
      </c>
      <c r="X23" s="130" t="n">
        <f aca="false">'9.BS Items'!X53</f>
        <v>214782.393510315</v>
      </c>
      <c r="Y23" s="130" t="n">
        <f aca="false">'9.BS Items'!Y53</f>
        <v>198260.670932599</v>
      </c>
      <c r="Z23" s="130" t="n">
        <f aca="false">'9.BS Items'!Z53</f>
        <v>181738.948354882</v>
      </c>
      <c r="AA23" s="130" t="n">
        <f aca="false">'9.BS Items'!AA53</f>
        <v>165217.225777166</v>
      </c>
      <c r="AB23" s="130" t="n">
        <f aca="false">'9.BS Items'!AB53</f>
        <v>148695.503199449</v>
      </c>
      <c r="AC23" s="130" t="n">
        <f aca="false">'9.BS Items'!AC53</f>
        <v>132173.780621732</v>
      </c>
      <c r="AD23" s="130" t="n">
        <f aca="false">'9.BS Items'!AD53</f>
        <v>115652.058044016</v>
      </c>
      <c r="AE23" s="130" t="n">
        <f aca="false">'9.BS Items'!AE53</f>
        <v>99130.3354662993</v>
      </c>
      <c r="AF23" s="130" t="n">
        <f aca="false">'9.BS Items'!AF53</f>
        <v>82608.6128885827</v>
      </c>
      <c r="AG23" s="130" t="n">
        <f aca="false">'9.BS Items'!AG53</f>
        <v>66086.8903108661</v>
      </c>
      <c r="AH23" s="130" t="n">
        <f aca="false">'9.BS Items'!AH53</f>
        <v>49565.1677331495</v>
      </c>
      <c r="AI23" s="130" t="n">
        <f aca="false">'9.BS Items'!AI53</f>
        <v>33043.4451554329</v>
      </c>
      <c r="AJ23" s="130" t="n">
        <f aca="false">'9.BS Items'!AJ53</f>
        <v>16521.7225777163</v>
      </c>
      <c r="AK23" s="130" t="n">
        <f aca="false">'9.BS Items'!AK53</f>
        <v>16521.7225777163</v>
      </c>
      <c r="AL23" s="130" t="n">
        <f aca="false">'9.BS Items'!AL53</f>
        <v>-3.56521923094988E-010</v>
      </c>
    </row>
    <row r="24" customFormat="false" ht="15" hidden="false" customHeight="false" outlineLevel="0" collapsed="false">
      <c r="B24" s="68" t="s">
        <v>703</v>
      </c>
      <c r="C24" s="68"/>
      <c r="D24" s="274"/>
      <c r="E24" s="276"/>
      <c r="F24" s="276"/>
      <c r="G24" s="276"/>
      <c r="H24" s="439" t="n">
        <f aca="false">SUM(H17:H23)</f>
        <v>324437.036006619</v>
      </c>
      <c r="I24" s="439" t="n">
        <f aca="false">SUM(I17:I23)</f>
        <v>639188.232176065</v>
      </c>
      <c r="J24" s="439" t="n">
        <f aca="false">SUM(J17:J23)</f>
        <v>645819.009598348</v>
      </c>
      <c r="K24" s="439" t="n">
        <f aca="false">SUM(K17:K23)</f>
        <v>653607.412020632</v>
      </c>
      <c r="L24" s="439" t="n">
        <f aca="false">SUM(L17:L23)</f>
        <v>662611.320692915</v>
      </c>
      <c r="M24" s="439" t="n">
        <f aca="false">SUM(M17:M23)</f>
        <v>672891.510927698</v>
      </c>
      <c r="N24" s="439" t="n">
        <f aca="false">SUM(N17:N23)</f>
        <v>684511.796803107</v>
      </c>
      <c r="O24" s="439" t="n">
        <f aca="false">SUM(O17:O23)</f>
        <v>697539.183101171</v>
      </c>
      <c r="P24" s="439" t="n">
        <f aca="false">SUM(P17:P23)</f>
        <v>712044.024843025</v>
      </c>
      <c r="Q24" s="439" t="n">
        <f aca="false">SUM(Q17:Q23)</f>
        <v>728100.194800857</v>
      </c>
      <c r="R24" s="439" t="n">
        <f aca="false">SUM(R17:R23)</f>
        <v>711578.472223141</v>
      </c>
      <c r="S24" s="439" t="n">
        <f aca="false">SUM(S17:S23)</f>
        <v>695056.749645424</v>
      </c>
      <c r="T24" s="439" t="n">
        <f aca="false">SUM(T17:T23)</f>
        <v>678535.027067707</v>
      </c>
      <c r="U24" s="439" t="n">
        <f aca="false">SUM(U17:U23)</f>
        <v>662013.304489991</v>
      </c>
      <c r="V24" s="439" t="n">
        <f aca="false">SUM(V17:V23)</f>
        <v>645491.581912274</v>
      </c>
      <c r="W24" s="439" t="n">
        <f aca="false">SUM(W17:W23)</f>
        <v>628969.859334558</v>
      </c>
      <c r="X24" s="439" t="n">
        <f aca="false">SUM(X17:X23)</f>
        <v>612448.136756841</v>
      </c>
      <c r="Y24" s="439" t="n">
        <f aca="false">SUM(Y17:Y23)</f>
        <v>595926.414179124</v>
      </c>
      <c r="Z24" s="439" t="n">
        <f aca="false">SUM(Z17:Z23)</f>
        <v>579404.691601408</v>
      </c>
      <c r="AA24" s="439" t="n">
        <f aca="false">SUM(AA17:AA23)</f>
        <v>562882.969023691</v>
      </c>
      <c r="AB24" s="439" t="n">
        <f aca="false">SUM(AB17:AB23)</f>
        <v>546361.246445975</v>
      </c>
      <c r="AC24" s="439" t="n">
        <f aca="false">SUM(AC17:AC23)</f>
        <v>529839.523868258</v>
      </c>
      <c r="AD24" s="439" t="n">
        <f aca="false">SUM(AD17:AD23)</f>
        <v>513317.801290541</v>
      </c>
      <c r="AE24" s="439" t="n">
        <f aca="false">SUM(AE17:AE23)</f>
        <v>496796.078712825</v>
      </c>
      <c r="AF24" s="439" t="n">
        <f aca="false">SUM(AF17:AF23)</f>
        <v>480274.356135108</v>
      </c>
      <c r="AG24" s="439" t="n">
        <f aca="false">SUM(AG17:AG23)</f>
        <v>463752.633557391</v>
      </c>
      <c r="AH24" s="439" t="n">
        <f aca="false">SUM(AH17:AH23)</f>
        <v>447230.910979675</v>
      </c>
      <c r="AI24" s="439" t="n">
        <f aca="false">SUM(AI17:AI23)</f>
        <v>430709.188401958</v>
      </c>
      <c r="AJ24" s="439" t="n">
        <f aca="false">SUM(AJ17:AJ23)</f>
        <v>414187.465824242</v>
      </c>
      <c r="AK24" s="439" t="n">
        <f aca="false">SUM(AK17:AK23)</f>
        <v>414187.465824242</v>
      </c>
      <c r="AL24" s="439" t="n">
        <f aca="false">SUM(AL17:AL23)</f>
        <v>397665.743246525</v>
      </c>
    </row>
    <row r="25" customFormat="false" ht="15" hidden="false" customHeight="false" outlineLevel="0" collapsed="false">
      <c r="C25" s="8"/>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row>
    <row r="26" customFormat="false" ht="15" hidden="false" customHeight="false" outlineLevel="0" collapsed="false">
      <c r="B26" s="8" t="s">
        <v>704</v>
      </c>
      <c r="D26" s="146" t="n">
        <f aca="false">D14+D24</f>
        <v>0</v>
      </c>
      <c r="E26" s="146" t="n">
        <f aca="false">E14+E24</f>
        <v>0</v>
      </c>
      <c r="F26" s="146" t="n">
        <f aca="false">F14+F24</f>
        <v>0</v>
      </c>
      <c r="G26" s="146" t="n">
        <f aca="false">G14+G24</f>
        <v>0</v>
      </c>
      <c r="H26" s="146" t="n">
        <f aca="false">H14+H24</f>
        <v>710227.648579454</v>
      </c>
      <c r="I26" s="146" t="n">
        <f aca="false">I14+I24</f>
        <v>3983280.7896036</v>
      </c>
      <c r="J26" s="146" t="n">
        <f aca="false">J14+J24</f>
        <v>7777065.39858335</v>
      </c>
      <c r="K26" s="146" t="n">
        <f aca="false">K14+K24</f>
        <v>13098055.1729407</v>
      </c>
      <c r="L26" s="146" t="n">
        <f aca="false">L14+L24</f>
        <v>19007408.1157066</v>
      </c>
      <c r="M26" s="146" t="n">
        <f aca="false">M14+M24</f>
        <v>30764558.4989094</v>
      </c>
      <c r="N26" s="146" t="n">
        <f aca="false">N14+N24</f>
        <v>43355346.7529509</v>
      </c>
      <c r="O26" s="146" t="n">
        <f aca="false">O14+O24</f>
        <v>56266108.5194614</v>
      </c>
      <c r="P26" s="146" t="n">
        <f aca="false">P14+P24</f>
        <v>72601912.5684653</v>
      </c>
      <c r="Q26" s="146" t="n">
        <f aca="false">Q14+Q24</f>
        <v>91857931.0871781</v>
      </c>
      <c r="R26" s="146" t="n">
        <f aca="false">R14+R24</f>
        <v>112921423.693885</v>
      </c>
      <c r="S26" s="146" t="n">
        <f aca="false">S14+S24</f>
        <v>134700120.87791</v>
      </c>
      <c r="T26" s="146" t="n">
        <f aca="false">T14+T24</f>
        <v>157259704.579189</v>
      </c>
      <c r="U26" s="146" t="n">
        <f aca="false">U14+U24</f>
        <v>180854803.306543</v>
      </c>
      <c r="V26" s="146" t="n">
        <f aca="false">V14+V24</f>
        <v>205072413.698524</v>
      </c>
      <c r="W26" s="146" t="n">
        <f aca="false">W14+W24</f>
        <v>229855852.89491</v>
      </c>
      <c r="X26" s="146" t="n">
        <f aca="false">X14+X24</f>
        <v>255269047.37607</v>
      </c>
      <c r="Y26" s="146" t="n">
        <f aca="false">Y14+Y24</f>
        <v>281275532.021657</v>
      </c>
      <c r="Z26" s="146" t="n">
        <f aca="false">Z14+Z24</f>
        <v>307941890.426132</v>
      </c>
      <c r="AA26" s="146" t="n">
        <f aca="false">AA14+AA24</f>
        <v>335205976.206053</v>
      </c>
      <c r="AB26" s="146" t="n">
        <f aca="false">AB14+AB24</f>
        <v>363185701.760763</v>
      </c>
      <c r="AC26" s="146" t="n">
        <f aca="false">AC14+AC24</f>
        <v>391817464.663337</v>
      </c>
      <c r="AD26" s="146" t="n">
        <f aca="false">AD14+AD24</f>
        <v>421173487.331474</v>
      </c>
      <c r="AE26" s="146" t="n">
        <f aca="false">AE14+AE24</f>
        <v>451212933.718516</v>
      </c>
      <c r="AF26" s="146" t="n">
        <f aca="false">AF14+AF24</f>
        <v>482011015.771599</v>
      </c>
      <c r="AG26" s="146" t="n">
        <f aca="false">AG14+AG24</f>
        <v>513497972.571618</v>
      </c>
      <c r="AH26" s="146" t="n">
        <f aca="false">AH14+AH24</f>
        <v>545806816.195787</v>
      </c>
      <c r="AI26" s="146" t="n">
        <f aca="false">AI14+AI24</f>
        <v>578866140.641958</v>
      </c>
      <c r="AJ26" s="146" t="n">
        <f aca="false">AJ14+AJ24</f>
        <v>612757497.342912</v>
      </c>
      <c r="AK26" s="146" t="n">
        <f aca="false">AK14+AK24</f>
        <v>647435111.606117</v>
      </c>
      <c r="AL26" s="146" t="n">
        <f aca="false">AL14+AL24</f>
        <v>682983893.130471</v>
      </c>
    </row>
    <row r="27" customFormat="false" ht="15" hidden="false" customHeight="false" outlineLevel="0" collapsed="false">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row>
    <row r="28" customFormat="false" ht="15" hidden="false" customHeight="false" outlineLevel="0" collapsed="false">
      <c r="B28" s="8" t="s">
        <v>705</v>
      </c>
    </row>
    <row r="29" customFormat="false" ht="15" hidden="false" customHeight="false" outlineLevel="0" collapsed="false">
      <c r="B29" s="8"/>
      <c r="C29" s="1" t="s">
        <v>706</v>
      </c>
      <c r="H29" s="130" t="n">
        <f aca="false">'9.BS Items'!H31</f>
        <v>5589.04109589041</v>
      </c>
      <c r="I29" s="130" t="n">
        <f aca="false">'9.BS Items'!I31</f>
        <v>36796.2700684932</v>
      </c>
      <c r="J29" s="130" t="n">
        <f aca="false">'9.BS Items'!J31</f>
        <v>67421.146869863</v>
      </c>
      <c r="K29" s="130" t="n">
        <f aca="false">'9.BS Items'!K31</f>
        <v>101024.72985976</v>
      </c>
      <c r="L29" s="130" t="n">
        <f aca="false">'9.BS Items'!L31</f>
        <v>137828.491648706</v>
      </c>
      <c r="M29" s="130" t="n">
        <f aca="false">'9.BS Items'!M31</f>
        <v>178068.608626473</v>
      </c>
      <c r="N29" s="130" t="n">
        <f aca="false">'9.BS Items'!N31</f>
        <v>221996.877724165</v>
      </c>
      <c r="O29" s="130" t="n">
        <f aca="false">'9.BS Items'!O31</f>
        <v>269881.688094355</v>
      </c>
      <c r="P29" s="130" t="n">
        <f aca="false">'9.BS Items'!P31</f>
        <v>311531.527019942</v>
      </c>
      <c r="Q29" s="130" t="n">
        <f aca="false">'9.BS Items'!Q31</f>
        <v>367996.616292306</v>
      </c>
      <c r="R29" s="130" t="n">
        <f aca="false">'9.BS Items'!R31</f>
        <v>386396.447106921</v>
      </c>
      <c r="S29" s="130" t="n">
        <f aca="false">'9.BS Items'!S31</f>
        <v>405716.269462267</v>
      </c>
      <c r="T29" s="130" t="n">
        <f aca="false">'9.BS Items'!T31</f>
        <v>426002.082935381</v>
      </c>
      <c r="U29" s="130" t="n">
        <f aca="false">'9.BS Items'!U31</f>
        <v>447302.18708215</v>
      </c>
      <c r="V29" s="130" t="n">
        <f aca="false">'9.BS Items'!V31</f>
        <v>469667.296436257</v>
      </c>
      <c r="W29" s="130" t="n">
        <f aca="false">'9.BS Items'!W31</f>
        <v>493150.66125807</v>
      </c>
      <c r="X29" s="130" t="n">
        <f aca="false">'9.BS Items'!X31</f>
        <v>517808.194320974</v>
      </c>
      <c r="Y29" s="130" t="n">
        <f aca="false">'9.BS Items'!Y31</f>
        <v>543698.604037023</v>
      </c>
      <c r="Z29" s="130" t="n">
        <f aca="false">'9.BS Items'!Z31</f>
        <v>570883.534238874</v>
      </c>
      <c r="AA29" s="130" t="n">
        <f aca="false">'9.BS Items'!AA31</f>
        <v>599427.710950817</v>
      </c>
      <c r="AB29" s="130" t="n">
        <f aca="false">'9.BS Items'!AB31</f>
        <v>629399.096498358</v>
      </c>
      <c r="AC29" s="130" t="n">
        <f aca="false">'9.BS Items'!AC31</f>
        <v>660869.051323276</v>
      </c>
      <c r="AD29" s="130" t="n">
        <f aca="false">'9.BS Items'!AD31</f>
        <v>693912.50388944</v>
      </c>
      <c r="AE29" s="130" t="n">
        <f aca="false">'9.BS Items'!AE31</f>
        <v>728608.129083912</v>
      </c>
      <c r="AF29" s="130" t="n">
        <f aca="false">'9.BS Items'!AF31</f>
        <v>765038.535538107</v>
      </c>
      <c r="AG29" s="130" t="n">
        <f aca="false">'9.BS Items'!AG31</f>
        <v>803290.462315013</v>
      </c>
      <c r="AH29" s="130" t="n">
        <f aca="false">'9.BS Items'!AH31</f>
        <v>843454.985430764</v>
      </c>
      <c r="AI29" s="130" t="n">
        <f aca="false">'9.BS Items'!AI31</f>
        <v>885627.734702302</v>
      </c>
      <c r="AJ29" s="130" t="n">
        <f aca="false">'9.BS Items'!AJ31</f>
        <v>929909.121437417</v>
      </c>
      <c r="AK29" s="130" t="n">
        <f aca="false">'9.BS Items'!AK31</f>
        <v>976404.577509287</v>
      </c>
      <c r="AL29" s="130" t="n">
        <f aca="false">'9.BS Items'!AL31</f>
        <v>1025224.80638475</v>
      </c>
    </row>
    <row r="30" customFormat="false" ht="15" hidden="false" customHeight="false" outlineLevel="0" collapsed="false">
      <c r="C30" s="1" t="s">
        <v>707</v>
      </c>
      <c r="E30" s="260" t="n">
        <f aca="false">'9.BS Items'!E90</f>
        <v>0</v>
      </c>
      <c r="F30" s="260" t="n">
        <f aca="false">'9.BS Items'!F90</f>
        <v>0</v>
      </c>
      <c r="G30" s="260" t="n">
        <f aca="false">'9.BS Items'!G90</f>
        <v>0</v>
      </c>
      <c r="H30" s="258" t="n">
        <f aca="false">'9.BS Items'!H90</f>
        <v>0</v>
      </c>
      <c r="I30" s="258" t="n">
        <f aca="false">'9.BS Items'!I90</f>
        <v>0</v>
      </c>
      <c r="J30" s="258" t="n">
        <f aca="false">'9.BS Items'!J90</f>
        <v>500000</v>
      </c>
      <c r="K30" s="258" t="n">
        <f aca="false">'9.BS Items'!K90</f>
        <v>500000</v>
      </c>
      <c r="L30" s="258" t="n">
        <f aca="false">'9.BS Items'!L90</f>
        <v>500000</v>
      </c>
      <c r="M30" s="258" t="n">
        <f aca="false">'9.BS Items'!M90</f>
        <v>500000</v>
      </c>
      <c r="N30" s="258" t="n">
        <f aca="false">'9.BS Items'!N90</f>
        <v>500000</v>
      </c>
      <c r="O30" s="258" t="n">
        <f aca="false">'9.BS Items'!O90</f>
        <v>500000</v>
      </c>
      <c r="P30" s="258" t="n">
        <f aca="false">'9.BS Items'!P90</f>
        <v>500000</v>
      </c>
      <c r="Q30" s="258" t="n">
        <f aca="false">'9.BS Items'!Q90</f>
        <v>500000</v>
      </c>
      <c r="R30" s="258" t="n">
        <f aca="false">'9.BS Items'!R90</f>
        <v>500000</v>
      </c>
      <c r="S30" s="258" t="n">
        <f aca="false">'9.BS Items'!S90</f>
        <v>500000</v>
      </c>
      <c r="T30" s="258" t="n">
        <f aca="false">'9.BS Items'!T90</f>
        <v>0</v>
      </c>
      <c r="U30" s="258" t="n">
        <f aca="false">'9.BS Items'!U90</f>
        <v>0</v>
      </c>
      <c r="V30" s="258" t="n">
        <f aca="false">'9.BS Items'!V90</f>
        <v>0</v>
      </c>
      <c r="W30" s="258" t="n">
        <f aca="false">'9.BS Items'!W90</f>
        <v>0</v>
      </c>
      <c r="X30" s="258" t="n">
        <f aca="false">'9.BS Items'!X90</f>
        <v>0</v>
      </c>
      <c r="Y30" s="258" t="n">
        <f aca="false">'9.BS Items'!Y90</f>
        <v>0</v>
      </c>
      <c r="Z30" s="258" t="n">
        <f aca="false">'9.BS Items'!Z90</f>
        <v>0</v>
      </c>
      <c r="AA30" s="258" t="n">
        <f aca="false">'9.BS Items'!AA90</f>
        <v>0</v>
      </c>
      <c r="AB30" s="258" t="n">
        <f aca="false">'9.BS Items'!AB90</f>
        <v>0</v>
      </c>
      <c r="AC30" s="258" t="n">
        <f aca="false">'9.BS Items'!AC90</f>
        <v>0</v>
      </c>
      <c r="AD30" s="258" t="n">
        <f aca="false">'9.BS Items'!AD90</f>
        <v>0</v>
      </c>
      <c r="AE30" s="258" t="n">
        <f aca="false">'9.BS Items'!AE90</f>
        <v>0</v>
      </c>
      <c r="AF30" s="258" t="n">
        <f aca="false">'9.BS Items'!AF90</f>
        <v>0</v>
      </c>
      <c r="AG30" s="258" t="n">
        <f aca="false">'9.BS Items'!AG90</f>
        <v>0</v>
      </c>
      <c r="AH30" s="258" t="n">
        <f aca="false">'9.BS Items'!AH90</f>
        <v>0</v>
      </c>
      <c r="AI30" s="258" t="n">
        <f aca="false">'9.BS Items'!AI90</f>
        <v>0</v>
      </c>
      <c r="AJ30" s="258" t="n">
        <f aca="false">'9.BS Items'!AJ90</f>
        <v>0</v>
      </c>
      <c r="AK30" s="258" t="n">
        <f aca="false">'9.BS Items'!AK90</f>
        <v>0</v>
      </c>
      <c r="AL30" s="258" t="n">
        <f aca="false">'9.BS Items'!AL90</f>
        <v>0</v>
      </c>
    </row>
    <row r="31" customFormat="false" ht="15" hidden="false" customHeight="false" outlineLevel="0" collapsed="false">
      <c r="C31" s="1" t="s">
        <v>708</v>
      </c>
      <c r="E31" s="260"/>
      <c r="F31" s="260"/>
      <c r="G31" s="260"/>
      <c r="H31" s="258" t="n">
        <f aca="false">'9.BS Items'!H44</f>
        <v>3000000</v>
      </c>
      <c r="I31" s="258" t="n">
        <f aca="false">'9.BS Items'!I44</f>
        <v>5000000</v>
      </c>
      <c r="J31" s="258" t="n">
        <f aca="false">'9.BS Items'!J44</f>
        <v>7200000</v>
      </c>
      <c r="K31" s="258" t="n">
        <f aca="false">'9.BS Items'!K44</f>
        <v>6950000</v>
      </c>
      <c r="L31" s="258" t="n">
        <f aca="false">'9.BS Items'!L44</f>
        <v>5830000</v>
      </c>
      <c r="M31" s="258" t="n">
        <f aca="false">'9.BS Items'!M44</f>
        <v>4430000</v>
      </c>
      <c r="N31" s="258" t="n">
        <f aca="false">'9.BS Items'!N44</f>
        <v>3010000</v>
      </c>
      <c r="O31" s="258" t="n">
        <f aca="false">'9.BS Items'!O44</f>
        <v>1010000</v>
      </c>
      <c r="P31" s="258" t="n">
        <f aca="false">'9.BS Items'!P44</f>
        <v>0</v>
      </c>
      <c r="Q31" s="258" t="n">
        <f aca="false">'9.BS Items'!Q44</f>
        <v>0</v>
      </c>
      <c r="R31" s="258" t="n">
        <f aca="false">'9.BS Items'!R44</f>
        <v>0</v>
      </c>
      <c r="S31" s="258" t="n">
        <f aca="false">'9.BS Items'!S44</f>
        <v>0</v>
      </c>
      <c r="T31" s="258" t="n">
        <f aca="false">'9.BS Items'!T44</f>
        <v>0</v>
      </c>
      <c r="U31" s="258" t="n">
        <f aca="false">'9.BS Items'!U44</f>
        <v>0</v>
      </c>
      <c r="V31" s="258" t="n">
        <f aca="false">'9.BS Items'!V44</f>
        <v>0</v>
      </c>
      <c r="W31" s="258" t="n">
        <f aca="false">'9.BS Items'!W44</f>
        <v>0</v>
      </c>
      <c r="X31" s="258" t="n">
        <f aca="false">'9.BS Items'!X44</f>
        <v>0</v>
      </c>
      <c r="Y31" s="258" t="n">
        <f aca="false">'9.BS Items'!Y44</f>
        <v>0</v>
      </c>
      <c r="Z31" s="258" t="n">
        <f aca="false">'9.BS Items'!Z44</f>
        <v>0</v>
      </c>
      <c r="AA31" s="258" t="n">
        <f aca="false">'9.BS Items'!AA44</f>
        <v>0</v>
      </c>
      <c r="AB31" s="258" t="n">
        <f aca="false">'9.BS Items'!AB44</f>
        <v>0</v>
      </c>
      <c r="AC31" s="258" t="n">
        <f aca="false">'9.BS Items'!AC44</f>
        <v>0</v>
      </c>
      <c r="AD31" s="258" t="n">
        <f aca="false">'9.BS Items'!AD44</f>
        <v>0</v>
      </c>
      <c r="AE31" s="258" t="n">
        <f aca="false">'9.BS Items'!AE44</f>
        <v>0</v>
      </c>
      <c r="AF31" s="258" t="n">
        <f aca="false">'9.BS Items'!AF44</f>
        <v>0</v>
      </c>
      <c r="AG31" s="258" t="n">
        <f aca="false">'9.BS Items'!AG44</f>
        <v>0</v>
      </c>
      <c r="AH31" s="258" t="n">
        <f aca="false">'9.BS Items'!AH44</f>
        <v>0</v>
      </c>
      <c r="AI31" s="258" t="n">
        <f aca="false">'9.BS Items'!AI44</f>
        <v>0</v>
      </c>
      <c r="AJ31" s="258" t="n">
        <f aca="false">'9.BS Items'!AJ44</f>
        <v>0</v>
      </c>
      <c r="AK31" s="258" t="n">
        <f aca="false">'9.BS Items'!AK44</f>
        <v>0</v>
      </c>
      <c r="AL31" s="258" t="n">
        <f aca="false">'9.BS Items'!AL44</f>
        <v>0</v>
      </c>
    </row>
    <row r="32" customFormat="false" ht="15" hidden="false" customHeight="false" outlineLevel="0" collapsed="false">
      <c r="B32" s="68" t="s">
        <v>709</v>
      </c>
      <c r="C32" s="68"/>
      <c r="D32" s="274"/>
      <c r="E32" s="277" t="n">
        <f aca="false">SUM(E30:E30)</f>
        <v>0</v>
      </c>
      <c r="F32" s="277" t="n">
        <f aca="false">SUM(F30:F30)</f>
        <v>0</v>
      </c>
      <c r="G32" s="277" t="n">
        <f aca="false">SUM(G30:G30)</f>
        <v>0</v>
      </c>
      <c r="H32" s="439" t="n">
        <f aca="false">SUM(H29:H31)</f>
        <v>3005589.04109589</v>
      </c>
      <c r="I32" s="439" t="n">
        <f aca="false">SUM(I29:I31)</f>
        <v>5036796.27006849</v>
      </c>
      <c r="J32" s="439" t="n">
        <f aca="false">SUM(J29:J31)</f>
        <v>7767421.14686986</v>
      </c>
      <c r="K32" s="439" t="n">
        <f aca="false">SUM(K29:K31)</f>
        <v>7551024.72985976</v>
      </c>
      <c r="L32" s="439" t="n">
        <f aca="false">SUM(L29:L31)</f>
        <v>6467828.49164871</v>
      </c>
      <c r="M32" s="439" t="n">
        <f aca="false">SUM(M29:M31)</f>
        <v>5108068.60862648</v>
      </c>
      <c r="N32" s="439" t="n">
        <f aca="false">SUM(N29:N31)</f>
        <v>3731996.87772417</v>
      </c>
      <c r="O32" s="439" t="n">
        <f aca="false">SUM(O29:O31)</f>
        <v>1779881.68809436</v>
      </c>
      <c r="P32" s="439" t="n">
        <f aca="false">SUM(P29:P31)</f>
        <v>811531.527019942</v>
      </c>
      <c r="Q32" s="439" t="n">
        <f aca="false">SUM(Q29:Q31)</f>
        <v>867996.616292306</v>
      </c>
      <c r="R32" s="439" t="n">
        <f aca="false">SUM(R29:R31)</f>
        <v>886396.447106921</v>
      </c>
      <c r="S32" s="439" t="n">
        <f aca="false">SUM(S29:S31)</f>
        <v>905716.269462267</v>
      </c>
      <c r="T32" s="439" t="n">
        <f aca="false">SUM(T29:T31)</f>
        <v>426002.082935381</v>
      </c>
      <c r="U32" s="439" t="n">
        <f aca="false">SUM(U29:U31)</f>
        <v>447302.18708215</v>
      </c>
      <c r="V32" s="439" t="n">
        <f aca="false">SUM(V29:V31)</f>
        <v>469667.296436257</v>
      </c>
      <c r="W32" s="439" t="n">
        <f aca="false">SUM(W29:W31)</f>
        <v>493150.66125807</v>
      </c>
      <c r="X32" s="439" t="n">
        <f aca="false">SUM(X29:X31)</f>
        <v>517808.194320974</v>
      </c>
      <c r="Y32" s="439" t="n">
        <f aca="false">SUM(Y29:Y31)</f>
        <v>543698.604037023</v>
      </c>
      <c r="Z32" s="439" t="n">
        <f aca="false">SUM(Z29:Z31)</f>
        <v>570883.534238874</v>
      </c>
      <c r="AA32" s="439" t="n">
        <f aca="false">SUM(AA29:AA31)</f>
        <v>599427.710950817</v>
      </c>
      <c r="AB32" s="439" t="n">
        <f aca="false">SUM(AB29:AB31)</f>
        <v>629399.096498358</v>
      </c>
      <c r="AC32" s="439" t="n">
        <f aca="false">SUM(AC29:AC31)</f>
        <v>660869.051323276</v>
      </c>
      <c r="AD32" s="439" t="n">
        <f aca="false">SUM(AD29:AD31)</f>
        <v>693912.50388944</v>
      </c>
      <c r="AE32" s="439" t="n">
        <f aca="false">SUM(AE29:AE31)</f>
        <v>728608.129083912</v>
      </c>
      <c r="AF32" s="439" t="n">
        <f aca="false">SUM(AF29:AF31)</f>
        <v>765038.535538107</v>
      </c>
      <c r="AG32" s="439" t="n">
        <f aca="false">SUM(AG29:AG31)</f>
        <v>803290.462315013</v>
      </c>
      <c r="AH32" s="439" t="n">
        <f aca="false">SUM(AH29:AH31)</f>
        <v>843454.985430764</v>
      </c>
      <c r="AI32" s="439" t="n">
        <f aca="false">SUM(AI29:AI31)</f>
        <v>885627.734702302</v>
      </c>
      <c r="AJ32" s="439" t="n">
        <f aca="false">SUM(AJ29:AJ31)</f>
        <v>929909.121437417</v>
      </c>
      <c r="AK32" s="439" t="n">
        <f aca="false">SUM(AK29:AK31)</f>
        <v>976404.577509287</v>
      </c>
      <c r="AL32" s="439" t="n">
        <f aca="false">SUM(AL29:AL31)</f>
        <v>1025224.80638475</v>
      </c>
    </row>
    <row r="33" customFormat="false" ht="15" hidden="false" customHeight="false" outlineLevel="0" collapsed="false">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row>
    <row r="34" customFormat="false" ht="15" hidden="false" customHeight="false" outlineLevel="0" collapsed="false">
      <c r="B34" s="8" t="s">
        <v>710</v>
      </c>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row>
    <row r="35" customFormat="false" ht="15" hidden="false" customHeight="false" outlineLevel="0" collapsed="false">
      <c r="C35" s="1" t="s">
        <v>711</v>
      </c>
      <c r="E35" s="130" t="n">
        <f aca="false">'9.BS Items'!E91</f>
        <v>0</v>
      </c>
      <c r="F35" s="130" t="n">
        <f aca="false">'9.BS Items'!F91</f>
        <v>0</v>
      </c>
      <c r="G35" s="130" t="n">
        <f aca="false">'9.BS Items'!G91</f>
        <v>0</v>
      </c>
      <c r="H35" s="130" t="n">
        <f aca="false">'9.BS Items'!H91</f>
        <v>0</v>
      </c>
      <c r="I35" s="130" t="n">
        <f aca="false">'9.BS Items'!I91</f>
        <v>5000000</v>
      </c>
      <c r="J35" s="130" t="n">
        <f aca="false">'9.BS Items'!J91</f>
        <v>4500000</v>
      </c>
      <c r="K35" s="130" t="n">
        <f aca="false">'9.BS Items'!K91</f>
        <v>4000000</v>
      </c>
      <c r="L35" s="130" t="n">
        <f aca="false">'9.BS Items'!L91</f>
        <v>3500000</v>
      </c>
      <c r="M35" s="130" t="n">
        <f aca="false">'9.BS Items'!M91</f>
        <v>3000000</v>
      </c>
      <c r="N35" s="130" t="n">
        <f aca="false">'9.BS Items'!N91</f>
        <v>2500000</v>
      </c>
      <c r="O35" s="130" t="n">
        <f aca="false">'9.BS Items'!O91</f>
        <v>2000000</v>
      </c>
      <c r="P35" s="130" t="n">
        <f aca="false">'9.BS Items'!P91</f>
        <v>1500000</v>
      </c>
      <c r="Q35" s="130" t="n">
        <f aca="false">'9.BS Items'!Q91</f>
        <v>1000000</v>
      </c>
      <c r="R35" s="130" t="n">
        <f aca="false">'9.BS Items'!R91</f>
        <v>500000</v>
      </c>
      <c r="S35" s="130" t="n">
        <f aca="false">'9.BS Items'!S91</f>
        <v>0</v>
      </c>
      <c r="T35" s="130" t="n">
        <f aca="false">'9.BS Items'!T91</f>
        <v>0</v>
      </c>
      <c r="U35" s="130" t="n">
        <f aca="false">'9.BS Items'!U91</f>
        <v>0</v>
      </c>
      <c r="V35" s="130" t="n">
        <f aca="false">'9.BS Items'!V91</f>
        <v>0</v>
      </c>
      <c r="W35" s="130" t="n">
        <f aca="false">'9.BS Items'!W91</f>
        <v>0</v>
      </c>
      <c r="X35" s="130" t="n">
        <f aca="false">'9.BS Items'!X91</f>
        <v>0</v>
      </c>
      <c r="Y35" s="130" t="n">
        <f aca="false">'9.BS Items'!Y91</f>
        <v>0</v>
      </c>
      <c r="Z35" s="130" t="n">
        <f aca="false">'9.BS Items'!Z91</f>
        <v>0</v>
      </c>
      <c r="AA35" s="130" t="n">
        <f aca="false">'9.BS Items'!AA91</f>
        <v>0</v>
      </c>
      <c r="AB35" s="130" t="n">
        <f aca="false">'9.BS Items'!AB91</f>
        <v>0</v>
      </c>
      <c r="AC35" s="130" t="n">
        <f aca="false">'9.BS Items'!AC91</f>
        <v>0</v>
      </c>
      <c r="AD35" s="130" t="n">
        <f aca="false">'9.BS Items'!AD91</f>
        <v>0</v>
      </c>
      <c r="AE35" s="130" t="n">
        <f aca="false">'9.BS Items'!AE91</f>
        <v>0</v>
      </c>
      <c r="AF35" s="130" t="n">
        <f aca="false">'9.BS Items'!AF91</f>
        <v>0</v>
      </c>
      <c r="AG35" s="130" t="n">
        <f aca="false">'9.BS Items'!AG91</f>
        <v>0</v>
      </c>
      <c r="AH35" s="130" t="n">
        <f aca="false">'9.BS Items'!AH91</f>
        <v>0</v>
      </c>
      <c r="AI35" s="130" t="n">
        <f aca="false">'9.BS Items'!AI91</f>
        <v>0</v>
      </c>
      <c r="AJ35" s="130" t="n">
        <f aca="false">'9.BS Items'!AJ91</f>
        <v>0</v>
      </c>
      <c r="AK35" s="130" t="n">
        <f aca="false">'9.BS Items'!AK91</f>
        <v>0</v>
      </c>
      <c r="AL35" s="130" t="n">
        <f aca="false">'9.BS Items'!AL91</f>
        <v>0</v>
      </c>
    </row>
    <row r="36" customFormat="false" ht="15" hidden="false" customHeight="false" outlineLevel="0" collapsed="false">
      <c r="B36" s="68" t="s">
        <v>712</v>
      </c>
      <c r="C36" s="68"/>
      <c r="D36" s="274"/>
      <c r="E36" s="277" t="n">
        <f aca="false">SUM(E35:E35)</f>
        <v>0</v>
      </c>
      <c r="F36" s="277" t="n">
        <f aca="false">SUM(F35:F35)</f>
        <v>0</v>
      </c>
      <c r="G36" s="277" t="n">
        <f aca="false">SUM(G35:G35)</f>
        <v>0</v>
      </c>
      <c r="H36" s="277" t="n">
        <f aca="false">SUM(H35:H35)</f>
        <v>0</v>
      </c>
      <c r="I36" s="277" t="n">
        <f aca="false">SUM(I35:I35)</f>
        <v>5000000</v>
      </c>
      <c r="J36" s="277" t="n">
        <f aca="false">SUM(J35:J35)</f>
        <v>4500000</v>
      </c>
      <c r="K36" s="277" t="n">
        <f aca="false">SUM(K35:K35)</f>
        <v>4000000</v>
      </c>
      <c r="L36" s="277" t="n">
        <f aca="false">SUM(L35:L35)</f>
        <v>3500000</v>
      </c>
      <c r="M36" s="277" t="n">
        <f aca="false">SUM(M35:M35)</f>
        <v>3000000</v>
      </c>
      <c r="N36" s="277" t="n">
        <f aca="false">SUM(N35:N35)</f>
        <v>2500000</v>
      </c>
      <c r="O36" s="277" t="n">
        <f aca="false">SUM(O35:O35)</f>
        <v>2000000</v>
      </c>
      <c r="P36" s="277" t="n">
        <f aca="false">SUM(P35:P35)</f>
        <v>1500000</v>
      </c>
      <c r="Q36" s="277" t="n">
        <f aca="false">SUM(Q35:Q35)</f>
        <v>1000000</v>
      </c>
      <c r="R36" s="277" t="n">
        <f aca="false">SUM(R35:R35)</f>
        <v>500000</v>
      </c>
      <c r="S36" s="277" t="n">
        <f aca="false">SUM(S35:S35)</f>
        <v>0</v>
      </c>
      <c r="T36" s="277" t="n">
        <f aca="false">SUM(T35:T35)</f>
        <v>0</v>
      </c>
      <c r="U36" s="277" t="n">
        <f aca="false">SUM(U35:U35)</f>
        <v>0</v>
      </c>
      <c r="V36" s="277" t="n">
        <f aca="false">SUM(V35:V35)</f>
        <v>0</v>
      </c>
      <c r="W36" s="277" t="n">
        <f aca="false">SUM(W35:W35)</f>
        <v>0</v>
      </c>
      <c r="X36" s="277" t="n">
        <f aca="false">SUM(X35:X35)</f>
        <v>0</v>
      </c>
      <c r="Y36" s="277" t="n">
        <f aca="false">SUM(Y35:Y35)</f>
        <v>0</v>
      </c>
      <c r="Z36" s="277" t="n">
        <f aca="false">SUM(Z35:Z35)</f>
        <v>0</v>
      </c>
      <c r="AA36" s="277" t="n">
        <f aca="false">SUM(AA35:AA35)</f>
        <v>0</v>
      </c>
      <c r="AB36" s="277" t="n">
        <f aca="false">SUM(AB35:AB35)</f>
        <v>0</v>
      </c>
      <c r="AC36" s="277" t="n">
        <f aca="false">SUM(AC35:AC35)</f>
        <v>0</v>
      </c>
      <c r="AD36" s="277" t="n">
        <f aca="false">SUM(AD35:AD35)</f>
        <v>0</v>
      </c>
      <c r="AE36" s="277" t="n">
        <f aca="false">SUM(AE35:AE35)</f>
        <v>0</v>
      </c>
      <c r="AF36" s="277" t="n">
        <f aca="false">SUM(AF35:AF35)</f>
        <v>0</v>
      </c>
      <c r="AG36" s="277" t="n">
        <f aca="false">SUM(AG35:AG35)</f>
        <v>0</v>
      </c>
      <c r="AH36" s="277" t="n">
        <f aca="false">SUM(AH35:AH35)</f>
        <v>0</v>
      </c>
      <c r="AI36" s="277" t="n">
        <f aca="false">SUM(AI35:AI35)</f>
        <v>0</v>
      </c>
      <c r="AJ36" s="277" t="n">
        <f aca="false">SUM(AJ35:AJ35)</f>
        <v>0</v>
      </c>
      <c r="AK36" s="277" t="n">
        <f aca="false">SUM(AK35:AK35)</f>
        <v>0</v>
      </c>
      <c r="AL36" s="277" t="n">
        <f aca="false">SUM(AL35:AL35)</f>
        <v>0</v>
      </c>
    </row>
    <row r="37" customFormat="false" ht="15" hidden="false" customHeight="false" outlineLevel="0" collapsed="false">
      <c r="C37" s="8"/>
    </row>
    <row r="38" customFormat="false" ht="15" hidden="false" customHeight="false" outlineLevel="0" collapsed="false">
      <c r="A38" s="8"/>
      <c r="B38" s="8" t="s">
        <v>713</v>
      </c>
    </row>
    <row r="39" customFormat="false" ht="15" hidden="false" customHeight="false" outlineLevel="0" collapsed="false">
      <c r="C39" s="1" t="s">
        <v>714</v>
      </c>
      <c r="E39" s="347" t="n">
        <f aca="false">SUM('7.CFS'!E21:$H21)</f>
        <v>0</v>
      </c>
      <c r="F39" s="347" t="n">
        <f aca="false">SUM('7.CFS'!F21:$H21)</f>
        <v>0</v>
      </c>
      <c r="G39" s="347" t="n">
        <f aca="false">SUM('7.CFS'!G21:$H21)</f>
        <v>0</v>
      </c>
      <c r="H39" s="347" t="n">
        <f aca="false">SUM('7.CFS'!$H21:H21)</f>
        <v>0</v>
      </c>
      <c r="I39" s="347" t="n">
        <f aca="false">SUM('7.CFS'!$H21:I21)</f>
        <v>0</v>
      </c>
      <c r="J39" s="347" t="n">
        <f aca="false">SUM('7.CFS'!$H21:J21)</f>
        <v>0</v>
      </c>
      <c r="K39" s="347" t="n">
        <f aca="false">SUM('7.CFS'!$H21:K21)</f>
        <v>0</v>
      </c>
      <c r="L39" s="347" t="n">
        <f aca="false">SUM('7.CFS'!$H21:L21)</f>
        <v>0</v>
      </c>
      <c r="M39" s="347" t="n">
        <f aca="false">SUM('7.CFS'!$H21:M21)</f>
        <v>0</v>
      </c>
      <c r="N39" s="347" t="n">
        <f aca="false">SUM('7.CFS'!$H21:N21)</f>
        <v>0</v>
      </c>
      <c r="O39" s="347" t="n">
        <f aca="false">SUM('7.CFS'!$H21:O21)</f>
        <v>0</v>
      </c>
      <c r="P39" s="347" t="n">
        <f aca="false">SUM('7.CFS'!$H21:P21)</f>
        <v>0</v>
      </c>
      <c r="Q39" s="347" t="n">
        <f aca="false">SUM('7.CFS'!$H21:Q21)</f>
        <v>0</v>
      </c>
      <c r="R39" s="347" t="n">
        <f aca="false">SUM('7.CFS'!$H21:R21)</f>
        <v>0</v>
      </c>
      <c r="S39" s="347" t="n">
        <f aca="false">SUM('7.CFS'!$H21:S21)</f>
        <v>0</v>
      </c>
      <c r="T39" s="347" t="n">
        <f aca="false">SUM('7.CFS'!$H21:T21)</f>
        <v>0</v>
      </c>
      <c r="U39" s="347" t="n">
        <f aca="false">SUM('7.CFS'!$H21:U21)</f>
        <v>0</v>
      </c>
      <c r="V39" s="347" t="n">
        <f aca="false">SUM('7.CFS'!$H21:V21)</f>
        <v>0</v>
      </c>
      <c r="W39" s="347" t="n">
        <f aca="false">SUM('7.CFS'!$H21:W21)</f>
        <v>0</v>
      </c>
      <c r="X39" s="347" t="n">
        <f aca="false">SUM('7.CFS'!$H21:X21)</f>
        <v>0</v>
      </c>
      <c r="Y39" s="347" t="n">
        <f aca="false">SUM('7.CFS'!$H21:Y21)</f>
        <v>0</v>
      </c>
      <c r="Z39" s="347" t="n">
        <f aca="false">SUM('7.CFS'!$H21:Z21)</f>
        <v>0</v>
      </c>
      <c r="AA39" s="347" t="n">
        <f aca="false">SUM('7.CFS'!$H21:AA21)</f>
        <v>0</v>
      </c>
      <c r="AB39" s="347" t="n">
        <f aca="false">SUM('7.CFS'!$H21:AB21)</f>
        <v>0</v>
      </c>
      <c r="AC39" s="347" t="n">
        <f aca="false">SUM('7.CFS'!$H21:AC21)</f>
        <v>0</v>
      </c>
      <c r="AD39" s="347" t="n">
        <f aca="false">SUM('7.CFS'!$H21:AD21)</f>
        <v>0</v>
      </c>
      <c r="AE39" s="347" t="n">
        <f aca="false">SUM('7.CFS'!$H21:AE21)</f>
        <v>0</v>
      </c>
      <c r="AF39" s="347" t="n">
        <f aca="false">SUM('7.CFS'!$H21:AF21)</f>
        <v>0</v>
      </c>
      <c r="AG39" s="347" t="n">
        <f aca="false">SUM('7.CFS'!$H21:AG21)</f>
        <v>0</v>
      </c>
      <c r="AH39" s="347" t="n">
        <f aca="false">SUM('7.CFS'!$H21:AH21)</f>
        <v>0</v>
      </c>
      <c r="AI39" s="347" t="n">
        <f aca="false">SUM('7.CFS'!$H21:AI21)</f>
        <v>0</v>
      </c>
      <c r="AJ39" s="347" t="n">
        <f aca="false">SUM('7.CFS'!$H21:AJ21)</f>
        <v>0</v>
      </c>
      <c r="AK39" s="347" t="n">
        <f aca="false">SUM('7.CFS'!$H21:AK21)</f>
        <v>0</v>
      </c>
      <c r="AL39" s="347" t="n">
        <f aca="false">SUM('7.CFS'!$H21:AL21)</f>
        <v>0</v>
      </c>
    </row>
    <row r="40" customFormat="false" ht="15" hidden="false" customHeight="false" outlineLevel="0" collapsed="false">
      <c r="C40" s="1" t="s">
        <v>715</v>
      </c>
      <c r="E40" s="100" t="n">
        <f aca="false">'6.P&amp;L'!E42</f>
        <v>0</v>
      </c>
      <c r="F40" s="100" t="n">
        <f aca="false">'6.P&amp;L'!F42</f>
        <v>0</v>
      </c>
      <c r="G40" s="100" t="n">
        <f aca="false">'6.P&amp;L'!G42</f>
        <v>0</v>
      </c>
      <c r="H40" s="100" t="e">
        <f aca="false">'6.P&amp;L'!H42</f>
        <v>#VALUE!</v>
      </c>
      <c r="I40" s="100" t="e">
        <f aca="false">'6.P&amp;L'!I42</f>
        <v>#VALUE!</v>
      </c>
      <c r="J40" s="100" t="e">
        <f aca="false">'6.P&amp;L'!J42</f>
        <v>#VALUE!</v>
      </c>
      <c r="K40" s="100" t="e">
        <f aca="false">'6.P&amp;L'!K42</f>
        <v>#VALUE!</v>
      </c>
      <c r="L40" s="100" t="e">
        <f aca="false">'6.P&amp;L'!L42</f>
        <v>#VALUE!</v>
      </c>
      <c r="M40" s="100" t="e">
        <f aca="false">'6.P&amp;L'!M42</f>
        <v>#VALUE!</v>
      </c>
      <c r="N40" s="100" t="e">
        <f aca="false">'6.P&amp;L'!N42</f>
        <v>#VALUE!</v>
      </c>
      <c r="O40" s="100" t="e">
        <f aca="false">'6.P&amp;L'!O42</f>
        <v>#VALUE!</v>
      </c>
      <c r="P40" s="100" t="e">
        <f aca="false">'6.P&amp;L'!P42</f>
        <v>#VALUE!</v>
      </c>
      <c r="Q40" s="100" t="e">
        <f aca="false">'6.P&amp;L'!Q42</f>
        <v>#VALUE!</v>
      </c>
      <c r="R40" s="100" t="e">
        <f aca="false">'6.P&amp;L'!R42</f>
        <v>#VALUE!</v>
      </c>
      <c r="S40" s="100" t="e">
        <f aca="false">'6.P&amp;L'!S42</f>
        <v>#VALUE!</v>
      </c>
      <c r="T40" s="100" t="e">
        <f aca="false">'6.P&amp;L'!T42</f>
        <v>#VALUE!</v>
      </c>
      <c r="U40" s="100" t="e">
        <f aca="false">'6.P&amp;L'!U42</f>
        <v>#VALUE!</v>
      </c>
      <c r="V40" s="100" t="e">
        <f aca="false">'6.P&amp;L'!V42</f>
        <v>#VALUE!</v>
      </c>
      <c r="W40" s="100" t="e">
        <f aca="false">'6.P&amp;L'!W42</f>
        <v>#VALUE!</v>
      </c>
      <c r="X40" s="100" t="e">
        <f aca="false">'6.P&amp;L'!X42</f>
        <v>#VALUE!</v>
      </c>
      <c r="Y40" s="100" t="e">
        <f aca="false">'6.P&amp;L'!Y42</f>
        <v>#VALUE!</v>
      </c>
      <c r="Z40" s="100" t="e">
        <f aca="false">'6.P&amp;L'!Z42</f>
        <v>#VALUE!</v>
      </c>
      <c r="AA40" s="100" t="e">
        <f aca="false">'6.P&amp;L'!AA42</f>
        <v>#VALUE!</v>
      </c>
      <c r="AB40" s="100" t="e">
        <f aca="false">'6.P&amp;L'!AB42</f>
        <v>#VALUE!</v>
      </c>
      <c r="AC40" s="100" t="e">
        <f aca="false">'6.P&amp;L'!AC42</f>
        <v>#VALUE!</v>
      </c>
      <c r="AD40" s="100" t="e">
        <f aca="false">'6.P&amp;L'!AD42</f>
        <v>#VALUE!</v>
      </c>
      <c r="AE40" s="100" t="e">
        <f aca="false">'6.P&amp;L'!AE42</f>
        <v>#VALUE!</v>
      </c>
      <c r="AF40" s="100" t="e">
        <f aca="false">'6.P&amp;L'!AF42</f>
        <v>#VALUE!</v>
      </c>
      <c r="AG40" s="100" t="e">
        <f aca="false">'6.P&amp;L'!AG42</f>
        <v>#VALUE!</v>
      </c>
      <c r="AH40" s="100" t="e">
        <f aca="false">'6.P&amp;L'!AH42</f>
        <v>#VALUE!</v>
      </c>
      <c r="AI40" s="100" t="e">
        <f aca="false">'6.P&amp;L'!AI42</f>
        <v>#VALUE!</v>
      </c>
      <c r="AJ40" s="100" t="e">
        <f aca="false">'6.P&amp;L'!AJ42</f>
        <v>#VALUE!</v>
      </c>
      <c r="AK40" s="100" t="e">
        <f aca="false">'6.P&amp;L'!AK42</f>
        <v>#VALUE!</v>
      </c>
      <c r="AL40" s="100" t="e">
        <f aca="false">'6.P&amp;L'!AL42</f>
        <v>#VALUE!</v>
      </c>
    </row>
    <row r="41" customFormat="false" ht="15" hidden="false" customHeight="false" outlineLevel="0" collapsed="false">
      <c r="B41" s="68" t="s">
        <v>716</v>
      </c>
      <c r="C41" s="68"/>
      <c r="D41" s="274"/>
      <c r="E41" s="439" t="n">
        <f aca="false">SUM(E39:E40)</f>
        <v>0</v>
      </c>
      <c r="F41" s="439" t="n">
        <f aca="false">SUM(F39:F40)</f>
        <v>0</v>
      </c>
      <c r="G41" s="439" t="n">
        <f aca="false">SUM(G39:G40)</f>
        <v>0</v>
      </c>
      <c r="H41" s="439" t="e">
        <f aca="false">SUM(H39:H40)</f>
        <v>#VALUE!</v>
      </c>
      <c r="I41" s="439" t="e">
        <f aca="false">SUM(I39:I40)</f>
        <v>#VALUE!</v>
      </c>
      <c r="J41" s="439" t="e">
        <f aca="false">SUM(J39:J40)</f>
        <v>#VALUE!</v>
      </c>
      <c r="K41" s="439" t="e">
        <f aca="false">SUM(K39:K40)</f>
        <v>#VALUE!</v>
      </c>
      <c r="L41" s="439" t="e">
        <f aca="false">SUM(L39:L40)</f>
        <v>#VALUE!</v>
      </c>
      <c r="M41" s="439" t="e">
        <f aca="false">SUM(M39:M40)</f>
        <v>#VALUE!</v>
      </c>
      <c r="N41" s="439" t="e">
        <f aca="false">SUM(N39:N40)</f>
        <v>#VALUE!</v>
      </c>
      <c r="O41" s="439" t="e">
        <f aca="false">SUM(O39:O40)</f>
        <v>#VALUE!</v>
      </c>
      <c r="P41" s="439" t="e">
        <f aca="false">SUM(P39:P40)</f>
        <v>#VALUE!</v>
      </c>
      <c r="Q41" s="439" t="e">
        <f aca="false">SUM(Q39:Q40)</f>
        <v>#VALUE!</v>
      </c>
      <c r="R41" s="439" t="e">
        <f aca="false">SUM(R39:R40)</f>
        <v>#VALUE!</v>
      </c>
      <c r="S41" s="439" t="e">
        <f aca="false">SUM(S39:S40)</f>
        <v>#VALUE!</v>
      </c>
      <c r="T41" s="439" t="e">
        <f aca="false">SUM(T39:T40)</f>
        <v>#VALUE!</v>
      </c>
      <c r="U41" s="439" t="e">
        <f aca="false">SUM(U39:U40)</f>
        <v>#VALUE!</v>
      </c>
      <c r="V41" s="439" t="e">
        <f aca="false">SUM(V39:V40)</f>
        <v>#VALUE!</v>
      </c>
      <c r="W41" s="439" t="e">
        <f aca="false">SUM(W39:W40)</f>
        <v>#VALUE!</v>
      </c>
      <c r="X41" s="439" t="e">
        <f aca="false">SUM(X39:X40)</f>
        <v>#VALUE!</v>
      </c>
      <c r="Y41" s="439" t="e">
        <f aca="false">SUM(Y39:Y40)</f>
        <v>#VALUE!</v>
      </c>
      <c r="Z41" s="439" t="e">
        <f aca="false">SUM(Z39:Z40)</f>
        <v>#VALUE!</v>
      </c>
      <c r="AA41" s="439" t="e">
        <f aca="false">SUM(AA39:AA40)</f>
        <v>#VALUE!</v>
      </c>
      <c r="AB41" s="439" t="e">
        <f aca="false">SUM(AB39:AB40)</f>
        <v>#VALUE!</v>
      </c>
      <c r="AC41" s="439" t="e">
        <f aca="false">SUM(AC39:AC40)</f>
        <v>#VALUE!</v>
      </c>
      <c r="AD41" s="439" t="e">
        <f aca="false">SUM(AD39:AD40)</f>
        <v>#VALUE!</v>
      </c>
      <c r="AE41" s="439" t="e">
        <f aca="false">SUM(AE39:AE40)</f>
        <v>#VALUE!</v>
      </c>
      <c r="AF41" s="439" t="e">
        <f aca="false">SUM(AF39:AF40)</f>
        <v>#VALUE!</v>
      </c>
      <c r="AG41" s="439" t="e">
        <f aca="false">SUM(AG39:AG40)</f>
        <v>#VALUE!</v>
      </c>
      <c r="AH41" s="439" t="e">
        <f aca="false">SUM(AH39:AH40)</f>
        <v>#VALUE!</v>
      </c>
      <c r="AI41" s="439" t="e">
        <f aca="false">SUM(AI39:AI40)</f>
        <v>#VALUE!</v>
      </c>
      <c r="AJ41" s="439" t="e">
        <f aca="false">SUM(AJ39:AJ40)</f>
        <v>#VALUE!</v>
      </c>
      <c r="AK41" s="439" t="e">
        <f aca="false">SUM(AK39:AK40)</f>
        <v>#VALUE!</v>
      </c>
      <c r="AL41" s="439" t="e">
        <f aca="false">SUM(AL39:AL40)</f>
        <v>#VALUE!</v>
      </c>
    </row>
    <row r="43" customFormat="false" ht="15" hidden="false" customHeight="false" outlineLevel="0" collapsed="false">
      <c r="B43" s="8" t="s">
        <v>717</v>
      </c>
      <c r="C43" s="8"/>
      <c r="D43" s="356"/>
      <c r="E43" s="8"/>
      <c r="F43" s="8"/>
      <c r="G43" s="8"/>
      <c r="H43" s="440" t="e">
        <f aca="false">H32+H36+H41</f>
        <v>#VALUE!</v>
      </c>
      <c r="I43" s="440" t="e">
        <f aca="false">I32+I36+I41</f>
        <v>#VALUE!</v>
      </c>
      <c r="J43" s="440" t="e">
        <f aca="false">J32+J36+J41</f>
        <v>#VALUE!</v>
      </c>
      <c r="K43" s="440" t="e">
        <f aca="false">K32+K36+K41</f>
        <v>#VALUE!</v>
      </c>
      <c r="L43" s="440" t="e">
        <f aca="false">L32+L36+L41</f>
        <v>#VALUE!</v>
      </c>
      <c r="M43" s="440" t="e">
        <f aca="false">M32+M36+M41</f>
        <v>#VALUE!</v>
      </c>
      <c r="N43" s="440" t="e">
        <f aca="false">N32+N36+N41</f>
        <v>#VALUE!</v>
      </c>
      <c r="O43" s="440" t="e">
        <f aca="false">O32+O36+O41</f>
        <v>#VALUE!</v>
      </c>
      <c r="P43" s="440" t="e">
        <f aca="false">P32+P36+P41</f>
        <v>#VALUE!</v>
      </c>
      <c r="Q43" s="440" t="e">
        <f aca="false">Q32+Q36+Q41</f>
        <v>#VALUE!</v>
      </c>
      <c r="R43" s="440" t="e">
        <f aca="false">R32+R36+R41</f>
        <v>#VALUE!</v>
      </c>
      <c r="S43" s="440" t="e">
        <f aca="false">S32+S36+S41</f>
        <v>#VALUE!</v>
      </c>
      <c r="T43" s="440" t="e">
        <f aca="false">T32+T36+T41</f>
        <v>#VALUE!</v>
      </c>
      <c r="U43" s="440" t="e">
        <f aca="false">U32+U36+U41</f>
        <v>#VALUE!</v>
      </c>
      <c r="V43" s="440" t="e">
        <f aca="false">V32+V36+V41</f>
        <v>#VALUE!</v>
      </c>
      <c r="W43" s="440" t="e">
        <f aca="false">W32+W36+W41</f>
        <v>#VALUE!</v>
      </c>
      <c r="X43" s="440" t="e">
        <f aca="false">X32+X36+X41</f>
        <v>#VALUE!</v>
      </c>
      <c r="Y43" s="440" t="e">
        <f aca="false">Y32+Y36+Y41</f>
        <v>#VALUE!</v>
      </c>
      <c r="Z43" s="440" t="e">
        <f aca="false">Z32+Z36+Z41</f>
        <v>#VALUE!</v>
      </c>
      <c r="AA43" s="440" t="e">
        <f aca="false">AA32+AA36+AA41</f>
        <v>#VALUE!</v>
      </c>
      <c r="AB43" s="440" t="e">
        <f aca="false">AB32+AB36+AB41</f>
        <v>#VALUE!</v>
      </c>
      <c r="AC43" s="440" t="e">
        <f aca="false">AC32+AC36+AC41</f>
        <v>#VALUE!</v>
      </c>
      <c r="AD43" s="440" t="e">
        <f aca="false">AD32+AD36+AD41</f>
        <v>#VALUE!</v>
      </c>
      <c r="AE43" s="440" t="e">
        <f aca="false">AE32+AE36+AE41</f>
        <v>#VALUE!</v>
      </c>
      <c r="AF43" s="440" t="e">
        <f aca="false">AF32+AF36+AF41</f>
        <v>#VALUE!</v>
      </c>
      <c r="AG43" s="440" t="e">
        <f aca="false">AG32+AG36+AG41</f>
        <v>#VALUE!</v>
      </c>
      <c r="AH43" s="440" t="e">
        <f aca="false">AH32+AH36+AH41</f>
        <v>#VALUE!</v>
      </c>
      <c r="AI43" s="440" t="e">
        <f aca="false">AI32+AI36+AI41</f>
        <v>#VALUE!</v>
      </c>
      <c r="AJ43" s="440" t="e">
        <f aca="false">AJ32+AJ36+AJ41</f>
        <v>#VALUE!</v>
      </c>
      <c r="AK43" s="440" t="e">
        <f aca="false">AK32+AK36+AK41</f>
        <v>#VALUE!</v>
      </c>
      <c r="AL43" s="440" t="e">
        <f aca="false">AL32+AL36+AL41</f>
        <v>#VALUE!</v>
      </c>
    </row>
    <row r="44" customFormat="false" ht="15" hidden="false" customHeight="false" outlineLevel="0" collapsed="false">
      <c r="C44" s="441" t="s">
        <v>718</v>
      </c>
      <c r="D44" s="441"/>
      <c r="E44" s="441"/>
      <c r="F44" s="441"/>
      <c r="G44" s="441"/>
      <c r="H44" s="442" t="e">
        <f aca="false">H26-H43</f>
        <v>#VALUE!</v>
      </c>
      <c r="I44" s="442" t="e">
        <f aca="false">I26-I43</f>
        <v>#VALUE!</v>
      </c>
      <c r="J44" s="442" t="e">
        <f aca="false">J26-J43</f>
        <v>#VALUE!</v>
      </c>
      <c r="K44" s="442" t="e">
        <f aca="false">K26-K43</f>
        <v>#VALUE!</v>
      </c>
      <c r="L44" s="442" t="e">
        <f aca="false">L26-L43</f>
        <v>#VALUE!</v>
      </c>
      <c r="M44" s="442" t="e">
        <f aca="false">M26-M43</f>
        <v>#VALUE!</v>
      </c>
      <c r="N44" s="443" t="e">
        <f aca="false">N26-N43</f>
        <v>#VALUE!</v>
      </c>
      <c r="O44" s="443" t="e">
        <f aca="false">O26-O43</f>
        <v>#VALUE!</v>
      </c>
      <c r="P44" s="443" t="e">
        <f aca="false">P26-P43</f>
        <v>#VALUE!</v>
      </c>
      <c r="Q44" s="443" t="e">
        <f aca="false">Q26-Q43</f>
        <v>#VALUE!</v>
      </c>
      <c r="R44" s="443" t="e">
        <f aca="false">R26-R43</f>
        <v>#VALUE!</v>
      </c>
      <c r="S44" s="443" t="e">
        <f aca="false">S26-S43</f>
        <v>#VALUE!</v>
      </c>
      <c r="T44" s="443" t="e">
        <f aca="false">T26-T43</f>
        <v>#VALUE!</v>
      </c>
      <c r="U44" s="443" t="e">
        <f aca="false">U26-U43</f>
        <v>#VALUE!</v>
      </c>
      <c r="V44" s="443" t="e">
        <f aca="false">V26-V43</f>
        <v>#VALUE!</v>
      </c>
      <c r="W44" s="443" t="e">
        <f aca="false">W26-W43</f>
        <v>#VALUE!</v>
      </c>
      <c r="X44" s="443" t="e">
        <f aca="false">X26-X43</f>
        <v>#VALUE!</v>
      </c>
      <c r="Y44" s="443" t="e">
        <f aca="false">Y26-Y43</f>
        <v>#VALUE!</v>
      </c>
      <c r="Z44" s="443" t="e">
        <f aca="false">Z26-Z43</f>
        <v>#VALUE!</v>
      </c>
      <c r="AA44" s="443" t="e">
        <f aca="false">AA26-AA43</f>
        <v>#VALUE!</v>
      </c>
      <c r="AB44" s="443" t="e">
        <f aca="false">AB26-AB43</f>
        <v>#VALUE!</v>
      </c>
      <c r="AC44" s="443" t="e">
        <f aca="false">AC26-AC43</f>
        <v>#VALUE!</v>
      </c>
      <c r="AD44" s="443" t="e">
        <f aca="false">AD26-AD43</f>
        <v>#VALUE!</v>
      </c>
      <c r="AE44" s="443" t="e">
        <f aca="false">AE26-AE43</f>
        <v>#VALUE!</v>
      </c>
      <c r="AF44" s="443" t="e">
        <f aca="false">AF26-AF43</f>
        <v>#VALUE!</v>
      </c>
      <c r="AG44" s="443" t="e">
        <f aca="false">AG26-AG43</f>
        <v>#VALUE!</v>
      </c>
      <c r="AH44" s="443" t="e">
        <f aca="false">AH26-AH43</f>
        <v>#VALUE!</v>
      </c>
      <c r="AI44" s="443" t="e">
        <f aca="false">AI26-AI43</f>
        <v>#VALUE!</v>
      </c>
      <c r="AJ44" s="443" t="e">
        <f aca="false">AJ26-AJ43</f>
        <v>#VALUE!</v>
      </c>
      <c r="AK44" s="443" t="e">
        <f aca="false">AK26-AK43</f>
        <v>#VALUE!</v>
      </c>
      <c r="AL44" s="443" t="e">
        <f aca="false">AL26-AL43</f>
        <v>#VALUE!</v>
      </c>
    </row>
    <row r="45" customFormat="false" ht="15" hidden="false" customHeight="false" outlineLevel="0" collapsed="false">
      <c r="H45" s="437"/>
      <c r="I45" s="147"/>
      <c r="J45" s="147"/>
      <c r="K45" s="147"/>
      <c r="L45" s="147"/>
      <c r="M45" s="147"/>
      <c r="N45" s="147"/>
      <c r="O45" s="147"/>
      <c r="P45" s="147"/>
      <c r="Q45" s="147"/>
      <c r="R45" s="147"/>
    </row>
    <row r="46" customFormat="false" ht="15" hidden="false" customHeight="false" outlineLevel="0" collapsed="false">
      <c r="I46" s="444"/>
    </row>
    <row r="315" customFormat="false" ht="15" hidden="false" customHeight="false" outlineLevel="0" collapsed="false">
      <c r="Q315" s="1" t="n">
        <f aca="false">$F315*Q$5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44"/>
  <sheetViews>
    <sheetView showFormulas="false" showGridLines="false" showRowColHeaders="true" showZeros="true" rightToLeft="false" tabSelected="false" showOutlineSymbols="true" defaultGridColor="true" view="normal" topLeftCell="A49" colorId="64" zoomScale="80" zoomScaleNormal="80" zoomScalePageLayoutView="100" workbookViewId="0">
      <selection pane="topLeft" activeCell="M96" activeCellId="0" sqref="M96"/>
    </sheetView>
  </sheetViews>
  <sheetFormatPr defaultColWidth="8.66796875" defaultRowHeight="15" zeroHeight="false" outlineLevelRow="0" outlineLevelCol="0"/>
  <cols>
    <col collapsed="false" customWidth="true" hidden="false" outlineLevel="0" max="2" min="1" style="1" width="3"/>
    <col collapsed="false" customWidth="true" hidden="false" outlineLevel="0" max="3" min="3" style="1" width="33.51"/>
    <col collapsed="false" customWidth="true" hidden="false" outlineLevel="0" max="4" min="4" style="25" width="8"/>
    <col collapsed="false" customWidth="true" hidden="false" outlineLevel="0" max="5" min="5" style="1" width="4.5"/>
    <col collapsed="false" customWidth="true" hidden="false" outlineLevel="0" max="6" min="6" style="1" width="1.51"/>
    <col collapsed="false" customWidth="true" hidden="false" outlineLevel="0" max="7" min="7" style="1" width="0.16"/>
    <col collapsed="false" customWidth="true" hidden="false" outlineLevel="0" max="9" min="8" style="1" width="12.16"/>
    <col collapsed="false" customWidth="true" hidden="false" outlineLevel="0" max="12" min="10" style="1" width="12.5"/>
    <col collapsed="false" customWidth="true" hidden="false" outlineLevel="0" max="37" min="13" style="1" width="13.5"/>
    <col collapsed="false" customWidth="true" hidden="false" outlineLevel="0" max="38" min="38" style="1" width="11.5"/>
    <col collapsed="false" customWidth="false" hidden="false" outlineLevel="0" max="16384" min="39" style="1" width="8.67"/>
  </cols>
  <sheetData>
    <row r="1" customFormat="false" ht="15" hidden="false" customHeight="false" outlineLevel="0" collapsed="false">
      <c r="A1" s="0"/>
      <c r="B1" s="0"/>
      <c r="C1" s="0"/>
      <c r="D1" s="3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719</v>
      </c>
      <c r="C5" s="6"/>
      <c r="D5" s="97" t="s">
        <v>87</v>
      </c>
      <c r="E5" s="7"/>
      <c r="F5" s="7"/>
      <c r="G5" s="7"/>
      <c r="H5" s="99" t="n">
        <f aca="false">'2. NPV'!H5</f>
        <v>2024</v>
      </c>
      <c r="I5" s="99" t="n">
        <f aca="false">'2. NPV'!I5</f>
        <v>2025</v>
      </c>
      <c r="J5" s="99" t="n">
        <f aca="false">'2. NPV'!J5</f>
        <v>2026</v>
      </c>
      <c r="K5" s="99" t="n">
        <f aca="false">'2. NPV'!K5</f>
        <v>2027</v>
      </c>
      <c r="L5" s="99" t="n">
        <f aca="false">'2. NPV'!L5</f>
        <v>2028</v>
      </c>
      <c r="M5" s="99" t="n">
        <f aca="false">'2. NPV'!M5</f>
        <v>2029</v>
      </c>
      <c r="N5" s="99" t="n">
        <f aca="false">'2. NPV'!N5</f>
        <v>2030</v>
      </c>
      <c r="O5" s="99" t="n">
        <f aca="false">'2. NPV'!O5</f>
        <v>2031</v>
      </c>
      <c r="P5" s="99" t="n">
        <f aca="false">'2. NPV'!P5</f>
        <v>2032</v>
      </c>
      <c r="Q5" s="99" t="n">
        <f aca="false">'2. NPV'!Q5</f>
        <v>2033</v>
      </c>
      <c r="R5" s="99" t="n">
        <f aca="false">'2. NPV'!R5</f>
        <v>2034</v>
      </c>
      <c r="S5" s="99" t="n">
        <f aca="false">'2. NPV'!S5</f>
        <v>2035</v>
      </c>
      <c r="T5" s="99" t="n">
        <f aca="false">'2. NPV'!T5</f>
        <v>2036</v>
      </c>
      <c r="U5" s="99" t="n">
        <f aca="false">'2. NPV'!U5</f>
        <v>2037</v>
      </c>
      <c r="V5" s="99" t="n">
        <f aca="false">'2. NPV'!V5</f>
        <v>2038</v>
      </c>
      <c r="W5" s="99" t="n">
        <f aca="false">'2. NPV'!W5</f>
        <v>2039</v>
      </c>
      <c r="X5" s="99" t="n">
        <f aca="false">'2. NPV'!X5</f>
        <v>2040</v>
      </c>
      <c r="Y5" s="99" t="n">
        <f aca="false">'2. NPV'!Y5</f>
        <v>2041</v>
      </c>
      <c r="Z5" s="99" t="n">
        <f aca="false">'2. NPV'!Z5</f>
        <v>2042</v>
      </c>
      <c r="AA5" s="99" t="n">
        <f aca="false">'2. NPV'!AA5</f>
        <v>2043</v>
      </c>
      <c r="AB5" s="99" t="n">
        <f aca="false">'2. NPV'!AB5</f>
        <v>2044</v>
      </c>
      <c r="AC5" s="99" t="n">
        <f aca="false">'2. NPV'!AC5</f>
        <v>2045</v>
      </c>
      <c r="AD5" s="99" t="n">
        <f aca="false">'2. NPV'!AD5</f>
        <v>2046</v>
      </c>
      <c r="AE5" s="99" t="n">
        <f aca="false">'2. NPV'!AE5</f>
        <v>2047</v>
      </c>
      <c r="AF5" s="99" t="n">
        <f aca="false">'2. NPV'!AF5</f>
        <v>2048</v>
      </c>
      <c r="AG5" s="99" t="n">
        <f aca="false">'2. NPV'!AG5</f>
        <v>2049</v>
      </c>
      <c r="AH5" s="99" t="n">
        <f aca="false">'2. NPV'!AH5</f>
        <v>2050</v>
      </c>
      <c r="AI5" s="99" t="n">
        <f aca="false">'2. NPV'!AI5</f>
        <v>2051</v>
      </c>
      <c r="AJ5" s="99" t="n">
        <f aca="false">'2. NPV'!AJ5</f>
        <v>2052</v>
      </c>
      <c r="AK5" s="99" t="n">
        <f aca="false">'2. NPV'!AK5</f>
        <v>2053</v>
      </c>
      <c r="AL5" s="99" t="n">
        <f aca="false">'2. NPV'!AL5</f>
        <v>2054</v>
      </c>
    </row>
    <row r="6" customFormat="false" ht="15" hidden="false" customHeight="false" outlineLevel="0" collapsed="false">
      <c r="B6" s="6"/>
      <c r="C6" s="6"/>
      <c r="D6" s="97"/>
      <c r="E6" s="6"/>
      <c r="F6" s="6"/>
      <c r="G6" s="6"/>
      <c r="H6" s="6" t="n">
        <f aca="false">+'4.1 Revenue Build - VCU'!H$7</f>
        <v>1</v>
      </c>
      <c r="I6" s="6" t="n">
        <f aca="false">+'4.1 Revenue Build - VCU'!I$7</f>
        <v>2</v>
      </c>
      <c r="J6" s="6" t="n">
        <f aca="false">+'4.1 Revenue Build - VCU'!J$7</f>
        <v>3</v>
      </c>
      <c r="K6" s="6" t="n">
        <f aca="false">+'4.1 Revenue Build - VCU'!K$7</f>
        <v>4</v>
      </c>
      <c r="L6" s="6" t="n">
        <f aca="false">+'4.1 Revenue Build - VCU'!L$7</f>
        <v>5</v>
      </c>
      <c r="M6" s="6" t="n">
        <f aca="false">+'4.1 Revenue Build - VCU'!M$7</f>
        <v>6</v>
      </c>
      <c r="N6" s="6" t="n">
        <f aca="false">+'4.1 Revenue Build - VCU'!N$7</f>
        <v>7</v>
      </c>
      <c r="O6" s="6" t="n">
        <f aca="false">+'4.1 Revenue Build - VCU'!O$7</f>
        <v>8</v>
      </c>
      <c r="P6" s="6" t="n">
        <f aca="false">+'4.1 Revenue Build - VCU'!P$7</f>
        <v>9</v>
      </c>
      <c r="Q6" s="6" t="n">
        <f aca="false">+'4.1 Revenue Build - VCU'!Q$7</f>
        <v>10</v>
      </c>
      <c r="R6" s="6" t="n">
        <f aca="false">+'4.1 Revenue Build - VCU'!R$7</f>
        <v>11</v>
      </c>
      <c r="S6" s="6" t="n">
        <f aca="false">+'4.1 Revenue Build - VCU'!S$7</f>
        <v>12</v>
      </c>
      <c r="T6" s="6" t="n">
        <f aca="false">+'4.1 Revenue Build - VCU'!T$7</f>
        <v>13</v>
      </c>
      <c r="U6" s="6" t="n">
        <f aca="false">+'4.1 Revenue Build - VCU'!U$7</f>
        <v>14</v>
      </c>
      <c r="V6" s="6" t="n">
        <f aca="false">+'4.1 Revenue Build - VCU'!V$7</f>
        <v>15</v>
      </c>
      <c r="W6" s="6" t="n">
        <f aca="false">+'4.1 Revenue Build - VCU'!W$7</f>
        <v>16</v>
      </c>
      <c r="X6" s="6" t="n">
        <f aca="false">+'4.1 Revenue Build - VCU'!X$7</f>
        <v>17</v>
      </c>
      <c r="Y6" s="6" t="n">
        <f aca="false">+'4.1 Revenue Build - VCU'!Y$7</f>
        <v>18</v>
      </c>
      <c r="Z6" s="6" t="n">
        <f aca="false">+'4.1 Revenue Build - VCU'!Z$7</f>
        <v>19</v>
      </c>
      <c r="AA6" s="6" t="n">
        <f aca="false">+'4.1 Revenue Build - VCU'!AA$7</f>
        <v>20</v>
      </c>
      <c r="AB6" s="6" t="n">
        <f aca="false">+'4.1 Revenue Build - VCU'!AB$7</f>
        <v>21</v>
      </c>
      <c r="AC6" s="6" t="n">
        <f aca="false">+'4.1 Revenue Build - VCU'!AC$7</f>
        <v>22</v>
      </c>
      <c r="AD6" s="6" t="n">
        <f aca="false">+'4.1 Revenue Build - VCU'!AD$7</f>
        <v>23</v>
      </c>
      <c r="AE6" s="6" t="n">
        <f aca="false">+'4.1 Revenue Build - VCU'!AE$7</f>
        <v>24</v>
      </c>
      <c r="AF6" s="6" t="n">
        <f aca="false">+'4.1 Revenue Build - VCU'!AF$7</f>
        <v>25</v>
      </c>
      <c r="AG6" s="6" t="n">
        <f aca="false">+'4.1 Revenue Build - VCU'!AG$7</f>
        <v>26</v>
      </c>
      <c r="AH6" s="6" t="n">
        <f aca="false">+'4.1 Revenue Build - VCU'!AH$7</f>
        <v>27</v>
      </c>
      <c r="AI6" s="6" t="n">
        <f aca="false">+'4.1 Revenue Build - VCU'!AI$7</f>
        <v>28</v>
      </c>
      <c r="AJ6" s="6" t="n">
        <f aca="false">+'4.1 Revenue Build - VCU'!AJ$7</f>
        <v>29</v>
      </c>
      <c r="AK6" s="6" t="n">
        <f aca="false">+'4.1 Revenue Build - VCU'!AK$7</f>
        <v>30</v>
      </c>
      <c r="AL6" s="6" t="n">
        <f aca="false">+'4.1 Revenue Build - VCU'!AL$7</f>
        <v>31</v>
      </c>
    </row>
    <row r="7" customFormat="false" ht="15" hidden="false" customHeight="false" outlineLevel="0" collapsed="false">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row>
    <row r="8" customFormat="false" ht="15" hidden="false" customHeight="false" outlineLevel="0" collapsed="false">
      <c r="B8" s="1" t="s">
        <v>186</v>
      </c>
    </row>
    <row r="9" customFormat="false" ht="15" hidden="false" customHeight="false" outlineLevel="0" collapsed="false">
      <c r="C9" s="1" t="str">
        <f aca="false">'4.2 Revenue Build - Other'!C27</f>
        <v>Refined Oil</v>
      </c>
      <c r="H9" s="130" t="n">
        <f aca="false">'4.2 Revenue Build - Other'!H27</f>
        <v>0</v>
      </c>
      <c r="I9" s="130" t="n">
        <f aca="false">'4.2 Revenue Build - Other'!I27</f>
        <v>0</v>
      </c>
      <c r="J9" s="130" t="n">
        <f aca="false">'4.2 Revenue Build - Other'!J27</f>
        <v>5217535.078125</v>
      </c>
      <c r="K9" s="130" t="n">
        <f aca="false">'4.2 Revenue Build - Other'!K27</f>
        <v>9626352.21914062</v>
      </c>
      <c r="L9" s="130" t="n">
        <f aca="false">'4.2 Revenue Build - Other'!L27</f>
        <v>10963345.5829102</v>
      </c>
      <c r="M9" s="130" t="n">
        <f aca="false">'4.2 Revenue Build - Other'!M27</f>
        <v>16856143.8337244</v>
      </c>
      <c r="N9" s="130" t="n">
        <f aca="false">'4.2 Revenue Build - Other'!N27</f>
        <v>17277547.4295675</v>
      </c>
      <c r="O9" s="130" t="n">
        <f aca="false">'4.2 Revenue Build - Other'!O27</f>
        <v>17709486.1153067</v>
      </c>
      <c r="P9" s="130" t="n">
        <f aca="false">'4.2 Revenue Build - Other'!P27</f>
        <v>18152223.2681893</v>
      </c>
      <c r="Q9" s="130" t="n">
        <f aca="false">'4.2 Revenue Build - Other'!Q27</f>
        <v>18606028.8498941</v>
      </c>
      <c r="R9" s="130" t="n">
        <f aca="false">'4.2 Revenue Build - Other'!R27</f>
        <v>19071179.5711414</v>
      </c>
      <c r="S9" s="130" t="n">
        <f aca="false">'4.2 Revenue Build - Other'!S27</f>
        <v>19547959.0604199</v>
      </c>
      <c r="T9" s="130" t="n">
        <f aca="false">'4.2 Revenue Build - Other'!T27</f>
        <v>20036658.0369304</v>
      </c>
      <c r="U9" s="130" t="n">
        <f aca="false">'4.2 Revenue Build - Other'!U27</f>
        <v>20537574.4878537</v>
      </c>
      <c r="V9" s="130" t="n">
        <f aca="false">'4.2 Revenue Build - Other'!V27</f>
        <v>21051013.85005</v>
      </c>
      <c r="W9" s="130" t="n">
        <f aca="false">'4.2 Revenue Build - Other'!W27</f>
        <v>21577289.1963013</v>
      </c>
      <c r="X9" s="130" t="n">
        <f aca="false">'4.2 Revenue Build - Other'!X27</f>
        <v>22116721.4262088</v>
      </c>
      <c r="Y9" s="130" t="n">
        <f aca="false">'4.2 Revenue Build - Other'!Y27</f>
        <v>22669639.461864</v>
      </c>
      <c r="Z9" s="130" t="n">
        <f aca="false">'4.2 Revenue Build - Other'!Z27</f>
        <v>23236380.4484106</v>
      </c>
      <c r="AA9" s="130" t="n">
        <f aca="false">'4.2 Revenue Build - Other'!AA27</f>
        <v>23817289.9596209</v>
      </c>
      <c r="AB9" s="130" t="n">
        <f aca="false">'4.2 Revenue Build - Other'!AB27</f>
        <v>24412722.2086114</v>
      </c>
      <c r="AC9" s="130" t="n">
        <f aca="false">'4.2 Revenue Build - Other'!AC27</f>
        <v>25023040.2638267</v>
      </c>
      <c r="AD9" s="130" t="n">
        <f aca="false">'4.2 Revenue Build - Other'!AD27</f>
        <v>25648616.2704224</v>
      </c>
      <c r="AE9" s="130" t="n">
        <f aca="false">'4.2 Revenue Build - Other'!AE27</f>
        <v>26289831.6771829</v>
      </c>
      <c r="AF9" s="130" t="n">
        <f aca="false">'4.2 Revenue Build - Other'!AF27</f>
        <v>26947077.4691125</v>
      </c>
      <c r="AG9" s="130" t="n">
        <f aca="false">'4.2 Revenue Build - Other'!AG27</f>
        <v>27620754.4058403</v>
      </c>
      <c r="AH9" s="130" t="n">
        <f aca="false">'4.2 Revenue Build - Other'!AH27</f>
        <v>28311273.2659863</v>
      </c>
      <c r="AI9" s="130" t="n">
        <f aca="false">'4.2 Revenue Build - Other'!AI27</f>
        <v>29019055.097636</v>
      </c>
      <c r="AJ9" s="130" t="n">
        <f aca="false">'4.2 Revenue Build - Other'!AJ27</f>
        <v>29744531.4750769</v>
      </c>
      <c r="AK9" s="130" t="n">
        <f aca="false">'4.2 Revenue Build - Other'!AK27</f>
        <v>30488144.7619538</v>
      </c>
      <c r="AL9" s="130" t="n">
        <f aca="false">'4.2 Revenue Build - Other'!AL27</f>
        <v>31250348.3810026</v>
      </c>
    </row>
    <row r="10" customFormat="false" ht="15" hidden="false" customHeight="false" outlineLevel="0" collapsed="false">
      <c r="C10" s="1" t="str">
        <f aca="false">'4.2 Revenue Build - Other'!C28</f>
        <v>Moringa Leaves</v>
      </c>
      <c r="H10" s="130" t="n">
        <f aca="false">'4.2 Revenue Build - Other'!H28</f>
        <v>0</v>
      </c>
      <c r="I10" s="130" t="n">
        <f aca="false">'4.2 Revenue Build - Other'!I28</f>
        <v>305416.6875</v>
      </c>
      <c r="J10" s="130" t="n">
        <f aca="false">'4.2 Revenue Build - Other'!J28</f>
        <v>313052.1046875</v>
      </c>
      <c r="K10" s="130" t="n">
        <f aca="false">'4.2 Revenue Build - Other'!K28</f>
        <v>534797.345507812</v>
      </c>
      <c r="L10" s="130" t="n">
        <f aca="false">'4.2 Revenue Build - Other'!L28</f>
        <v>548167.279145508</v>
      </c>
      <c r="M10" s="130" t="n">
        <f aca="false">'4.2 Revenue Build - Other'!M28</f>
        <v>561871.461124145</v>
      </c>
      <c r="N10" s="130" t="n">
        <f aca="false">'4.2 Revenue Build - Other'!N28</f>
        <v>575918.247652249</v>
      </c>
      <c r="O10" s="130" t="n">
        <f aca="false">'4.2 Revenue Build - Other'!O28</f>
        <v>590316.203843555</v>
      </c>
      <c r="P10" s="130" t="n">
        <f aca="false">'4.2 Revenue Build - Other'!P28</f>
        <v>605074.108939644</v>
      </c>
      <c r="Q10" s="130" t="n">
        <f aca="false">'4.2 Revenue Build - Other'!Q28</f>
        <v>620200.961663135</v>
      </c>
      <c r="R10" s="130" t="n">
        <f aca="false">'4.2 Revenue Build - Other'!R28</f>
        <v>635705.985704713</v>
      </c>
      <c r="S10" s="130" t="n">
        <f aca="false">'4.2 Revenue Build - Other'!S28</f>
        <v>651598.635347331</v>
      </c>
      <c r="T10" s="130" t="n">
        <f aca="false">'4.2 Revenue Build - Other'!T28</f>
        <v>667888.601231014</v>
      </c>
      <c r="U10" s="130" t="n">
        <f aca="false">'4.2 Revenue Build - Other'!U28</f>
        <v>684585.81626179</v>
      </c>
      <c r="V10" s="130" t="n">
        <f aca="false">'4.2 Revenue Build - Other'!V28</f>
        <v>701700.461668335</v>
      </c>
      <c r="W10" s="130" t="n">
        <f aca="false">'4.2 Revenue Build - Other'!W28</f>
        <v>719242.973210043</v>
      </c>
      <c r="X10" s="130" t="n">
        <f aca="false">'4.2 Revenue Build - Other'!X28</f>
        <v>737224.047540294</v>
      </c>
      <c r="Y10" s="130" t="n">
        <f aca="false">'4.2 Revenue Build - Other'!Y28</f>
        <v>755654.648728801</v>
      </c>
      <c r="Z10" s="130" t="n">
        <f aca="false">'4.2 Revenue Build - Other'!Z28</f>
        <v>774546.014947021</v>
      </c>
      <c r="AA10" s="130" t="n">
        <f aca="false">'4.2 Revenue Build - Other'!AA28</f>
        <v>793909.665320697</v>
      </c>
      <c r="AB10" s="130" t="n">
        <f aca="false">'4.2 Revenue Build - Other'!AB28</f>
        <v>813757.406953714</v>
      </c>
      <c r="AC10" s="130" t="n">
        <f aca="false">'4.2 Revenue Build - Other'!AC28</f>
        <v>834101.342127557</v>
      </c>
      <c r="AD10" s="130" t="n">
        <f aca="false">'4.2 Revenue Build - Other'!AD28</f>
        <v>854953.875680746</v>
      </c>
      <c r="AE10" s="130" t="n">
        <f aca="false">'4.2 Revenue Build - Other'!AE28</f>
        <v>876327.722572764</v>
      </c>
      <c r="AF10" s="130" t="n">
        <f aca="false">'4.2 Revenue Build - Other'!AF28</f>
        <v>898235.915637083</v>
      </c>
      <c r="AG10" s="130" t="n">
        <f aca="false">'4.2 Revenue Build - Other'!AG28</f>
        <v>920691.81352801</v>
      </c>
      <c r="AH10" s="130" t="n">
        <f aca="false">'4.2 Revenue Build - Other'!AH28</f>
        <v>943709.108866211</v>
      </c>
      <c r="AI10" s="130" t="n">
        <f aca="false">'4.2 Revenue Build - Other'!AI28</f>
        <v>967301.836587866</v>
      </c>
      <c r="AJ10" s="130" t="n">
        <f aca="false">'4.2 Revenue Build - Other'!AJ28</f>
        <v>991484.382502563</v>
      </c>
      <c r="AK10" s="130" t="n">
        <f aca="false">'4.2 Revenue Build - Other'!AK28</f>
        <v>1016271.49206513</v>
      </c>
      <c r="AL10" s="130" t="n">
        <f aca="false">'4.2 Revenue Build - Other'!AL28</f>
        <v>1041678.27936675</v>
      </c>
    </row>
    <row r="11" customFormat="false" ht="15" hidden="false" customHeight="false" outlineLevel="0" collapsed="false">
      <c r="C11" s="1" t="str">
        <f aca="false">'4.2 Revenue Build - Other'!C31</f>
        <v>Fertilisers Compost</v>
      </c>
      <c r="H11" s="130" t="n">
        <f aca="false">'4.2 Revenue Build - Other'!H31</f>
        <v>0</v>
      </c>
      <c r="I11" s="130" t="n">
        <f aca="false">'4.2 Revenue Build - Other'!I31</f>
        <v>126075</v>
      </c>
      <c r="J11" s="130" t="n">
        <f aca="false">'4.2 Revenue Build - Other'!J31</f>
        <v>258453.75</v>
      </c>
      <c r="K11" s="130" t="n">
        <f aca="false">'4.2 Revenue Build - Other'!K31</f>
        <v>397372.640625</v>
      </c>
      <c r="L11" s="130" t="n">
        <f aca="false">'4.2 Revenue Build - Other'!L31</f>
        <v>543075.9421875</v>
      </c>
      <c r="M11" s="130" t="n">
        <f aca="false">'4.2 Revenue Build - Other'!M31</f>
        <v>695816.050927734</v>
      </c>
      <c r="N11" s="130" t="n">
        <f aca="false">'4.2 Revenue Build - Other'!N31</f>
        <v>855853.742641113</v>
      </c>
      <c r="O11" s="130" t="n">
        <f aca="false">'4.2 Revenue Build - Other'!O31</f>
        <v>1023458.43390833</v>
      </c>
      <c r="P11" s="130" t="n">
        <f aca="false">'4.2 Revenue Build - Other'!P31</f>
        <v>1198908.45114976</v>
      </c>
      <c r="Q11" s="130" t="n">
        <f aca="false">'4.2 Revenue Build - Other'!Q31</f>
        <v>1382491.30773207</v>
      </c>
      <c r="R11" s="130" t="n">
        <f aca="false">'4.2 Revenue Build - Other'!R31</f>
        <v>1417053.59042537</v>
      </c>
      <c r="S11" s="130" t="n">
        <f aca="false">'4.2 Revenue Build - Other'!S31</f>
        <v>1452479.930186</v>
      </c>
      <c r="T11" s="130" t="n">
        <f aca="false">'4.2 Revenue Build - Other'!T31</f>
        <v>1488791.92844065</v>
      </c>
      <c r="U11" s="130" t="n">
        <f aca="false">'4.2 Revenue Build - Other'!U31</f>
        <v>1526011.72665167</v>
      </c>
      <c r="V11" s="130" t="n">
        <f aca="false">'4.2 Revenue Build - Other'!V31</f>
        <v>1564162.01981796</v>
      </c>
      <c r="W11" s="130" t="n">
        <f aca="false">'4.2 Revenue Build - Other'!W31</f>
        <v>1603266.07031341</v>
      </c>
      <c r="X11" s="130" t="n">
        <f aca="false">'4.2 Revenue Build - Other'!X31</f>
        <v>1643347.72207124</v>
      </c>
      <c r="Y11" s="130" t="n">
        <f aca="false">'4.2 Revenue Build - Other'!Y31</f>
        <v>1684431.41512302</v>
      </c>
      <c r="Z11" s="130" t="n">
        <f aca="false">'4.2 Revenue Build - Other'!Z31</f>
        <v>1726542.2005011</v>
      </c>
      <c r="AA11" s="130" t="n">
        <f aca="false">'4.2 Revenue Build - Other'!AA31</f>
        <v>1769705.75551363</v>
      </c>
      <c r="AB11" s="130" t="n">
        <f aca="false">'4.2 Revenue Build - Other'!AB31</f>
        <v>1813948.39940147</v>
      </c>
      <c r="AC11" s="130" t="n">
        <f aca="false">'4.2 Revenue Build - Other'!AC31</f>
        <v>1859297.1093865</v>
      </c>
      <c r="AD11" s="130" t="n">
        <f aca="false">'4.2 Revenue Build - Other'!AD31</f>
        <v>1905779.53712117</v>
      </c>
      <c r="AE11" s="130" t="n">
        <f aca="false">'4.2 Revenue Build - Other'!AE31</f>
        <v>1953424.0255492</v>
      </c>
      <c r="AF11" s="130" t="n">
        <f aca="false">'4.2 Revenue Build - Other'!AF31</f>
        <v>2002259.62618793</v>
      </c>
      <c r="AG11" s="130" t="n">
        <f aca="false">'4.2 Revenue Build - Other'!AG31</f>
        <v>2052316.11684262</v>
      </c>
      <c r="AH11" s="130" t="n">
        <f aca="false">'4.2 Revenue Build - Other'!AH31</f>
        <v>2103624.01976369</v>
      </c>
      <c r="AI11" s="130" t="n">
        <f aca="false">'4.2 Revenue Build - Other'!AI31</f>
        <v>2156214.62025778</v>
      </c>
      <c r="AJ11" s="130" t="n">
        <f aca="false">'4.2 Revenue Build - Other'!AJ31</f>
        <v>2210119.98576423</v>
      </c>
      <c r="AK11" s="130" t="n">
        <f aca="false">'4.2 Revenue Build - Other'!AK31</f>
        <v>2265372.98540833</v>
      </c>
      <c r="AL11" s="130" t="n">
        <f aca="false">'4.2 Revenue Build - Other'!AL31</f>
        <v>2322007.31004354</v>
      </c>
    </row>
    <row r="12" customFormat="false" ht="15" hidden="false" customHeight="false" outlineLevel="0" collapsed="false">
      <c r="C12" s="1" t="s">
        <v>720</v>
      </c>
      <c r="H12" s="130" t="n">
        <f aca="false">'4.2 Revenue Build - Other'!H38</f>
        <v>0</v>
      </c>
      <c r="I12" s="130" t="n">
        <f aca="false">'4.2 Revenue Build - Other'!I38</f>
        <v>18175.8125</v>
      </c>
      <c r="J12" s="130" t="n">
        <f aca="false">'4.2 Revenue Build - Other'!J38</f>
        <v>37260.415625</v>
      </c>
      <c r="K12" s="130" t="n">
        <f aca="false">'4.2 Revenue Build - Other'!K38</f>
        <v>57287.8890234375</v>
      </c>
      <c r="L12" s="130" t="n">
        <f aca="false">'4.2 Revenue Build - Other'!L38</f>
        <v>78293.4483320312</v>
      </c>
      <c r="M12" s="130" t="n">
        <f aca="false">'4.2 Revenue Build - Other'!M38</f>
        <v>100313.480675415</v>
      </c>
      <c r="N12" s="130" t="n">
        <f aca="false">'4.2 Revenue Build - Other'!N38</f>
        <v>123385.58123076</v>
      </c>
      <c r="O12" s="130" t="n">
        <f aca="false">'4.2 Revenue Build - Other'!O38</f>
        <v>147548.590888451</v>
      </c>
      <c r="P12" s="130" t="n">
        <f aca="false">'4.2 Revenue Build - Other'!P38</f>
        <v>172842.635040757</v>
      </c>
      <c r="Q12" s="130" t="n">
        <f aca="false">'4.2 Revenue Build - Other'!Q38</f>
        <v>199309.163531373</v>
      </c>
      <c r="R12" s="130" t="n">
        <f aca="false">'4.2 Revenue Build - Other'!R38</f>
        <v>204291.892619657</v>
      </c>
      <c r="S12" s="130" t="n">
        <f aca="false">'4.2 Revenue Build - Other'!S38</f>
        <v>209399.189935149</v>
      </c>
      <c r="T12" s="130" t="n">
        <f aca="false">'4.2 Revenue Build - Other'!T38</f>
        <v>214634.169683527</v>
      </c>
      <c r="U12" s="130" t="n">
        <f aca="false">'4.2 Revenue Build - Other'!U38</f>
        <v>220000.023925615</v>
      </c>
      <c r="V12" s="130" t="n">
        <f aca="false">'4.2 Revenue Build - Other'!V38</f>
        <v>225500.024523756</v>
      </c>
      <c r="W12" s="130" t="n">
        <f aca="false">'4.2 Revenue Build - Other'!W38</f>
        <v>231137.52513685</v>
      </c>
      <c r="X12" s="130" t="n">
        <f aca="false">'4.2 Revenue Build - Other'!X38</f>
        <v>236915.963265271</v>
      </c>
      <c r="Y12" s="130" t="n">
        <f aca="false">'4.2 Revenue Build - Other'!Y38</f>
        <v>242838.862346903</v>
      </c>
      <c r="Z12" s="130" t="n">
        <f aca="false">'4.2 Revenue Build - Other'!Z38</f>
        <v>248909.833905575</v>
      </c>
      <c r="AA12" s="130" t="n">
        <f aca="false">'4.2 Revenue Build - Other'!AA38</f>
        <v>255132.579753215</v>
      </c>
      <c r="AB12" s="130" t="n">
        <f aca="false">'4.2 Revenue Build - Other'!AB38</f>
        <v>261510.894247045</v>
      </c>
      <c r="AC12" s="130" t="n">
        <f aca="false">'4.2 Revenue Build - Other'!AC38</f>
        <v>268048.666603221</v>
      </c>
      <c r="AD12" s="130" t="n">
        <f aca="false">'4.2 Revenue Build - Other'!AD38</f>
        <v>274749.883268302</v>
      </c>
      <c r="AE12" s="130" t="n">
        <f aca="false">'4.2 Revenue Build - Other'!AE38</f>
        <v>281618.630350009</v>
      </c>
      <c r="AF12" s="130" t="n">
        <f aca="false">'4.2 Revenue Build - Other'!AF38</f>
        <v>288659.096108759</v>
      </c>
      <c r="AG12" s="130" t="n">
        <f aca="false">'4.2 Revenue Build - Other'!AG38</f>
        <v>295875.573511478</v>
      </c>
      <c r="AH12" s="130" t="n">
        <f aca="false">'4.2 Revenue Build - Other'!AH38</f>
        <v>303272.462849265</v>
      </c>
      <c r="AI12" s="130" t="n">
        <f aca="false">'4.2 Revenue Build - Other'!AI38</f>
        <v>310854.274420497</v>
      </c>
      <c r="AJ12" s="130" t="n">
        <f aca="false">'4.2 Revenue Build - Other'!AJ38</f>
        <v>318625.631281009</v>
      </c>
      <c r="AK12" s="130" t="n">
        <f aca="false">'4.2 Revenue Build - Other'!AK38</f>
        <v>326591.272063034</v>
      </c>
      <c r="AL12" s="130" t="n">
        <f aca="false">'4.2 Revenue Build - Other'!AL38</f>
        <v>334756.05386461</v>
      </c>
    </row>
    <row r="13" customFormat="false" ht="15" hidden="false" customHeight="false" outlineLevel="0" collapsed="false">
      <c r="B13" s="1" t="s">
        <v>721</v>
      </c>
      <c r="H13" s="130" t="n">
        <f aca="false">'5.2 Cost Build - ARR'!H31</f>
        <v>816000</v>
      </c>
      <c r="I13" s="130" t="n">
        <f aca="false">'5.2 Cost Build - ARR'!I31</f>
        <v>1331712</v>
      </c>
      <c r="J13" s="130" t="n">
        <f aca="false">'5.2 Cost Build - ARR'!J31</f>
        <v>1358346.24</v>
      </c>
      <c r="K13" s="130" t="n">
        <f aca="false">'5.2 Cost Build - ARR'!K31</f>
        <v>1385513.1648</v>
      </c>
      <c r="L13" s="130" t="n">
        <f aca="false">'5.2 Cost Build - ARR'!L31</f>
        <v>1413223.428096</v>
      </c>
      <c r="M13" s="130" t="n">
        <f aca="false">'5.2 Cost Build - ARR'!M31</f>
        <v>1441487.89665792</v>
      </c>
      <c r="N13" s="130" t="n">
        <f aca="false">'5.2 Cost Build - ARR'!N31</f>
        <v>1470317.65459108</v>
      </c>
      <c r="O13" s="130" t="n">
        <f aca="false">'5.2 Cost Build - ARR'!O31</f>
        <v>1499724.0076829</v>
      </c>
      <c r="P13" s="130" t="n">
        <f aca="false">'5.2 Cost Build - ARR'!P31</f>
        <v>0</v>
      </c>
      <c r="Q13" s="130" t="n">
        <f aca="false">'5.2 Cost Build - ARR'!Q31</f>
        <v>0</v>
      </c>
      <c r="R13" s="130" t="n">
        <f aca="false">'5.2 Cost Build - ARR'!R31</f>
        <v>0</v>
      </c>
      <c r="S13" s="130" t="n">
        <f aca="false">'5.2 Cost Build - ARR'!S31</f>
        <v>0</v>
      </c>
      <c r="T13" s="130" t="n">
        <f aca="false">'5.2 Cost Build - ARR'!T31</f>
        <v>0</v>
      </c>
      <c r="U13" s="130" t="n">
        <f aca="false">'5.2 Cost Build - ARR'!U31</f>
        <v>0</v>
      </c>
      <c r="V13" s="130" t="n">
        <f aca="false">'5.2 Cost Build - ARR'!V31</f>
        <v>0</v>
      </c>
      <c r="W13" s="130" t="n">
        <f aca="false">'5.2 Cost Build - ARR'!W31</f>
        <v>0</v>
      </c>
      <c r="X13" s="130" t="n">
        <f aca="false">'5.2 Cost Build - ARR'!X31</f>
        <v>0</v>
      </c>
      <c r="Y13" s="130" t="n">
        <f aca="false">'5.2 Cost Build - ARR'!Y31</f>
        <v>0</v>
      </c>
      <c r="Z13" s="130" t="n">
        <f aca="false">'5.2 Cost Build - ARR'!Z31</f>
        <v>0</v>
      </c>
      <c r="AA13" s="130" t="n">
        <f aca="false">'5.2 Cost Build - ARR'!AA31</f>
        <v>0</v>
      </c>
      <c r="AB13" s="130" t="n">
        <f aca="false">'5.2 Cost Build - ARR'!AB31</f>
        <v>0</v>
      </c>
      <c r="AC13" s="130" t="n">
        <f aca="false">'5.2 Cost Build - ARR'!AC31</f>
        <v>0</v>
      </c>
      <c r="AD13" s="130" t="n">
        <f aca="false">'5.2 Cost Build - ARR'!AD31</f>
        <v>0</v>
      </c>
      <c r="AE13" s="130" t="n">
        <f aca="false">'5.2 Cost Build - ARR'!AE31</f>
        <v>0</v>
      </c>
      <c r="AF13" s="130" t="n">
        <f aca="false">'5.2 Cost Build - ARR'!AF31</f>
        <v>0</v>
      </c>
      <c r="AG13" s="130" t="n">
        <f aca="false">'5.2 Cost Build - ARR'!AG31</f>
        <v>0</v>
      </c>
      <c r="AH13" s="130" t="n">
        <f aca="false">'5.2 Cost Build - ARR'!AH31</f>
        <v>0</v>
      </c>
      <c r="AI13" s="130" t="n">
        <f aca="false">'5.2 Cost Build - ARR'!AI31</f>
        <v>0</v>
      </c>
      <c r="AJ13" s="130" t="n">
        <f aca="false">'5.2 Cost Build - ARR'!AJ31</f>
        <v>0</v>
      </c>
      <c r="AK13" s="130" t="n">
        <f aca="false">'5.2 Cost Build - ARR'!AK31</f>
        <v>0</v>
      </c>
      <c r="AL13" s="130" t="n">
        <f aca="false">'5.2 Cost Build - ARR'!AL31</f>
        <v>0</v>
      </c>
    </row>
    <row r="15" customFormat="false" ht="15" hidden="false" customHeight="false" outlineLevel="0" collapsed="false">
      <c r="B15" s="8" t="s">
        <v>696</v>
      </c>
      <c r="D15" s="25" t="s">
        <v>722</v>
      </c>
      <c r="E15" s="1" t="s">
        <v>723</v>
      </c>
    </row>
    <row r="16" customFormat="false" ht="15" hidden="false" customHeight="false" outlineLevel="0" collapsed="false">
      <c r="C16" s="1" t="str">
        <f aca="false">C9</f>
        <v>Refined Oil</v>
      </c>
      <c r="D16" s="445" t="n">
        <f aca="false">20</f>
        <v>20</v>
      </c>
      <c r="E16" s="445" t="n">
        <v>45</v>
      </c>
      <c r="H16" s="147" t="n">
        <f aca="false">H9*AVERAGE($D16,$E16)/365</f>
        <v>0</v>
      </c>
      <c r="I16" s="147" t="n">
        <f aca="false">I9*AVERAGE($D16,$E16)/365</f>
        <v>0</v>
      </c>
      <c r="J16" s="147" t="n">
        <f aca="false">J9*AVERAGE($D16,$E16)/365</f>
        <v>464575.041202911</v>
      </c>
      <c r="K16" s="147" t="n">
        <f aca="false">K9*AVERAGE($D16,$E16)/365</f>
        <v>857140.951019371</v>
      </c>
      <c r="L16" s="147" t="n">
        <f aca="false">L9*AVERAGE($D16,$E16)/365</f>
        <v>976188.305327616</v>
      </c>
      <c r="M16" s="147" t="n">
        <f aca="false">M9*AVERAGE($D16,$E16)/365</f>
        <v>1500889.51944121</v>
      </c>
      <c r="N16" s="147" t="n">
        <f aca="false">N9*AVERAGE($D16,$E16)/365</f>
        <v>1538411.75742724</v>
      </c>
      <c r="O16" s="147" t="n">
        <f aca="false">O9*AVERAGE($D16,$E16)/365</f>
        <v>1576872.05136292</v>
      </c>
      <c r="P16" s="147" t="n">
        <f aca="false">P9*AVERAGE($D16,$E16)/365</f>
        <v>1616293.85264699</v>
      </c>
      <c r="Q16" s="147" t="n">
        <f aca="false">Q9*AVERAGE($D16,$E16)/365</f>
        <v>1656701.19896317</v>
      </c>
      <c r="R16" s="147" t="n">
        <f aca="false">R9*AVERAGE($D16,$E16)/365</f>
        <v>1698118.72893725</v>
      </c>
      <c r="S16" s="147" t="n">
        <f aca="false">S9*AVERAGE($D16,$E16)/365</f>
        <v>1740571.69716068</v>
      </c>
      <c r="T16" s="147" t="n">
        <f aca="false">T9*AVERAGE($D16,$E16)/365</f>
        <v>1784085.9895897</v>
      </c>
      <c r="U16" s="147" t="n">
        <f aca="false">U9*AVERAGE($D16,$E16)/365</f>
        <v>1828688.13932944</v>
      </c>
      <c r="V16" s="147" t="n">
        <f aca="false">V9*AVERAGE($D16,$E16)/365</f>
        <v>1874405.34281267</v>
      </c>
      <c r="W16" s="147" t="n">
        <f aca="false">W9*AVERAGE($D16,$E16)/365</f>
        <v>1921265.47638299</v>
      </c>
      <c r="X16" s="147" t="n">
        <f aca="false">X9*AVERAGE($D16,$E16)/365</f>
        <v>1969297.11329257</v>
      </c>
      <c r="Y16" s="147" t="n">
        <f aca="false">Y9*AVERAGE($D16,$E16)/365</f>
        <v>2018529.54112488</v>
      </c>
      <c r="Z16" s="147" t="n">
        <f aca="false">Z9*AVERAGE($D16,$E16)/365</f>
        <v>2068992.779653</v>
      </c>
      <c r="AA16" s="147" t="n">
        <f aca="false">AA9*AVERAGE($D16,$E16)/365</f>
        <v>2120717.59914433</v>
      </c>
      <c r="AB16" s="147" t="n">
        <f aca="false">AB9*AVERAGE($D16,$E16)/365</f>
        <v>2173735.53912293</v>
      </c>
      <c r="AC16" s="147" t="n">
        <f aca="false">AC9*AVERAGE($D16,$E16)/365</f>
        <v>2228078.92760101</v>
      </c>
      <c r="AD16" s="147" t="n">
        <f aca="false">AD9*AVERAGE($D16,$E16)/365</f>
        <v>2283780.90079103</v>
      </c>
      <c r="AE16" s="147" t="n">
        <f aca="false">AE9*AVERAGE($D16,$E16)/365</f>
        <v>2340875.42331081</v>
      </c>
      <c r="AF16" s="147" t="n">
        <f aca="false">AF9*AVERAGE($D16,$E16)/365</f>
        <v>2399397.30889358</v>
      </c>
      <c r="AG16" s="147" t="n">
        <f aca="false">AG9*AVERAGE($D16,$E16)/365</f>
        <v>2459382.24161592</v>
      </c>
      <c r="AH16" s="147" t="n">
        <f aca="false">AH9*AVERAGE($D16,$E16)/365</f>
        <v>2520866.79765632</v>
      </c>
      <c r="AI16" s="147" t="n">
        <f aca="false">AI9*AVERAGE($D16,$E16)/365</f>
        <v>2583888.46759772</v>
      </c>
      <c r="AJ16" s="147" t="n">
        <f aca="false">AJ9*AVERAGE($D16,$E16)/365</f>
        <v>2648485.67928767</v>
      </c>
      <c r="AK16" s="147" t="n">
        <f aca="false">AK9*AVERAGE($D16,$E16)/365</f>
        <v>2714697.82126986</v>
      </c>
      <c r="AL16" s="147" t="n">
        <f aca="false">AL9*AVERAGE($D16,$E16)/365</f>
        <v>2782565.26680161</v>
      </c>
    </row>
    <row r="17" customFormat="false" ht="15" hidden="false" customHeight="false" outlineLevel="0" collapsed="false">
      <c r="C17" s="1" t="str">
        <f aca="false">C10</f>
        <v>Moringa Leaves</v>
      </c>
      <c r="D17" s="446" t="n">
        <f aca="false">D16</f>
        <v>20</v>
      </c>
      <c r="E17" s="446" t="n">
        <f aca="false">E16</f>
        <v>45</v>
      </c>
      <c r="H17" s="147" t="n">
        <f aca="false">H10*AVERAGE($D17,$E17)/365</f>
        <v>0</v>
      </c>
      <c r="I17" s="147" t="n">
        <f aca="false">I10*AVERAGE($D17,$E17)/365</f>
        <v>27194.6365582192</v>
      </c>
      <c r="J17" s="147" t="n">
        <f aca="false">J10*AVERAGE($D17,$E17)/365</f>
        <v>27874.5024721747</v>
      </c>
      <c r="K17" s="147" t="n">
        <f aca="false">K10*AVERAGE($D17,$E17)/365</f>
        <v>47618.9417232984</v>
      </c>
      <c r="L17" s="147" t="n">
        <f aca="false">L10*AVERAGE($D17,$E17)/365</f>
        <v>48809.4152663808</v>
      </c>
      <c r="M17" s="147" t="n">
        <f aca="false">M10*AVERAGE($D17,$E17)/365</f>
        <v>50029.6506480403</v>
      </c>
      <c r="N17" s="147" t="n">
        <f aca="false">N10*AVERAGE($D17,$E17)/365</f>
        <v>51280.3919142413</v>
      </c>
      <c r="O17" s="147" t="n">
        <f aca="false">O10*AVERAGE($D17,$E17)/365</f>
        <v>52562.4017120974</v>
      </c>
      <c r="P17" s="147" t="n">
        <f aca="false">P10*AVERAGE($D17,$E17)/365</f>
        <v>53876.4617548998</v>
      </c>
      <c r="Q17" s="147" t="n">
        <f aca="false">Q10*AVERAGE($D17,$E17)/365</f>
        <v>55223.3732987723</v>
      </c>
      <c r="R17" s="147" t="n">
        <f aca="false">R10*AVERAGE($D17,$E17)/365</f>
        <v>56603.9576312416</v>
      </c>
      <c r="S17" s="147" t="n">
        <f aca="false">S10*AVERAGE($D17,$E17)/365</f>
        <v>58019.0565720226</v>
      </c>
      <c r="T17" s="147" t="n">
        <f aca="false">T10*AVERAGE($D17,$E17)/365</f>
        <v>59469.5329863232</v>
      </c>
      <c r="U17" s="147" t="n">
        <f aca="false">U10*AVERAGE($D17,$E17)/365</f>
        <v>60956.2713109813</v>
      </c>
      <c r="V17" s="147" t="n">
        <f aca="false">V10*AVERAGE($D17,$E17)/365</f>
        <v>62480.1780937558</v>
      </c>
      <c r="W17" s="147" t="n">
        <f aca="false">W10*AVERAGE($D17,$E17)/365</f>
        <v>64042.1825460997</v>
      </c>
      <c r="X17" s="147" t="n">
        <f aca="false">X10*AVERAGE($D17,$E17)/365</f>
        <v>65643.2371097522</v>
      </c>
      <c r="Y17" s="147" t="n">
        <f aca="false">Y10*AVERAGE($D17,$E17)/365</f>
        <v>67284.318037496</v>
      </c>
      <c r="Z17" s="147" t="n">
        <f aca="false">Z10*AVERAGE($D17,$E17)/365</f>
        <v>68966.4259884334</v>
      </c>
      <c r="AA17" s="147" t="n">
        <f aca="false">AA10*AVERAGE($D17,$E17)/365</f>
        <v>70690.5866381442</v>
      </c>
      <c r="AB17" s="147" t="n">
        <f aca="false">AB10*AVERAGE($D17,$E17)/365</f>
        <v>72457.8513040978</v>
      </c>
      <c r="AC17" s="147" t="n">
        <f aca="false">AC10*AVERAGE($D17,$E17)/365</f>
        <v>74269.2975867003</v>
      </c>
      <c r="AD17" s="147" t="n">
        <f aca="false">AD10*AVERAGE($D17,$E17)/365</f>
        <v>76126.0300263678</v>
      </c>
      <c r="AE17" s="147" t="n">
        <f aca="false">AE10*AVERAGE($D17,$E17)/365</f>
        <v>78029.180777027</v>
      </c>
      <c r="AF17" s="147" t="n">
        <f aca="false">AF10*AVERAGE($D17,$E17)/365</f>
        <v>79979.9102964526</v>
      </c>
      <c r="AG17" s="147" t="n">
        <f aca="false">AG10*AVERAGE($D17,$E17)/365</f>
        <v>81979.4080538639</v>
      </c>
      <c r="AH17" s="147" t="n">
        <f aca="false">AH10*AVERAGE($D17,$E17)/365</f>
        <v>84028.8932552105</v>
      </c>
      <c r="AI17" s="147" t="n">
        <f aca="false">AI10*AVERAGE($D17,$E17)/365</f>
        <v>86129.6155865908</v>
      </c>
      <c r="AJ17" s="147" t="n">
        <f aca="false">AJ10*AVERAGE($D17,$E17)/365</f>
        <v>88282.8559762556</v>
      </c>
      <c r="AK17" s="147" t="n">
        <f aca="false">AK10*AVERAGE($D17,$E17)/365</f>
        <v>90489.9273756619</v>
      </c>
      <c r="AL17" s="147" t="n">
        <f aca="false">AL10*AVERAGE($D17,$E17)/365</f>
        <v>92752.1755600535</v>
      </c>
    </row>
    <row r="18" customFormat="false" ht="15" hidden="false" customHeight="false" outlineLevel="0" collapsed="false">
      <c r="B18" s="133"/>
      <c r="C18" s="1" t="str">
        <f aca="false">C11</f>
        <v>Fertilisers Compost</v>
      </c>
      <c r="D18" s="446" t="n">
        <f aca="false">D17</f>
        <v>20</v>
      </c>
      <c r="E18" s="446" t="n">
        <f aca="false">E17</f>
        <v>45</v>
      </c>
      <c r="H18" s="147" t="n">
        <f aca="false">H12*AVERAGE($D18,$E18)/365</f>
        <v>0</v>
      </c>
      <c r="I18" s="147" t="n">
        <f aca="false">I12*AVERAGE($D18,$E18)/365</f>
        <v>1618.39426369863</v>
      </c>
      <c r="J18" s="147" t="n">
        <f aca="false">J12*AVERAGE($D18,$E18)/365</f>
        <v>3317.70824058219</v>
      </c>
      <c r="K18" s="147" t="n">
        <f aca="false">K12*AVERAGE($D18,$E18)/365</f>
        <v>5100.97641989512</v>
      </c>
      <c r="L18" s="147" t="n">
        <f aca="false">L12*AVERAGE($D18,$E18)/365</f>
        <v>6971.33444052333</v>
      </c>
      <c r="M18" s="147" t="n">
        <f aca="false">M12*AVERAGE($D18,$E18)/365</f>
        <v>8932.02225192051</v>
      </c>
      <c r="N18" s="147" t="n">
        <f aca="false">N12*AVERAGE($D18,$E18)/365</f>
        <v>10986.3873698622</v>
      </c>
      <c r="O18" s="147" t="n">
        <f aca="false">O12*AVERAGE($D18,$E18)/365</f>
        <v>13137.8882297936</v>
      </c>
      <c r="P18" s="147" t="n">
        <f aca="false">P12*AVERAGE($D18,$E18)/365</f>
        <v>15390.0976406153</v>
      </c>
      <c r="Q18" s="147" t="n">
        <f aca="false">Q12*AVERAGE($D18,$E18)/365</f>
        <v>17746.7063418346</v>
      </c>
      <c r="R18" s="147" t="n">
        <f aca="false">R12*AVERAGE($D18,$E18)/365</f>
        <v>18190.3740003804</v>
      </c>
      <c r="S18" s="147" t="n">
        <f aca="false">S12*AVERAGE($D18,$E18)/365</f>
        <v>18645.1333503899</v>
      </c>
      <c r="T18" s="147" t="n">
        <f aca="false">T12*AVERAGE($D18,$E18)/365</f>
        <v>19111.2616841497</v>
      </c>
      <c r="U18" s="147" t="n">
        <f aca="false">U12*AVERAGE($D18,$E18)/365</f>
        <v>19589.0432262534</v>
      </c>
      <c r="V18" s="147" t="n">
        <f aca="false">V12*AVERAGE($D18,$E18)/365</f>
        <v>20078.7693069098</v>
      </c>
      <c r="W18" s="147" t="n">
        <f aca="false">W12*AVERAGE($D18,$E18)/365</f>
        <v>20580.7385395825</v>
      </c>
      <c r="X18" s="147" t="n">
        <f aca="false">X12*AVERAGE($D18,$E18)/365</f>
        <v>21095.2570030721</v>
      </c>
      <c r="Y18" s="147" t="n">
        <f aca="false">Y12*AVERAGE($D18,$E18)/365</f>
        <v>21622.6384281489</v>
      </c>
      <c r="Z18" s="147" t="n">
        <f aca="false">Z12*AVERAGE($D18,$E18)/365</f>
        <v>22163.2043888526</v>
      </c>
      <c r="AA18" s="147" t="n">
        <f aca="false">AA12*AVERAGE($D18,$E18)/365</f>
        <v>22717.2844985739</v>
      </c>
      <c r="AB18" s="147" t="n">
        <f aca="false">AB12*AVERAGE($D18,$E18)/365</f>
        <v>23285.2166110382</v>
      </c>
      <c r="AC18" s="147" t="n">
        <f aca="false">AC12*AVERAGE($D18,$E18)/365</f>
        <v>23867.3470263142</v>
      </c>
      <c r="AD18" s="147" t="n">
        <f aca="false">AD12*AVERAGE($D18,$E18)/365</f>
        <v>24464.0307019721</v>
      </c>
      <c r="AE18" s="147" t="n">
        <f aca="false">AE12*AVERAGE($D18,$E18)/365</f>
        <v>25075.6314695214</v>
      </c>
      <c r="AF18" s="147" t="n">
        <f aca="false">AF12*AVERAGE($D18,$E18)/365</f>
        <v>25702.5222562594</v>
      </c>
      <c r="AG18" s="147" t="n">
        <f aca="false">AG12*AVERAGE($D18,$E18)/365</f>
        <v>26345.0853126659</v>
      </c>
      <c r="AH18" s="147" t="n">
        <f aca="false">AH12*AVERAGE($D18,$E18)/365</f>
        <v>27003.7124454825</v>
      </c>
      <c r="AI18" s="147" t="n">
        <f aca="false">AI12*AVERAGE($D18,$E18)/365</f>
        <v>27678.8052566196</v>
      </c>
      <c r="AJ18" s="147" t="n">
        <f aca="false">AJ12*AVERAGE($D18,$E18)/365</f>
        <v>28370.7753880351</v>
      </c>
      <c r="AK18" s="147" t="n">
        <f aca="false">AK12*AVERAGE($D18,$E18)/365</f>
        <v>29080.0447727359</v>
      </c>
      <c r="AL18" s="147" t="n">
        <f aca="false">AL12*AVERAGE($D18,$E18)/365</f>
        <v>29807.0458920543</v>
      </c>
    </row>
    <row r="19" customFormat="false" ht="15" hidden="false" customHeight="false" outlineLevel="0" collapsed="false">
      <c r="C19" s="68" t="s">
        <v>724</v>
      </c>
      <c r="D19" s="274"/>
      <c r="E19" s="276"/>
      <c r="F19" s="276"/>
      <c r="G19" s="276"/>
      <c r="H19" s="439" t="n">
        <f aca="false">SUM(H16:H18)</f>
        <v>0</v>
      </c>
      <c r="I19" s="439" t="n">
        <f aca="false">SUM(I16:I18)</f>
        <v>28813.0308219178</v>
      </c>
      <c r="J19" s="439" t="n">
        <f aca="false">SUM(J16:J18)</f>
        <v>495767.251915668</v>
      </c>
      <c r="K19" s="439" t="n">
        <f aca="false">SUM(K16:K18)</f>
        <v>909860.869162564</v>
      </c>
      <c r="L19" s="439" t="n">
        <f aca="false">SUM(L16:L18)</f>
        <v>1031969.05503452</v>
      </c>
      <c r="M19" s="439" t="n">
        <f aca="false">SUM(M16:M18)</f>
        <v>1559851.19234117</v>
      </c>
      <c r="N19" s="439" t="n">
        <f aca="false">SUM(N16:N18)</f>
        <v>1600678.53671134</v>
      </c>
      <c r="O19" s="439" t="n">
        <f aca="false">SUM(O16:O18)</f>
        <v>1642572.34130481</v>
      </c>
      <c r="P19" s="439" t="n">
        <f aca="false">SUM(P16:P18)</f>
        <v>1685560.41204251</v>
      </c>
      <c r="Q19" s="439" t="n">
        <f aca="false">SUM(Q16:Q18)</f>
        <v>1729671.27860378</v>
      </c>
      <c r="R19" s="439" t="n">
        <f aca="false">SUM(R16:R18)</f>
        <v>1772913.06056887</v>
      </c>
      <c r="S19" s="439" t="n">
        <f aca="false">SUM(S16:S18)</f>
        <v>1817235.88708309</v>
      </c>
      <c r="T19" s="439" t="n">
        <f aca="false">SUM(T16:T18)</f>
        <v>1862666.78426017</v>
      </c>
      <c r="U19" s="439" t="n">
        <f aca="false">SUM(U16:U18)</f>
        <v>1909233.45386667</v>
      </c>
      <c r="V19" s="439" t="n">
        <f aca="false">SUM(V16:V18)</f>
        <v>1956964.29021334</v>
      </c>
      <c r="W19" s="439" t="n">
        <f aca="false">SUM(W16:W18)</f>
        <v>2005888.39746867</v>
      </c>
      <c r="X19" s="439" t="n">
        <f aca="false">SUM(X16:X18)</f>
        <v>2056035.60740539</v>
      </c>
      <c r="Y19" s="439" t="n">
        <f aca="false">SUM(Y16:Y18)</f>
        <v>2107436.49759052</v>
      </c>
      <c r="Z19" s="439" t="n">
        <f aca="false">SUM(Z16:Z18)</f>
        <v>2160122.41003029</v>
      </c>
      <c r="AA19" s="439" t="n">
        <f aca="false">SUM(AA16:AA18)</f>
        <v>2214125.47028105</v>
      </c>
      <c r="AB19" s="439" t="n">
        <f aca="false">SUM(AB16:AB18)</f>
        <v>2269478.60703807</v>
      </c>
      <c r="AC19" s="439" t="n">
        <f aca="false">SUM(AC16:AC18)</f>
        <v>2326215.57221402</v>
      </c>
      <c r="AD19" s="439" t="n">
        <f aca="false">SUM(AD16:AD18)</f>
        <v>2384370.96151937</v>
      </c>
      <c r="AE19" s="439" t="n">
        <f aca="false">SUM(AE16:AE18)</f>
        <v>2443980.23555736</v>
      </c>
      <c r="AF19" s="439" t="n">
        <f aca="false">SUM(AF16:AF18)</f>
        <v>2505079.74144629</v>
      </c>
      <c r="AG19" s="439" t="n">
        <f aca="false">SUM(AG16:AG18)</f>
        <v>2567706.73498245</v>
      </c>
      <c r="AH19" s="439" t="n">
        <f aca="false">SUM(AH16:AH18)</f>
        <v>2631899.40335701</v>
      </c>
      <c r="AI19" s="439" t="n">
        <f aca="false">SUM(AI16:AI18)</f>
        <v>2697696.88844093</v>
      </c>
      <c r="AJ19" s="439" t="n">
        <f aca="false">SUM(AJ16:AJ18)</f>
        <v>2765139.31065196</v>
      </c>
      <c r="AK19" s="439" t="n">
        <f aca="false">SUM(AK16:AK18)</f>
        <v>2834267.79341826</v>
      </c>
      <c r="AL19" s="439" t="n">
        <f aca="false">SUM(AL16:AL18)</f>
        <v>2905124.48825371</v>
      </c>
    </row>
    <row r="21" customFormat="false" ht="15" hidden="false" customHeight="false" outlineLevel="0" collapsed="false">
      <c r="B21" s="8" t="s">
        <v>697</v>
      </c>
      <c r="D21" s="25" t="s">
        <v>722</v>
      </c>
      <c r="E21" s="1" t="s">
        <v>723</v>
      </c>
    </row>
    <row r="22" customFormat="false" ht="15" hidden="false" customHeight="false" outlineLevel="0" collapsed="false">
      <c r="C22" s="1" t="str">
        <f aca="false">C16</f>
        <v>Refined Oil</v>
      </c>
      <c r="D22" s="445" t="n">
        <v>45</v>
      </c>
      <c r="E22" s="445" t="n">
        <v>90</v>
      </c>
      <c r="H22" s="147" t="n">
        <f aca="false">H9*AVERAGE($D22,$E22)/365</f>
        <v>0</v>
      </c>
      <c r="I22" s="147" t="n">
        <f aca="false">I9*AVERAGE($D22,$E22)/365</f>
        <v>0</v>
      </c>
      <c r="J22" s="147" t="n">
        <f aca="false">J9*AVERAGE($D22,$E22)/365</f>
        <v>964886.624036815</v>
      </c>
      <c r="K22" s="147" t="n">
        <f aca="false">K9*AVERAGE($D22,$E22)/365</f>
        <v>1780215.82134792</v>
      </c>
      <c r="L22" s="147" t="n">
        <f aca="false">L9*AVERAGE($D22,$E22)/365</f>
        <v>2027468.01875736</v>
      </c>
      <c r="M22" s="147" t="n">
        <f aca="false">M9*AVERAGE($D22,$E22)/365</f>
        <v>3117232.07883944</v>
      </c>
      <c r="N22" s="147" t="n">
        <f aca="false">N9*AVERAGE($D22,$E22)/365</f>
        <v>3195162.88081042</v>
      </c>
      <c r="O22" s="147" t="n">
        <f aca="false">O9*AVERAGE($D22,$E22)/365</f>
        <v>3275041.95283068</v>
      </c>
      <c r="P22" s="147" t="n">
        <f aca="false">P9*AVERAGE($D22,$E22)/365</f>
        <v>3356918.00165145</v>
      </c>
      <c r="Q22" s="147" t="n">
        <f aca="false">Q9*AVERAGE($D22,$E22)/365</f>
        <v>3440840.95169274</v>
      </c>
      <c r="R22" s="147" t="n">
        <f aca="false">R9*AVERAGE($D22,$E22)/365</f>
        <v>3526861.97548505</v>
      </c>
      <c r="S22" s="147" t="n">
        <f aca="false">S9*AVERAGE($D22,$E22)/365</f>
        <v>3615033.52487218</v>
      </c>
      <c r="T22" s="147" t="n">
        <f aca="false">T9*AVERAGE($D22,$E22)/365</f>
        <v>3705409.36299398</v>
      </c>
      <c r="U22" s="147" t="n">
        <f aca="false">U9*AVERAGE($D22,$E22)/365</f>
        <v>3798044.59706883</v>
      </c>
      <c r="V22" s="147" t="n">
        <f aca="false">V9*AVERAGE($D22,$E22)/365</f>
        <v>3892995.71199555</v>
      </c>
      <c r="W22" s="147" t="n">
        <f aca="false">W9*AVERAGE($D22,$E22)/365</f>
        <v>3990320.60479544</v>
      </c>
      <c r="X22" s="147" t="n">
        <f aca="false">X9*AVERAGE($D22,$E22)/365</f>
        <v>4090078.61991533</v>
      </c>
      <c r="Y22" s="147" t="n">
        <f aca="false">Y9*AVERAGE($D22,$E22)/365</f>
        <v>4192330.58541321</v>
      </c>
      <c r="Z22" s="147" t="n">
        <f aca="false">Z9*AVERAGE($D22,$E22)/365</f>
        <v>4297138.85004854</v>
      </c>
      <c r="AA22" s="147" t="n">
        <f aca="false">AA9*AVERAGE($D22,$E22)/365</f>
        <v>4404567.32129976</v>
      </c>
      <c r="AB22" s="147" t="n">
        <f aca="false">AB9*AVERAGE($D22,$E22)/365</f>
        <v>4514681.50433225</v>
      </c>
      <c r="AC22" s="147" t="n">
        <f aca="false">AC9*AVERAGE($D22,$E22)/365</f>
        <v>4627548.54194056</v>
      </c>
      <c r="AD22" s="147" t="n">
        <f aca="false">AD9*AVERAGE($D22,$E22)/365</f>
        <v>4743237.25548907</v>
      </c>
      <c r="AE22" s="147" t="n">
        <f aca="false">AE9*AVERAGE($D22,$E22)/365</f>
        <v>4861818.1868763</v>
      </c>
      <c r="AF22" s="147" t="n">
        <f aca="false">AF9*AVERAGE($D22,$E22)/365</f>
        <v>4983363.6415482</v>
      </c>
      <c r="AG22" s="147" t="n">
        <f aca="false">AG9*AVERAGE($D22,$E22)/365</f>
        <v>5107947.73258691</v>
      </c>
      <c r="AH22" s="147" t="n">
        <f aca="false">AH9*AVERAGE($D22,$E22)/365</f>
        <v>5235646.42590158</v>
      </c>
      <c r="AI22" s="147" t="n">
        <f aca="false">AI9*AVERAGE($D22,$E22)/365</f>
        <v>5366537.58654912</v>
      </c>
      <c r="AJ22" s="147" t="n">
        <f aca="false">AJ9*AVERAGE($D22,$E22)/365</f>
        <v>5500701.02621285</v>
      </c>
      <c r="AK22" s="147" t="n">
        <f aca="false">AK9*AVERAGE($D22,$E22)/365</f>
        <v>5638218.55186817</v>
      </c>
      <c r="AL22" s="147" t="n">
        <f aca="false">AL9*AVERAGE($D22,$E22)/365</f>
        <v>5779174.01566487</v>
      </c>
    </row>
    <row r="23" customFormat="false" ht="15" hidden="false" customHeight="false" outlineLevel="0" collapsed="false">
      <c r="C23" s="1" t="str">
        <f aca="false">C17</f>
        <v>Moringa Leaves</v>
      </c>
      <c r="D23" s="446" t="n">
        <f aca="false">D22</f>
        <v>45</v>
      </c>
      <c r="E23" s="446" t="n">
        <f aca="false">E22</f>
        <v>90</v>
      </c>
      <c r="H23" s="147" t="n">
        <f aca="false">H10*AVERAGE($D23,$E23)/365</f>
        <v>0</v>
      </c>
      <c r="I23" s="147" t="n">
        <f aca="false">I10*AVERAGE($D23,$E23)/365</f>
        <v>56481.1682363014</v>
      </c>
      <c r="J23" s="147" t="n">
        <f aca="false">J10*AVERAGE($D23,$E23)/365</f>
        <v>57893.1974422089</v>
      </c>
      <c r="K23" s="147" t="n">
        <f aca="false">K10*AVERAGE($D23,$E23)/365</f>
        <v>98900.8789637735</v>
      </c>
      <c r="L23" s="147" t="n">
        <f aca="false">L10*AVERAGE($D23,$E23)/365</f>
        <v>101373.400937868</v>
      </c>
      <c r="M23" s="147" t="n">
        <f aca="false">M10*AVERAGE($D23,$E23)/365</f>
        <v>103907.735961315</v>
      </c>
      <c r="N23" s="147" t="n">
        <f aca="false">N10*AVERAGE($D23,$E23)/365</f>
        <v>106505.429360347</v>
      </c>
      <c r="O23" s="147" t="n">
        <f aca="false">O10*AVERAGE($D23,$E23)/365</f>
        <v>109168.065094356</v>
      </c>
      <c r="P23" s="147" t="n">
        <f aca="false">P10*AVERAGE($D23,$E23)/365</f>
        <v>111897.266721715</v>
      </c>
      <c r="Q23" s="147" t="n">
        <f aca="false">Q10*AVERAGE($D23,$E23)/365</f>
        <v>114694.698389758</v>
      </c>
      <c r="R23" s="147" t="n">
        <f aca="false">R10*AVERAGE($D23,$E23)/365</f>
        <v>117562.065849502</v>
      </c>
      <c r="S23" s="147" t="n">
        <f aca="false">S10*AVERAGE($D23,$E23)/365</f>
        <v>120501.117495739</v>
      </c>
      <c r="T23" s="147" t="n">
        <f aca="false">T10*AVERAGE($D23,$E23)/365</f>
        <v>123513.645433133</v>
      </c>
      <c r="U23" s="147" t="n">
        <f aca="false">U10*AVERAGE($D23,$E23)/365</f>
        <v>126601.486568961</v>
      </c>
      <c r="V23" s="147" t="n">
        <f aca="false">V10*AVERAGE($D23,$E23)/365</f>
        <v>129766.523733185</v>
      </c>
      <c r="W23" s="147" t="n">
        <f aca="false">W10*AVERAGE($D23,$E23)/365</f>
        <v>133010.686826515</v>
      </c>
      <c r="X23" s="147" t="n">
        <f aca="false">X10*AVERAGE($D23,$E23)/365</f>
        <v>136335.953997178</v>
      </c>
      <c r="Y23" s="147" t="n">
        <f aca="false">Y10*AVERAGE($D23,$E23)/365</f>
        <v>139744.352847107</v>
      </c>
      <c r="Z23" s="147" t="n">
        <f aca="false">Z10*AVERAGE($D23,$E23)/365</f>
        <v>143237.961668285</v>
      </c>
      <c r="AA23" s="147" t="n">
        <f aca="false">AA10*AVERAGE($D23,$E23)/365</f>
        <v>146818.910709992</v>
      </c>
      <c r="AB23" s="147" t="n">
        <f aca="false">AB10*AVERAGE($D23,$E23)/365</f>
        <v>150489.383477742</v>
      </c>
      <c r="AC23" s="147" t="n">
        <f aca="false">AC10*AVERAGE($D23,$E23)/365</f>
        <v>154251.618064685</v>
      </c>
      <c r="AD23" s="147" t="n">
        <f aca="false">AD10*AVERAGE($D23,$E23)/365</f>
        <v>158107.908516302</v>
      </c>
      <c r="AE23" s="147" t="n">
        <f aca="false">AE10*AVERAGE($D23,$E23)/365</f>
        <v>162060.60622921</v>
      </c>
      <c r="AF23" s="147" t="n">
        <f aca="false">AF10*AVERAGE($D23,$E23)/365</f>
        <v>166112.12138494</v>
      </c>
      <c r="AG23" s="147" t="n">
        <f aca="false">AG10*AVERAGE($D23,$E23)/365</f>
        <v>170264.924419564</v>
      </c>
      <c r="AH23" s="147" t="n">
        <f aca="false">AH10*AVERAGE($D23,$E23)/365</f>
        <v>174521.547530053</v>
      </c>
      <c r="AI23" s="147" t="n">
        <f aca="false">AI10*AVERAGE($D23,$E23)/365</f>
        <v>178884.586218304</v>
      </c>
      <c r="AJ23" s="147" t="n">
        <f aca="false">AJ10*AVERAGE($D23,$E23)/365</f>
        <v>183356.700873762</v>
      </c>
      <c r="AK23" s="147" t="n">
        <f aca="false">AK10*AVERAGE($D23,$E23)/365</f>
        <v>187940.618395606</v>
      </c>
      <c r="AL23" s="147" t="n">
        <f aca="false">AL10*AVERAGE($D23,$E23)/365</f>
        <v>192639.133855496</v>
      </c>
    </row>
    <row r="24" customFormat="false" ht="15" hidden="false" customHeight="false" outlineLevel="0" collapsed="false">
      <c r="C24" s="1" t="str">
        <f aca="false">C18</f>
        <v>Fertilisers Compost</v>
      </c>
      <c r="D24" s="446" t="n">
        <f aca="false">D23</f>
        <v>45</v>
      </c>
      <c r="E24" s="446" t="n">
        <f aca="false">E23</f>
        <v>90</v>
      </c>
      <c r="H24" s="147" t="n">
        <f aca="false">H11*AVERAGE($D24,$E24)/365</f>
        <v>0</v>
      </c>
      <c r="I24" s="147" t="n">
        <f aca="false">I11*AVERAGE($D24,$E24)/365</f>
        <v>23315.2397260274</v>
      </c>
      <c r="J24" s="147" t="n">
        <f aca="false">J11*AVERAGE($D24,$E24)/365</f>
        <v>47796.2414383562</v>
      </c>
      <c r="K24" s="147" t="n">
        <f aca="false">K11*AVERAGE($D24,$E24)/365</f>
        <v>73486.7212114726</v>
      </c>
      <c r="L24" s="147" t="n">
        <f aca="false">L11*AVERAGE($D24,$E24)/365</f>
        <v>100431.852322346</v>
      </c>
      <c r="M24" s="147" t="n">
        <f aca="false">M11*AVERAGE($D24,$E24)/365</f>
        <v>128678.310788006</v>
      </c>
      <c r="N24" s="147" t="n">
        <f aca="false">N11*AVERAGE($D24,$E24)/365</f>
        <v>158274.322269247</v>
      </c>
      <c r="O24" s="147" t="n">
        <f aca="false">O11*AVERAGE($D24,$E24)/365</f>
        <v>189269.710380308</v>
      </c>
      <c r="P24" s="147" t="n">
        <f aca="false">P11*AVERAGE($D24,$E24)/365</f>
        <v>221715.946445503</v>
      </c>
      <c r="Q24" s="147" t="n">
        <f aca="false">Q11*AVERAGE($D24,$E24)/365</f>
        <v>255666.200744971</v>
      </c>
      <c r="R24" s="147" t="n">
        <f aca="false">R11*AVERAGE($D24,$E24)/365</f>
        <v>262057.855763595</v>
      </c>
      <c r="S24" s="147" t="n">
        <f aca="false">S11*AVERAGE($D24,$E24)/365</f>
        <v>268609.302157685</v>
      </c>
      <c r="T24" s="147" t="n">
        <f aca="false">T11*AVERAGE($D24,$E24)/365</f>
        <v>275324.534711627</v>
      </c>
      <c r="U24" s="147" t="n">
        <f aca="false">U11*AVERAGE($D24,$E24)/365</f>
        <v>282207.648079418</v>
      </c>
      <c r="V24" s="147" t="n">
        <f aca="false">V11*AVERAGE($D24,$E24)/365</f>
        <v>289262.839281403</v>
      </c>
      <c r="W24" s="147" t="n">
        <f aca="false">W11*AVERAGE($D24,$E24)/365</f>
        <v>296494.410263439</v>
      </c>
      <c r="X24" s="147" t="n">
        <f aca="false">X11*AVERAGE($D24,$E24)/365</f>
        <v>303906.770520024</v>
      </c>
      <c r="Y24" s="147" t="n">
        <f aca="false">Y11*AVERAGE($D24,$E24)/365</f>
        <v>311504.439783025</v>
      </c>
      <c r="Z24" s="147" t="n">
        <f aca="false">Z11*AVERAGE($D24,$E24)/365</f>
        <v>319292.050777601</v>
      </c>
      <c r="AA24" s="147" t="n">
        <f aca="false">AA11*AVERAGE($D24,$E24)/365</f>
        <v>327274.352047041</v>
      </c>
      <c r="AB24" s="147" t="n">
        <f aca="false">AB11*AVERAGE($D24,$E24)/365</f>
        <v>335456.210848217</v>
      </c>
      <c r="AC24" s="147" t="n">
        <f aca="false">AC11*AVERAGE($D24,$E24)/365</f>
        <v>343842.616119422</v>
      </c>
      <c r="AD24" s="147" t="n">
        <f aca="false">AD11*AVERAGE($D24,$E24)/365</f>
        <v>352438.681522408</v>
      </c>
      <c r="AE24" s="147" t="n">
        <f aca="false">AE11*AVERAGE($D24,$E24)/365</f>
        <v>361249.648560468</v>
      </c>
      <c r="AF24" s="147" t="n">
        <f aca="false">AF11*AVERAGE($D24,$E24)/365</f>
        <v>370280.889774479</v>
      </c>
      <c r="AG24" s="147" t="n">
        <f aca="false">AG11*AVERAGE($D24,$E24)/365</f>
        <v>379537.912018841</v>
      </c>
      <c r="AH24" s="147" t="n">
        <f aca="false">AH11*AVERAGE($D24,$E24)/365</f>
        <v>389026.359819312</v>
      </c>
      <c r="AI24" s="147" t="n">
        <f aca="false">AI11*AVERAGE($D24,$E24)/365</f>
        <v>398752.018814795</v>
      </c>
      <c r="AJ24" s="147" t="n">
        <f aca="false">AJ11*AVERAGE($D24,$E24)/365</f>
        <v>408720.819285165</v>
      </c>
      <c r="AK24" s="147" t="n">
        <f aca="false">AK11*AVERAGE($D24,$E24)/365</f>
        <v>418938.839767294</v>
      </c>
      <c r="AL24" s="147" t="n">
        <f aca="false">AL11*AVERAGE($D24,$E24)/365</f>
        <v>429412.310761477</v>
      </c>
    </row>
    <row r="25" customFormat="false" ht="15" hidden="false" customHeight="false" outlineLevel="0" collapsed="false">
      <c r="B25" s="133"/>
      <c r="C25" s="1" t="s">
        <v>725</v>
      </c>
      <c r="D25" s="274"/>
      <c r="E25" s="274"/>
      <c r="H25" s="147" t="n">
        <f aca="false">'5.3 Cost Build - Productive'!H129</f>
        <v>0</v>
      </c>
      <c r="I25" s="147" t="n">
        <f aca="false">'5.3 Cost Build - Productive'!I129</f>
        <v>27674.955</v>
      </c>
      <c r="J25" s="147" t="n">
        <f aca="false">'5.3 Cost Build - Productive'!J129</f>
        <v>58117.4055</v>
      </c>
      <c r="K25" s="147" t="n">
        <f aca="false">'5.3 Cost Build - Productive'!K129</f>
        <v>91534.9136625</v>
      </c>
      <c r="L25" s="147" t="n">
        <f aca="false">'5.3 Cost Build - Productive'!L129</f>
        <v>128148.8791275</v>
      </c>
      <c r="M25" s="147" t="n">
        <f aca="false">'5.3 Cost Build - Productive'!M129</f>
        <v>168195.403854844</v>
      </c>
      <c r="N25" s="147" t="n">
        <f aca="false">'5.3 Cost Build - Productive'!N129</f>
        <v>211926.208857103</v>
      </c>
      <c r="O25" s="147" t="n">
        <f aca="false">'5.3 Cost Build - Productive'!O129</f>
        <v>259609.605849951</v>
      </c>
      <c r="P25" s="147" t="n">
        <f aca="false">'5.3 Cost Build - Productive'!P129</f>
        <v>311531.527019942</v>
      </c>
      <c r="Q25" s="147" t="n">
        <f aca="false">'5.3 Cost Build - Productive'!Q129</f>
        <v>367996.616292306</v>
      </c>
      <c r="R25" s="147" t="n">
        <f aca="false">'5.3 Cost Build - Productive'!R129</f>
        <v>386396.447106921</v>
      </c>
      <c r="S25" s="147" t="n">
        <f aca="false">'5.3 Cost Build - Productive'!S129</f>
        <v>405716.269462267</v>
      </c>
      <c r="T25" s="147" t="n">
        <f aca="false">'5.3 Cost Build - Productive'!T129</f>
        <v>426002.082935381</v>
      </c>
      <c r="U25" s="147" t="n">
        <f aca="false">'5.3 Cost Build - Productive'!U129</f>
        <v>447302.18708215</v>
      </c>
      <c r="V25" s="147" t="n">
        <f aca="false">'5.3 Cost Build - Productive'!V129</f>
        <v>469667.296436257</v>
      </c>
      <c r="W25" s="147" t="n">
        <f aca="false">'5.3 Cost Build - Productive'!W129</f>
        <v>493150.66125807</v>
      </c>
      <c r="X25" s="147" t="n">
        <f aca="false">'5.3 Cost Build - Productive'!X129</f>
        <v>517808.194320974</v>
      </c>
      <c r="Y25" s="147" t="n">
        <f aca="false">'5.3 Cost Build - Productive'!Y129</f>
        <v>543698.604037023</v>
      </c>
      <c r="Z25" s="147" t="n">
        <f aca="false">'5.3 Cost Build - Productive'!Z129</f>
        <v>570883.534238874</v>
      </c>
      <c r="AA25" s="147" t="n">
        <f aca="false">'5.3 Cost Build - Productive'!AA129</f>
        <v>599427.710950817</v>
      </c>
      <c r="AB25" s="147" t="n">
        <f aca="false">'5.3 Cost Build - Productive'!AB129</f>
        <v>629399.096498358</v>
      </c>
      <c r="AC25" s="147" t="n">
        <f aca="false">'5.3 Cost Build - Productive'!AC129</f>
        <v>660869.051323276</v>
      </c>
      <c r="AD25" s="147" t="n">
        <f aca="false">'5.3 Cost Build - Productive'!AD129</f>
        <v>693912.50388944</v>
      </c>
      <c r="AE25" s="147" t="n">
        <f aca="false">'5.3 Cost Build - Productive'!AE129</f>
        <v>728608.129083912</v>
      </c>
      <c r="AF25" s="147" t="n">
        <f aca="false">'5.3 Cost Build - Productive'!AF129</f>
        <v>765038.535538107</v>
      </c>
      <c r="AG25" s="147" t="n">
        <f aca="false">'5.3 Cost Build - Productive'!AG129</f>
        <v>803290.462315013</v>
      </c>
      <c r="AH25" s="147" t="n">
        <f aca="false">'5.3 Cost Build - Productive'!AH129</f>
        <v>843454.985430764</v>
      </c>
      <c r="AI25" s="147" t="n">
        <f aca="false">'5.3 Cost Build - Productive'!AI129</f>
        <v>885627.734702302</v>
      </c>
      <c r="AJ25" s="147" t="n">
        <f aca="false">'5.3 Cost Build - Productive'!AJ129</f>
        <v>929909.121437417</v>
      </c>
      <c r="AK25" s="147" t="n">
        <f aca="false">'5.3 Cost Build - Productive'!AK129</f>
        <v>976404.577509287</v>
      </c>
      <c r="AL25" s="147" t="n">
        <f aca="false">'5.3 Cost Build - Productive'!AL129</f>
        <v>1025224.80638475</v>
      </c>
    </row>
    <row r="26" customFormat="false" ht="15" hidden="false" customHeight="false" outlineLevel="0" collapsed="false">
      <c r="C26" s="68" t="s">
        <v>726</v>
      </c>
      <c r="D26" s="274"/>
      <c r="E26" s="276"/>
      <c r="F26" s="276"/>
      <c r="G26" s="276"/>
      <c r="H26" s="439" t="n">
        <f aca="false">SUM(H22:H25)</f>
        <v>0</v>
      </c>
      <c r="I26" s="439" t="n">
        <f aca="false">SUM(I22:I25)</f>
        <v>107471.362962329</v>
      </c>
      <c r="J26" s="439" t="n">
        <f aca="false">SUM(J22:J25)</f>
        <v>1128693.46841738</v>
      </c>
      <c r="K26" s="439" t="n">
        <f aca="false">SUM(K22:K25)</f>
        <v>2044138.33518567</v>
      </c>
      <c r="L26" s="439" t="n">
        <f aca="false">SUM(L22:L25)</f>
        <v>2357422.15114507</v>
      </c>
      <c r="M26" s="439" t="n">
        <f aca="false">SUM(M22:M25)</f>
        <v>3518013.5294436</v>
      </c>
      <c r="N26" s="439" t="n">
        <f aca="false">SUM(N22:N25)</f>
        <v>3671868.84129712</v>
      </c>
      <c r="O26" s="439" t="n">
        <f aca="false">SUM(O22:O25)</f>
        <v>3833089.3341553</v>
      </c>
      <c r="P26" s="439" t="n">
        <f aca="false">SUM(P22:P25)</f>
        <v>4002062.74183861</v>
      </c>
      <c r="Q26" s="439" t="n">
        <f aca="false">SUM(Q22:Q25)</f>
        <v>4179198.46711977</v>
      </c>
      <c r="R26" s="439" t="n">
        <f aca="false">SUM(R22:R25)</f>
        <v>4292878.34420507</v>
      </c>
      <c r="S26" s="439" t="n">
        <f aca="false">SUM(S22:S25)</f>
        <v>4409860.21398787</v>
      </c>
      <c r="T26" s="439" t="n">
        <f aca="false">SUM(T22:T25)</f>
        <v>4530249.62607413</v>
      </c>
      <c r="U26" s="439" t="n">
        <f aca="false">SUM(U22:U25)</f>
        <v>4654155.91879936</v>
      </c>
      <c r="V26" s="439" t="n">
        <f aca="false">SUM(V22:V25)</f>
        <v>4781692.3714464</v>
      </c>
      <c r="W26" s="439" t="n">
        <f aca="false">SUM(W22:W25)</f>
        <v>4912976.36314347</v>
      </c>
      <c r="X26" s="439" t="n">
        <f aca="false">SUM(X22:X25)</f>
        <v>5048129.53875351</v>
      </c>
      <c r="Y26" s="439" t="n">
        <f aca="false">SUM(Y22:Y25)</f>
        <v>5187277.98208037</v>
      </c>
      <c r="Z26" s="439" t="n">
        <f aca="false">SUM(Z22:Z25)</f>
        <v>5330552.3967333</v>
      </c>
      <c r="AA26" s="439" t="n">
        <f aca="false">SUM(AA22:AA25)</f>
        <v>5478088.2950076</v>
      </c>
      <c r="AB26" s="439" t="n">
        <f aca="false">SUM(AB22:AB25)</f>
        <v>5630026.19515656</v>
      </c>
      <c r="AC26" s="439" t="n">
        <f aca="false">SUM(AC22:AC25)</f>
        <v>5786511.82744794</v>
      </c>
      <c r="AD26" s="439" t="n">
        <f aca="false">SUM(AD22:AD25)</f>
        <v>5947696.34941722</v>
      </c>
      <c r="AE26" s="439" t="n">
        <f aca="false">SUM(AE22:AE25)</f>
        <v>6113736.57074989</v>
      </c>
      <c r="AF26" s="439" t="n">
        <f aca="false">SUM(AF22:AF25)</f>
        <v>6284795.18824573</v>
      </c>
      <c r="AG26" s="439" t="n">
        <f aca="false">SUM(AG22:AG25)</f>
        <v>6461041.03134033</v>
      </c>
      <c r="AH26" s="439" t="n">
        <f aca="false">SUM(AH22:AH25)</f>
        <v>6642649.31868171</v>
      </c>
      <c r="AI26" s="439" t="n">
        <f aca="false">SUM(AI22:AI25)</f>
        <v>6829801.92628452</v>
      </c>
      <c r="AJ26" s="439" t="n">
        <f aca="false">SUM(AJ22:AJ25)</f>
        <v>7022687.66780919</v>
      </c>
      <c r="AK26" s="439" t="n">
        <f aca="false">SUM(AK22:AK25)</f>
        <v>7221502.58754035</v>
      </c>
      <c r="AL26" s="439" t="n">
        <f aca="false">SUM(AL22:AL25)</f>
        <v>7426450.2666666</v>
      </c>
    </row>
    <row r="28" customFormat="false" ht="15" hidden="false" customHeight="false" outlineLevel="0" collapsed="false">
      <c r="B28" s="8" t="s">
        <v>706</v>
      </c>
      <c r="D28" s="25" t="s">
        <v>722</v>
      </c>
      <c r="E28" s="1" t="s">
        <v>723</v>
      </c>
    </row>
    <row r="29" customFormat="false" ht="15" hidden="false" customHeight="false" outlineLevel="0" collapsed="false">
      <c r="C29" s="1" t="s">
        <v>727</v>
      </c>
      <c r="D29" s="445" t="n">
        <v>0</v>
      </c>
      <c r="E29" s="445" t="n">
        <v>5</v>
      </c>
      <c r="H29" s="147" t="n">
        <f aca="false">H13*AVERAGE($D29,$E29)/365</f>
        <v>5589.04109589041</v>
      </c>
      <c r="I29" s="147" t="n">
        <f aca="false">I13*AVERAGE($D29,$E29)/365</f>
        <v>9121.31506849315</v>
      </c>
      <c r="J29" s="147" t="n">
        <f aca="false">J13*AVERAGE($D29,$E29)/365</f>
        <v>9303.74136986301</v>
      </c>
      <c r="K29" s="147" t="n">
        <f aca="false">K13*AVERAGE($D29,$E29)/365</f>
        <v>9489.81619726027</v>
      </c>
      <c r="L29" s="147" t="n">
        <f aca="false">L13*AVERAGE($D29,$E29)/365</f>
        <v>9679.61252120548</v>
      </c>
      <c r="M29" s="147" t="n">
        <f aca="false">M13*AVERAGE($D29,$E29)/365</f>
        <v>9873.20477162959</v>
      </c>
      <c r="N29" s="147" t="n">
        <f aca="false">N13*AVERAGE($D29,$E29)/365</f>
        <v>10070.6688670622</v>
      </c>
      <c r="O29" s="147" t="n">
        <f aca="false">O13*AVERAGE($D29,$E29)/365</f>
        <v>10272.0822444034</v>
      </c>
      <c r="P29" s="147" t="n">
        <f aca="false">P13*AVERAGE($D29,$E29)/365</f>
        <v>0</v>
      </c>
      <c r="Q29" s="147" t="n">
        <f aca="false">Q13*AVERAGE($D29,$E29)/365</f>
        <v>0</v>
      </c>
      <c r="R29" s="147" t="n">
        <f aca="false">R13*AVERAGE($D29,$E29)/365</f>
        <v>0</v>
      </c>
      <c r="S29" s="147" t="n">
        <f aca="false">S13*AVERAGE($D29,$E29)/365</f>
        <v>0</v>
      </c>
      <c r="T29" s="147" t="n">
        <f aca="false">T13*AVERAGE($D29,$E29)/365</f>
        <v>0</v>
      </c>
      <c r="U29" s="147" t="n">
        <f aca="false">U13*AVERAGE($D29,$E29)/365</f>
        <v>0</v>
      </c>
      <c r="V29" s="147" t="n">
        <f aca="false">V13*AVERAGE($D29,$E29)/365</f>
        <v>0</v>
      </c>
      <c r="W29" s="147" t="n">
        <f aca="false">W13*AVERAGE($D29,$E29)/365</f>
        <v>0</v>
      </c>
      <c r="X29" s="147" t="n">
        <f aca="false">X13*AVERAGE($D29,$E29)/365</f>
        <v>0</v>
      </c>
      <c r="Y29" s="147" t="n">
        <f aca="false">Y13*AVERAGE($D29,$E29)/365</f>
        <v>0</v>
      </c>
      <c r="Z29" s="147" t="n">
        <f aca="false">Z13*AVERAGE($D29,$E29)/365</f>
        <v>0</v>
      </c>
      <c r="AA29" s="147" t="n">
        <f aca="false">AA13*AVERAGE($D29,$E29)/365</f>
        <v>0</v>
      </c>
      <c r="AB29" s="147" t="n">
        <f aca="false">AB13*AVERAGE($D29,$E29)/365</f>
        <v>0</v>
      </c>
      <c r="AC29" s="147" t="n">
        <f aca="false">AC13*AVERAGE($D29,$E29)/365</f>
        <v>0</v>
      </c>
      <c r="AD29" s="147" t="n">
        <f aca="false">AD13*AVERAGE($D29,$E29)/365</f>
        <v>0</v>
      </c>
      <c r="AE29" s="147" t="n">
        <f aca="false">AE13*AVERAGE($D29,$E29)/365</f>
        <v>0</v>
      </c>
      <c r="AF29" s="147" t="n">
        <f aca="false">AF13*AVERAGE($D29,$E29)/365</f>
        <v>0</v>
      </c>
      <c r="AG29" s="147" t="n">
        <f aca="false">AG13*AVERAGE($D29,$E29)/365</f>
        <v>0</v>
      </c>
      <c r="AH29" s="147" t="n">
        <f aca="false">AH13*AVERAGE($D29,$E29)/365</f>
        <v>0</v>
      </c>
      <c r="AI29" s="147" t="n">
        <f aca="false">AI13*AVERAGE($D29,$E29)/365</f>
        <v>0</v>
      </c>
      <c r="AJ29" s="147" t="n">
        <f aca="false">AJ13*AVERAGE($D29,$E29)/365</f>
        <v>0</v>
      </c>
      <c r="AK29" s="147" t="n">
        <f aca="false">AK13*AVERAGE($D29,$E29)/365</f>
        <v>0</v>
      </c>
      <c r="AL29" s="147" t="n">
        <f aca="false">AL13*AVERAGE($D29,$E29)/365</f>
        <v>0</v>
      </c>
    </row>
    <row r="30" customFormat="false" ht="15" hidden="false" customHeight="false" outlineLevel="0" collapsed="false">
      <c r="C30" s="1" t="s">
        <v>728</v>
      </c>
      <c r="H30" s="130" t="n">
        <f aca="false">H25</f>
        <v>0</v>
      </c>
      <c r="I30" s="130" t="n">
        <f aca="false">I25</f>
        <v>27674.955</v>
      </c>
      <c r="J30" s="130" t="n">
        <f aca="false">J25</f>
        <v>58117.4055</v>
      </c>
      <c r="K30" s="130" t="n">
        <f aca="false">K25</f>
        <v>91534.9136625</v>
      </c>
      <c r="L30" s="130" t="n">
        <f aca="false">L25</f>
        <v>128148.8791275</v>
      </c>
      <c r="M30" s="130" t="n">
        <f aca="false">M25</f>
        <v>168195.403854844</v>
      </c>
      <c r="N30" s="130" t="n">
        <f aca="false">N25</f>
        <v>211926.208857103</v>
      </c>
      <c r="O30" s="130" t="n">
        <f aca="false">O25</f>
        <v>259609.605849951</v>
      </c>
      <c r="P30" s="130" t="n">
        <f aca="false">P25</f>
        <v>311531.527019942</v>
      </c>
      <c r="Q30" s="130" t="n">
        <f aca="false">Q25</f>
        <v>367996.616292306</v>
      </c>
      <c r="R30" s="130" t="n">
        <f aca="false">R25</f>
        <v>386396.447106921</v>
      </c>
      <c r="S30" s="130" t="n">
        <f aca="false">S25</f>
        <v>405716.269462267</v>
      </c>
      <c r="T30" s="130" t="n">
        <f aca="false">T25</f>
        <v>426002.082935381</v>
      </c>
      <c r="U30" s="130" t="n">
        <f aca="false">U25</f>
        <v>447302.18708215</v>
      </c>
      <c r="V30" s="130" t="n">
        <f aca="false">V25</f>
        <v>469667.296436257</v>
      </c>
      <c r="W30" s="130" t="n">
        <f aca="false">W25</f>
        <v>493150.66125807</v>
      </c>
      <c r="X30" s="130" t="n">
        <f aca="false">X25</f>
        <v>517808.194320974</v>
      </c>
      <c r="Y30" s="130" t="n">
        <f aca="false">Y25</f>
        <v>543698.604037023</v>
      </c>
      <c r="Z30" s="130" t="n">
        <f aca="false">Z25</f>
        <v>570883.534238874</v>
      </c>
      <c r="AA30" s="130" t="n">
        <f aca="false">AA25</f>
        <v>599427.710950817</v>
      </c>
      <c r="AB30" s="130" t="n">
        <f aca="false">AB25</f>
        <v>629399.096498358</v>
      </c>
      <c r="AC30" s="130" t="n">
        <f aca="false">AC25</f>
        <v>660869.051323276</v>
      </c>
      <c r="AD30" s="130" t="n">
        <f aca="false">AD25</f>
        <v>693912.50388944</v>
      </c>
      <c r="AE30" s="130" t="n">
        <f aca="false">AE25</f>
        <v>728608.129083912</v>
      </c>
      <c r="AF30" s="130" t="n">
        <f aca="false">AF25</f>
        <v>765038.535538107</v>
      </c>
      <c r="AG30" s="130" t="n">
        <f aca="false">AG25</f>
        <v>803290.462315013</v>
      </c>
      <c r="AH30" s="130" t="n">
        <f aca="false">AH25</f>
        <v>843454.985430764</v>
      </c>
      <c r="AI30" s="130" t="n">
        <f aca="false">AI25</f>
        <v>885627.734702302</v>
      </c>
      <c r="AJ30" s="130" t="n">
        <f aca="false">AJ25</f>
        <v>929909.121437417</v>
      </c>
      <c r="AK30" s="130" t="n">
        <f aca="false">AK25</f>
        <v>976404.577509287</v>
      </c>
      <c r="AL30" s="130" t="n">
        <f aca="false">AL25</f>
        <v>1025224.80638475</v>
      </c>
    </row>
    <row r="31" customFormat="false" ht="15" hidden="false" customHeight="false" outlineLevel="0" collapsed="false">
      <c r="C31" s="276" t="s">
        <v>729</v>
      </c>
      <c r="D31" s="274"/>
      <c r="E31" s="276"/>
      <c r="F31" s="276"/>
      <c r="G31" s="276"/>
      <c r="H31" s="439" t="n">
        <f aca="false">SUM(H29:H30)</f>
        <v>5589.04109589041</v>
      </c>
      <c r="I31" s="439" t="n">
        <f aca="false">SUM(I29:I30)</f>
        <v>36796.2700684932</v>
      </c>
      <c r="J31" s="439" t="n">
        <f aca="false">SUM(J29:J30)</f>
        <v>67421.146869863</v>
      </c>
      <c r="K31" s="439" t="n">
        <f aca="false">SUM(K29:K30)</f>
        <v>101024.72985976</v>
      </c>
      <c r="L31" s="439" t="n">
        <f aca="false">SUM(L29:L30)</f>
        <v>137828.491648706</v>
      </c>
      <c r="M31" s="439" t="n">
        <f aca="false">SUM(M29:M30)</f>
        <v>178068.608626473</v>
      </c>
      <c r="N31" s="439" t="n">
        <f aca="false">SUM(N29:N30)</f>
        <v>221996.877724165</v>
      </c>
      <c r="O31" s="439" t="n">
        <f aca="false">SUM(O29:O30)</f>
        <v>269881.688094355</v>
      </c>
      <c r="P31" s="439" t="n">
        <f aca="false">SUM(P29:P30)</f>
        <v>311531.527019942</v>
      </c>
      <c r="Q31" s="439" t="n">
        <f aca="false">SUM(Q29:Q30)</f>
        <v>367996.616292306</v>
      </c>
      <c r="R31" s="439" t="n">
        <f aca="false">SUM(R29:R30)</f>
        <v>386396.447106921</v>
      </c>
      <c r="S31" s="439" t="n">
        <f aca="false">SUM(S29:S30)</f>
        <v>405716.269462267</v>
      </c>
      <c r="T31" s="439" t="n">
        <f aca="false">SUM(T29:T30)</f>
        <v>426002.082935381</v>
      </c>
      <c r="U31" s="439" t="n">
        <f aca="false">SUM(U29:U30)</f>
        <v>447302.18708215</v>
      </c>
      <c r="V31" s="439" t="n">
        <f aca="false">SUM(V29:V30)</f>
        <v>469667.296436257</v>
      </c>
      <c r="W31" s="439" t="n">
        <f aca="false">SUM(W29:W30)</f>
        <v>493150.66125807</v>
      </c>
      <c r="X31" s="439" t="n">
        <f aca="false">SUM(X29:X30)</f>
        <v>517808.194320974</v>
      </c>
      <c r="Y31" s="439" t="n">
        <f aca="false">SUM(Y29:Y30)</f>
        <v>543698.604037023</v>
      </c>
      <c r="Z31" s="439" t="n">
        <f aca="false">SUM(Z29:Z30)</f>
        <v>570883.534238874</v>
      </c>
      <c r="AA31" s="439" t="n">
        <f aca="false">SUM(AA29:AA30)</f>
        <v>599427.710950817</v>
      </c>
      <c r="AB31" s="439" t="n">
        <f aca="false">SUM(AB29:AB30)</f>
        <v>629399.096498358</v>
      </c>
      <c r="AC31" s="439" t="n">
        <f aca="false">SUM(AC29:AC30)</f>
        <v>660869.051323276</v>
      </c>
      <c r="AD31" s="439" t="n">
        <f aca="false">SUM(AD29:AD30)</f>
        <v>693912.50388944</v>
      </c>
      <c r="AE31" s="439" t="n">
        <f aca="false">SUM(AE29:AE30)</f>
        <v>728608.129083912</v>
      </c>
      <c r="AF31" s="439" t="n">
        <f aca="false">SUM(AF29:AF30)</f>
        <v>765038.535538107</v>
      </c>
      <c r="AG31" s="439" t="n">
        <f aca="false">SUM(AG29:AG30)</f>
        <v>803290.462315013</v>
      </c>
      <c r="AH31" s="439" t="n">
        <f aca="false">SUM(AH29:AH30)</f>
        <v>843454.985430764</v>
      </c>
      <c r="AI31" s="439" t="n">
        <f aca="false">SUM(AI29:AI30)</f>
        <v>885627.734702302</v>
      </c>
      <c r="AJ31" s="439" t="n">
        <f aca="false">SUM(AJ29:AJ30)</f>
        <v>929909.121437417</v>
      </c>
      <c r="AK31" s="439" t="n">
        <f aca="false">SUM(AK29:AK30)</f>
        <v>976404.577509287</v>
      </c>
      <c r="AL31" s="439" t="n">
        <f aca="false">SUM(AL29:AL30)</f>
        <v>1025224.80638475</v>
      </c>
    </row>
    <row r="32" customFormat="false" ht="15" hidden="false" customHeight="false" outlineLevel="0" collapsed="false">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row>
    <row r="33" customFormat="false" ht="15" hidden="false" customHeight="false" outlineLevel="0" collapsed="false">
      <c r="B33" s="8" t="s">
        <v>730</v>
      </c>
      <c r="H33" s="146" t="n">
        <f aca="false">H19+H26-H31</f>
        <v>-5589.04109589041</v>
      </c>
      <c r="I33" s="146" t="n">
        <f aca="false">I19+I26-I31</f>
        <v>99488.1237157534</v>
      </c>
      <c r="J33" s="146" t="n">
        <f aca="false">J19+J26-J31</f>
        <v>1557039.57346318</v>
      </c>
      <c r="K33" s="146" t="n">
        <f aca="false">K19+K26-K31</f>
        <v>2852974.47448847</v>
      </c>
      <c r="L33" s="146" t="n">
        <f aca="false">L19+L26-L31</f>
        <v>3251562.71453089</v>
      </c>
      <c r="M33" s="146" t="n">
        <f aca="false">M19+M26-M31</f>
        <v>4899796.1131583</v>
      </c>
      <c r="N33" s="146" t="n">
        <f aca="false">N19+N26-N31</f>
        <v>5050550.5002843</v>
      </c>
      <c r="O33" s="146" t="n">
        <f aca="false">O19+O26-O31</f>
        <v>5205779.98736575</v>
      </c>
      <c r="P33" s="146" t="n">
        <f aca="false">P19+P26-P31</f>
        <v>5376091.62686118</v>
      </c>
      <c r="Q33" s="146" t="n">
        <f aca="false">Q19+Q26-Q31</f>
        <v>5540873.12943124</v>
      </c>
      <c r="R33" s="146" t="n">
        <f aca="false">R19+R26-R31</f>
        <v>5679394.95766702</v>
      </c>
      <c r="S33" s="146" t="n">
        <f aca="false">S19+S26-S31</f>
        <v>5821379.8316087</v>
      </c>
      <c r="T33" s="146" t="n">
        <f aca="false">T19+T26-T31</f>
        <v>5966914.32739891</v>
      </c>
      <c r="U33" s="146" t="n">
        <f aca="false">U19+U26-U31</f>
        <v>6116087.18558389</v>
      </c>
      <c r="V33" s="146" t="n">
        <f aca="false">V19+V26-V31</f>
        <v>6268989.36522348</v>
      </c>
      <c r="W33" s="146" t="n">
        <f aca="false">W19+W26-W31</f>
        <v>6425714.09935407</v>
      </c>
      <c r="X33" s="146" t="n">
        <f aca="false">X19+X26-X31</f>
        <v>6586356.95183792</v>
      </c>
      <c r="Y33" s="146" t="n">
        <f aca="false">Y19+Y26-Y31</f>
        <v>6751015.87563387</v>
      </c>
      <c r="Z33" s="146" t="n">
        <f aca="false">Z19+Z26-Z31</f>
        <v>6919791.27252472</v>
      </c>
      <c r="AA33" s="146" t="n">
        <f aca="false">AA19+AA26-AA31</f>
        <v>7092786.05433783</v>
      </c>
      <c r="AB33" s="146" t="n">
        <f aca="false">AB19+AB26-AB31</f>
        <v>7270105.70569628</v>
      </c>
      <c r="AC33" s="146" t="n">
        <f aca="false">AC19+AC26-AC31</f>
        <v>7451858.34833868</v>
      </c>
      <c r="AD33" s="146" t="n">
        <f aca="false">AD19+AD26-AD31</f>
        <v>7638154.80704715</v>
      </c>
      <c r="AE33" s="146" t="n">
        <f aca="false">AE19+AE26-AE31</f>
        <v>7829108.67722333</v>
      </c>
      <c r="AF33" s="146" t="n">
        <f aca="false">AF19+AF26-AF31</f>
        <v>8024836.39415391</v>
      </c>
      <c r="AG33" s="146" t="n">
        <f aca="false">AG19+AG26-AG31</f>
        <v>8225457.30400776</v>
      </c>
      <c r="AH33" s="146" t="n">
        <f aca="false">AH19+AH26-AH31</f>
        <v>8431093.73660795</v>
      </c>
      <c r="AI33" s="146" t="n">
        <f aca="false">AI19+AI26-AI31</f>
        <v>8641871.08002315</v>
      </c>
      <c r="AJ33" s="146" t="n">
        <f aca="false">AJ19+AJ26-AJ31</f>
        <v>8857917.85702373</v>
      </c>
      <c r="AK33" s="146" t="n">
        <f aca="false">AK19+AK26-AK31</f>
        <v>9079365.80344932</v>
      </c>
      <c r="AL33" s="146" t="n">
        <f aca="false">AL19+AL26-AL31</f>
        <v>9306349.94853556</v>
      </c>
    </row>
    <row r="34" customFormat="false" ht="15" hidden="false" customHeight="false" outlineLevel="0" collapsed="false">
      <c r="B34" s="8" t="s">
        <v>731</v>
      </c>
      <c r="H34" s="146" t="n">
        <f aca="false">H33</f>
        <v>-5589.04109589041</v>
      </c>
      <c r="I34" s="146" t="n">
        <f aca="false">I33-H33</f>
        <v>105077.164811644</v>
      </c>
      <c r="J34" s="146" t="n">
        <f aca="false">J33-I33</f>
        <v>1457551.44974743</v>
      </c>
      <c r="K34" s="146" t="n">
        <f aca="false">K33-J33</f>
        <v>1295934.90102529</v>
      </c>
      <c r="L34" s="146" t="n">
        <f aca="false">L33-K33</f>
        <v>398588.240042412</v>
      </c>
      <c r="M34" s="146" t="n">
        <f aca="false">M33-L33</f>
        <v>1648233.39862741</v>
      </c>
      <c r="N34" s="146" t="n">
        <f aca="false">N33-M33</f>
        <v>150754.387126002</v>
      </c>
      <c r="O34" s="146" t="n">
        <f aca="false">O33-N33</f>
        <v>155229.487081456</v>
      </c>
      <c r="P34" s="146" t="n">
        <f aca="false">P33-O33</f>
        <v>170311.639495423</v>
      </c>
      <c r="Q34" s="146" t="n">
        <f aca="false">Q33-P33</f>
        <v>164781.502570063</v>
      </c>
      <c r="R34" s="146" t="n">
        <f aca="false">R33-Q33</f>
        <v>138521.82823578</v>
      </c>
      <c r="S34" s="146" t="n">
        <f aca="false">S33-R33</f>
        <v>141984.873941676</v>
      </c>
      <c r="T34" s="146" t="n">
        <f aca="false">T33-S33</f>
        <v>145534.495790217</v>
      </c>
      <c r="U34" s="146" t="n">
        <f aca="false">U33-T33</f>
        <v>149172.858184972</v>
      </c>
      <c r="V34" s="146" t="n">
        <f aca="false">V33-U33</f>
        <v>152902.179639598</v>
      </c>
      <c r="W34" s="146" t="n">
        <f aca="false">W33-V33</f>
        <v>156724.734130587</v>
      </c>
      <c r="X34" s="146" t="n">
        <f aca="false">X33-W33</f>
        <v>160642.852483851</v>
      </c>
      <c r="Y34" s="146" t="n">
        <f aca="false">Y33-X33</f>
        <v>164658.923795949</v>
      </c>
      <c r="Z34" s="146" t="n">
        <f aca="false">Z33-Y33</f>
        <v>168775.396890848</v>
      </c>
      <c r="AA34" s="146" t="n">
        <f aca="false">AA33-Z33</f>
        <v>172994.781813115</v>
      </c>
      <c r="AB34" s="146" t="n">
        <f aca="false">AB33-AA33</f>
        <v>177319.651358444</v>
      </c>
      <c r="AC34" s="146" t="n">
        <f aca="false">AC33-AB33</f>
        <v>181752.642642408</v>
      </c>
      <c r="AD34" s="146" t="n">
        <f aca="false">AD33-AC33</f>
        <v>186296.458708469</v>
      </c>
      <c r="AE34" s="146" t="n">
        <f aca="false">AE33-AD33</f>
        <v>190953.870176177</v>
      </c>
      <c r="AF34" s="146" t="n">
        <f aca="false">AF33-AE33</f>
        <v>195727.716930582</v>
      </c>
      <c r="AG34" s="146" t="n">
        <f aca="false">AG33-AF33</f>
        <v>200620.909853849</v>
      </c>
      <c r="AH34" s="146" t="n">
        <f aca="false">AH33-AG33</f>
        <v>205636.432600192</v>
      </c>
      <c r="AI34" s="146" t="n">
        <f aca="false">AI33-AH33</f>
        <v>210777.343415197</v>
      </c>
      <c r="AJ34" s="146" t="n">
        <f aca="false">AJ33-AI33</f>
        <v>216046.777000582</v>
      </c>
      <c r="AK34" s="146" t="n">
        <f aca="false">AK33-AJ33</f>
        <v>221447.946425591</v>
      </c>
      <c r="AL34" s="146" t="n">
        <f aca="false">AL33-AK33</f>
        <v>226984.145086236</v>
      </c>
    </row>
    <row r="35" s="25" customFormat="true" ht="15" hidden="false" customHeight="false" outlineLevel="0" collapsed="false">
      <c r="C35" s="25" t="s">
        <v>732</v>
      </c>
      <c r="H35" s="218" t="e">
        <f aca="false">H33/'6.P&amp;L'!H10*365</f>
        <v>#DIV/0!</v>
      </c>
      <c r="I35" s="218" t="n">
        <f aca="false">I33/'6.P&amp;L'!I10*365</f>
        <v>56.6938298483448</v>
      </c>
      <c r="J35" s="218" t="n">
        <f aca="false">J33/'6.P&amp;L'!J10*365</f>
        <v>85.0639243251303</v>
      </c>
      <c r="K35" s="218" t="n">
        <f aca="false">K33/'6.P&amp;L'!K10*365</f>
        <v>86.223044745017</v>
      </c>
      <c r="L35" s="218" t="n">
        <f aca="false">L33/'6.P&amp;L'!L10*365</f>
        <v>83.3587545565628</v>
      </c>
      <c r="M35" s="218" t="n">
        <f aca="false">M33/'6.P&amp;L'!M10*365</f>
        <v>85.0240700767872</v>
      </c>
      <c r="N35" s="218" t="n">
        <f aca="false">N33/'6.P&amp;L'!N10*365</f>
        <v>82.2218749514395</v>
      </c>
      <c r="O35" s="218" t="n">
        <f aca="false">O33/'6.P&amp;L'!O10*365</f>
        <v>79.9227021728326</v>
      </c>
      <c r="P35" s="218" t="n">
        <f aca="false">P33/'6.P&amp;L'!P10*365</f>
        <v>78.2362859271547</v>
      </c>
      <c r="Q35" s="218" t="n">
        <f aca="false">Q33/'6.P&amp;L'!Q10*365</f>
        <v>75.9507406623693</v>
      </c>
      <c r="R35" s="218" t="n">
        <f aca="false">R33/'6.P&amp;L'!R10*365</f>
        <v>76.0026355774866</v>
      </c>
      <c r="S35" s="218" t="n">
        <f aca="false">S33/'6.P&amp;L'!S10*365</f>
        <v>76.0543477930669</v>
      </c>
      <c r="T35" s="218" t="n">
        <f aca="false">T33/'6.P&amp;L'!T10*365</f>
        <v>76.1058776572152</v>
      </c>
      <c r="U35" s="218" t="n">
        <f aca="false">U33/'6.P&amp;L'!U10*365</f>
        <v>76.1572255199311</v>
      </c>
      <c r="V35" s="218" t="n">
        <f aca="false">V33/'6.P&amp;L'!V10*365</f>
        <v>76.2083917330825</v>
      </c>
      <c r="W35" s="218" t="n">
        <f aca="false">W33/'6.P&amp;L'!W10*365</f>
        <v>76.2593766503804</v>
      </c>
      <c r="X35" s="218" t="n">
        <f aca="false">X33/'6.P&amp;L'!X10*365</f>
        <v>76.3101806273536</v>
      </c>
      <c r="Y35" s="218" t="n">
        <f aca="false">Y33/'6.P&amp;L'!Y10*365</f>
        <v>76.3608040213231</v>
      </c>
      <c r="Z35" s="218" t="n">
        <f aca="false">Z33/'6.P&amp;L'!Z10*365</f>
        <v>76.4112471913768</v>
      </c>
      <c r="AA35" s="218" t="n">
        <f aca="false">AA33/'6.P&amp;L'!AA10*365</f>
        <v>76.4615104983447</v>
      </c>
      <c r="AB35" s="218" t="n">
        <f aca="false">AB33/'6.P&amp;L'!AB10*365</f>
        <v>76.5115943047738</v>
      </c>
      <c r="AC35" s="218" t="n">
        <f aca="false">AC33/'6.P&amp;L'!AC10*365</f>
        <v>76.5614989749029</v>
      </c>
      <c r="AD35" s="218" t="n">
        <f aca="false">AD33/'6.P&amp;L'!AD10*365</f>
        <v>76.6112248746384</v>
      </c>
      <c r="AE35" s="218" t="n">
        <f aca="false">AE33/'6.P&amp;L'!AE10*365</f>
        <v>76.6607723715288</v>
      </c>
      <c r="AF35" s="218" t="n">
        <f aca="false">AF33/'6.P&amp;L'!AF10*365</f>
        <v>76.7101418347411</v>
      </c>
      <c r="AG35" s="218" t="n">
        <f aca="false">AG33/'6.P&amp;L'!AG10*365</f>
        <v>76.7593336350359</v>
      </c>
      <c r="AH35" s="218" t="n">
        <f aca="false">AH33/'6.P&amp;L'!AH10*365</f>
        <v>76.8083481447427</v>
      </c>
      <c r="AI35" s="218" t="n">
        <f aca="false">AI33/'6.P&amp;L'!AI10*365</f>
        <v>76.8571857377365</v>
      </c>
      <c r="AJ35" s="218" t="n">
        <f aca="false">AJ33/'6.P&amp;L'!AJ10*365</f>
        <v>76.9058467894132</v>
      </c>
      <c r="AK35" s="218" t="n">
        <f aca="false">AK33/'6.P&amp;L'!AK10*365</f>
        <v>76.9543316766659</v>
      </c>
      <c r="AL35" s="218" t="n">
        <f aca="false">AL33/'6.P&amp;L'!AL10*365</f>
        <v>77.0026407778607</v>
      </c>
    </row>
    <row r="36" customFormat="false" ht="15" hidden="false" customHeight="false" outlineLevel="0" collapsed="false">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row>
    <row r="37" customFormat="false" ht="15" hidden="false" customHeight="false" outlineLevel="0" collapsed="false">
      <c r="B37" s="8" t="s">
        <v>733</v>
      </c>
    </row>
    <row r="38" customFormat="false" ht="15" hidden="false" customHeight="false" outlineLevel="0" collapsed="false">
      <c r="C38" s="1" t="s">
        <v>734</v>
      </c>
      <c r="H38" s="147" t="n">
        <f aca="false">0</f>
        <v>0</v>
      </c>
      <c r="I38" s="147" t="n">
        <f aca="false">H41</f>
        <v>-3000000</v>
      </c>
      <c r="J38" s="147" t="n">
        <f aca="false">I41</f>
        <v>-5000000</v>
      </c>
      <c r="K38" s="147" t="n">
        <f aca="false">J41</f>
        <v>-7200000</v>
      </c>
      <c r="L38" s="147" t="n">
        <f aca="false">K41</f>
        <v>-6950000</v>
      </c>
      <c r="M38" s="147" t="n">
        <f aca="false">L41</f>
        <v>-5830000</v>
      </c>
      <c r="N38" s="147" t="n">
        <f aca="false">M41</f>
        <v>-4430000</v>
      </c>
      <c r="O38" s="147" t="n">
        <f aca="false">N41</f>
        <v>-3010000</v>
      </c>
      <c r="P38" s="147" t="n">
        <f aca="false">O41</f>
        <v>-1010000</v>
      </c>
      <c r="Q38" s="147" t="n">
        <f aca="false">P41</f>
        <v>2000000</v>
      </c>
      <c r="R38" s="147" t="n">
        <f aca="false">Q41</f>
        <v>2000000</v>
      </c>
      <c r="S38" s="147" t="n">
        <f aca="false">R41</f>
        <v>2000000</v>
      </c>
      <c r="T38" s="147" t="n">
        <f aca="false">S41</f>
        <v>2000000</v>
      </c>
      <c r="U38" s="147" t="n">
        <f aca="false">T41</f>
        <v>2000000</v>
      </c>
      <c r="V38" s="147" t="n">
        <f aca="false">U41</f>
        <v>2000000</v>
      </c>
      <c r="W38" s="147" t="n">
        <f aca="false">V41</f>
        <v>2000000</v>
      </c>
      <c r="X38" s="147" t="n">
        <f aca="false">W41</f>
        <v>2000000</v>
      </c>
      <c r="Y38" s="147" t="n">
        <f aca="false">X41</f>
        <v>2000000</v>
      </c>
      <c r="Z38" s="147" t="n">
        <f aca="false">Y41</f>
        <v>2000000</v>
      </c>
      <c r="AA38" s="147" t="n">
        <f aca="false">Z41</f>
        <v>2000000</v>
      </c>
      <c r="AB38" s="147" t="n">
        <f aca="false">AA41</f>
        <v>2000000</v>
      </c>
      <c r="AC38" s="147" t="n">
        <f aca="false">AB41</f>
        <v>1999999.99999999</v>
      </c>
      <c r="AD38" s="147" t="n">
        <f aca="false">AC41</f>
        <v>2000000</v>
      </c>
      <c r="AE38" s="147" t="n">
        <f aca="false">AD41</f>
        <v>1999999.99999999</v>
      </c>
      <c r="AF38" s="147" t="n">
        <f aca="false">AE41</f>
        <v>1999999.99999999</v>
      </c>
      <c r="AG38" s="147" t="n">
        <f aca="false">AF41</f>
        <v>1999999.99999999</v>
      </c>
      <c r="AH38" s="147" t="n">
        <f aca="false">AG41</f>
        <v>1999999.99999999</v>
      </c>
      <c r="AI38" s="147" t="n">
        <f aca="false">AH41</f>
        <v>1999999.99999999</v>
      </c>
      <c r="AJ38" s="147" t="n">
        <f aca="false">AI41</f>
        <v>1999999.99999999</v>
      </c>
      <c r="AK38" s="147" t="n">
        <f aca="false">AJ41</f>
        <v>1999999.99999999</v>
      </c>
      <c r="AL38" s="147" t="n">
        <f aca="false">AK41</f>
        <v>1999999.99999999</v>
      </c>
    </row>
    <row r="39" customFormat="false" ht="15" hidden="false" customHeight="false" outlineLevel="0" collapsed="false">
      <c r="C39" s="1" t="s">
        <v>735</v>
      </c>
      <c r="H39" s="130" t="n">
        <f aca="false">'6.P&amp;L'!H8</f>
        <v>0</v>
      </c>
      <c r="I39" s="130" t="n">
        <f aca="false">'6.P&amp;L'!I8</f>
        <v>0</v>
      </c>
      <c r="J39" s="130" t="n">
        <f aca="false">'6.P&amp;L'!J8</f>
        <v>463550.88</v>
      </c>
      <c r="K39" s="130" t="n">
        <f aca="false">'6.P&amp;L'!K8</f>
        <v>859898.70048</v>
      </c>
      <c r="L39" s="130" t="n">
        <f aca="false">'6.P&amp;L'!L8</f>
        <v>1282538.0131456</v>
      </c>
      <c r="M39" s="130" t="n">
        <f aca="false">'6.P&amp;L'!M8</f>
        <v>1766908.13251942</v>
      </c>
      <c r="N39" s="130" t="n">
        <f aca="false">'6.P&amp;L'!N8</f>
        <v>2292190.27047158</v>
      </c>
      <c r="O39" s="130" t="n">
        <f aca="false">'6.P&amp;L'!O8</f>
        <v>2754272.95680522</v>
      </c>
      <c r="P39" s="130" t="n">
        <f aca="false">'6.P&amp;L'!P8</f>
        <v>3137476.54065305</v>
      </c>
      <c r="Q39" s="130" t="n">
        <f aca="false">'6.P&amp;L'!Q8</f>
        <v>3727254.70301926</v>
      </c>
      <c r="R39" s="130" t="n">
        <f aca="false">'6.P&amp;L'!R8</f>
        <v>3801799.79707965</v>
      </c>
      <c r="S39" s="130" t="n">
        <f aca="false">'6.P&amp;L'!S8</f>
        <v>3877835.79302124</v>
      </c>
      <c r="T39" s="130" t="n">
        <f aca="false">'6.P&amp;L'!T8</f>
        <v>3955392.50888167</v>
      </c>
      <c r="U39" s="130" t="n">
        <f aca="false">'6.P&amp;L'!U8</f>
        <v>4034500.3590593</v>
      </c>
      <c r="V39" s="130" t="n">
        <f aca="false">'6.P&amp;L'!V8</f>
        <v>4115190.36624049</v>
      </c>
      <c r="W39" s="130" t="n">
        <f aca="false">'6.P&amp;L'!W8</f>
        <v>4197494.1735653</v>
      </c>
      <c r="X39" s="130" t="n">
        <f aca="false">'6.P&amp;L'!X8</f>
        <v>4281444.0570366</v>
      </c>
      <c r="Y39" s="130" t="n">
        <f aca="false">'6.P&amp;L'!Y8</f>
        <v>4367072.93817733</v>
      </c>
      <c r="Z39" s="130" t="n">
        <f aca="false">'6.P&amp;L'!Z8</f>
        <v>4454414.39694088</v>
      </c>
      <c r="AA39" s="130" t="n">
        <f aca="false">'6.P&amp;L'!AA8</f>
        <v>4543502.6848797</v>
      </c>
      <c r="AB39" s="130" t="n">
        <f aca="false">'6.P&amp;L'!AB8</f>
        <v>4634372.73857729</v>
      </c>
      <c r="AC39" s="130" t="n">
        <f aca="false">'6.P&amp;L'!AC8</f>
        <v>4727060.19334884</v>
      </c>
      <c r="AD39" s="130" t="n">
        <f aca="false">'6.P&amp;L'!AD8</f>
        <v>4821601.39721581</v>
      </c>
      <c r="AE39" s="130" t="n">
        <f aca="false">'6.P&amp;L'!AE8</f>
        <v>4918033.42516013</v>
      </c>
      <c r="AF39" s="130" t="n">
        <f aca="false">'6.P&amp;L'!AF8</f>
        <v>5016394.09366334</v>
      </c>
      <c r="AG39" s="130" t="n">
        <f aca="false">'6.P&amp;L'!AG8</f>
        <v>5116721.9755366</v>
      </c>
      <c r="AH39" s="130" t="n">
        <f aca="false">'6.P&amp;L'!AH8</f>
        <v>5219056.41504733</v>
      </c>
      <c r="AI39" s="130" t="n">
        <f aca="false">'6.P&amp;L'!AI8</f>
        <v>5323437.54334828</v>
      </c>
      <c r="AJ39" s="130" t="n">
        <f aca="false">'6.P&amp;L'!AJ8</f>
        <v>5429906.29421525</v>
      </c>
      <c r="AK39" s="130" t="n">
        <f aca="false">'6.P&amp;L'!AK8</f>
        <v>5538504.42009956</v>
      </c>
      <c r="AL39" s="130" t="n">
        <f aca="false">'6.P&amp;L'!AL8</f>
        <v>5649274.50850155</v>
      </c>
    </row>
    <row r="40" s="1" customFormat="true" ht="15" hidden="false" customHeight="false" outlineLevel="0" collapsed="false">
      <c r="C40" s="1" t="s">
        <v>736</v>
      </c>
      <c r="H40" s="130" t="n">
        <f aca="false">-'4.1 Revenue Build - VCU'!H51</f>
        <v>-3000000</v>
      </c>
      <c r="I40" s="130" t="n">
        <f aca="false">-'4.1 Revenue Build - VCU'!I51</f>
        <v>-2000000</v>
      </c>
      <c r="J40" s="130" t="n">
        <f aca="false">-'4.1 Revenue Build - VCU'!J51</f>
        <v>-2663550.88</v>
      </c>
      <c r="K40" s="130" t="n">
        <f aca="false">-'4.1 Revenue Build - VCU'!K51</f>
        <v>-609898.70048</v>
      </c>
      <c r="L40" s="130" t="n">
        <f aca="false">-'4.1 Revenue Build - VCU'!L51</f>
        <v>-162538.0131456</v>
      </c>
      <c r="M40" s="130" t="n">
        <f aca="false">-'4.1 Revenue Build - VCU'!M51</f>
        <v>-366908.132519424</v>
      </c>
      <c r="N40" s="130" t="n">
        <f aca="false">-'4.1 Revenue Build - VCU'!N51</f>
        <v>-872190.270471583</v>
      </c>
      <c r="O40" s="130" t="n">
        <f aca="false">-'4.1 Revenue Build - VCU'!O51</f>
        <v>-754272.956805223</v>
      </c>
      <c r="P40" s="130" t="n">
        <f aca="false">-'4.1 Revenue Build - VCU'!P51</f>
        <v>-127476.540653047</v>
      </c>
      <c r="Q40" s="130" t="n">
        <f aca="false">-'4.1 Revenue Build - VCU'!Q51</f>
        <v>-3727254.70301926</v>
      </c>
      <c r="R40" s="130" t="n">
        <f aca="false">-'4.1 Revenue Build - VCU'!R51</f>
        <v>-3801799.79707965</v>
      </c>
      <c r="S40" s="130" t="n">
        <f aca="false">-'4.1 Revenue Build - VCU'!S51</f>
        <v>-3877835.79302124</v>
      </c>
      <c r="T40" s="130" t="n">
        <f aca="false">-'4.1 Revenue Build - VCU'!T51</f>
        <v>-3955392.50888167</v>
      </c>
      <c r="U40" s="130" t="n">
        <f aca="false">-'4.1 Revenue Build - VCU'!U51</f>
        <v>-4034500.3590593</v>
      </c>
      <c r="V40" s="130" t="n">
        <f aca="false">-'4.1 Revenue Build - VCU'!V51</f>
        <v>-4115190.36624049</v>
      </c>
      <c r="W40" s="130" t="n">
        <f aca="false">-'4.1 Revenue Build - VCU'!W51</f>
        <v>-4197494.1735653</v>
      </c>
      <c r="X40" s="130" t="n">
        <f aca="false">-'4.1 Revenue Build - VCU'!X51</f>
        <v>-4281444.0570366</v>
      </c>
      <c r="Y40" s="130" t="n">
        <f aca="false">-'4.1 Revenue Build - VCU'!Y51</f>
        <v>-4367072.93817733</v>
      </c>
      <c r="Z40" s="130" t="n">
        <f aca="false">-'4.1 Revenue Build - VCU'!Z51</f>
        <v>-4454414.39694088</v>
      </c>
      <c r="AA40" s="130" t="n">
        <f aca="false">-'4.1 Revenue Build - VCU'!AA51</f>
        <v>-4543502.6848797</v>
      </c>
      <c r="AB40" s="130" t="n">
        <f aca="false">-'4.1 Revenue Build - VCU'!AB51</f>
        <v>-4634372.73857729</v>
      </c>
      <c r="AC40" s="130" t="n">
        <f aca="false">-'4.1 Revenue Build - VCU'!AC51</f>
        <v>-4727060.19334884</v>
      </c>
      <c r="AD40" s="130" t="n">
        <f aca="false">-'4.1 Revenue Build - VCU'!AD51</f>
        <v>-4821601.39721582</v>
      </c>
      <c r="AE40" s="130" t="n">
        <f aca="false">-'4.1 Revenue Build - VCU'!AE51</f>
        <v>-4918033.42516013</v>
      </c>
      <c r="AF40" s="130" t="n">
        <f aca="false">-'4.1 Revenue Build - VCU'!AF51</f>
        <v>-5016394.09366334</v>
      </c>
      <c r="AG40" s="130" t="n">
        <f aca="false">-'4.1 Revenue Build - VCU'!AG51</f>
        <v>-5116721.9755366</v>
      </c>
      <c r="AH40" s="130" t="n">
        <f aca="false">-'4.1 Revenue Build - VCU'!AH51</f>
        <v>-5219056.41504733</v>
      </c>
      <c r="AI40" s="130" t="n">
        <f aca="false">-'4.1 Revenue Build - VCU'!AI51</f>
        <v>-5323437.54334828</v>
      </c>
      <c r="AJ40" s="130" t="n">
        <f aca="false">-'4.1 Revenue Build - VCU'!AJ51</f>
        <v>-5429906.29421525</v>
      </c>
      <c r="AK40" s="130" t="n">
        <f aca="false">-'4.1 Revenue Build - VCU'!AK51</f>
        <v>-5538504.42009955</v>
      </c>
      <c r="AL40" s="130" t="n">
        <f aca="false">-'4.1 Revenue Build - VCU'!AL51</f>
        <v>-5649274.50850154</v>
      </c>
    </row>
    <row r="41" customFormat="false" ht="15" hidden="false" customHeight="false" outlineLevel="0" collapsed="false">
      <c r="C41" s="276" t="s">
        <v>729</v>
      </c>
      <c r="D41" s="274"/>
      <c r="E41" s="276"/>
      <c r="F41" s="276"/>
      <c r="G41" s="277" t="n">
        <f aca="false">SUM(G38:G40)</f>
        <v>0</v>
      </c>
      <c r="H41" s="277" t="n">
        <f aca="false">SUM(H38:H40)</f>
        <v>-3000000</v>
      </c>
      <c r="I41" s="277" t="n">
        <f aca="false">SUM(I38:I40)</f>
        <v>-5000000</v>
      </c>
      <c r="J41" s="277" t="n">
        <f aca="false">SUM(J38:J40)</f>
        <v>-7200000</v>
      </c>
      <c r="K41" s="277" t="n">
        <f aca="false">SUM(K38:K40)</f>
        <v>-6950000</v>
      </c>
      <c r="L41" s="277" t="n">
        <f aca="false">SUM(L38:L40)</f>
        <v>-5830000</v>
      </c>
      <c r="M41" s="277" t="n">
        <f aca="false">SUM(M38:M40)</f>
        <v>-4430000</v>
      </c>
      <c r="N41" s="277" t="n">
        <f aca="false">SUM(N38:N40)</f>
        <v>-3010000</v>
      </c>
      <c r="O41" s="277" t="n">
        <f aca="false">SUM(O38:O40)</f>
        <v>-1010000</v>
      </c>
      <c r="P41" s="277" t="n">
        <f aca="false">SUM(P38:P40)</f>
        <v>2000000</v>
      </c>
      <c r="Q41" s="277" t="n">
        <f aca="false">SUM(Q38:Q40)</f>
        <v>2000000</v>
      </c>
      <c r="R41" s="277" t="n">
        <f aca="false">SUM(R38:R40)</f>
        <v>2000000</v>
      </c>
      <c r="S41" s="277" t="n">
        <f aca="false">SUM(S38:S40)</f>
        <v>2000000</v>
      </c>
      <c r="T41" s="277" t="n">
        <f aca="false">SUM(T38:T40)</f>
        <v>2000000</v>
      </c>
      <c r="U41" s="277" t="n">
        <f aca="false">SUM(U38:U40)</f>
        <v>2000000</v>
      </c>
      <c r="V41" s="277" t="n">
        <f aca="false">SUM(V38:V40)</f>
        <v>2000000</v>
      </c>
      <c r="W41" s="277" t="n">
        <f aca="false">SUM(W38:W40)</f>
        <v>2000000</v>
      </c>
      <c r="X41" s="277" t="n">
        <f aca="false">SUM(X38:X40)</f>
        <v>2000000</v>
      </c>
      <c r="Y41" s="277" t="n">
        <f aca="false">SUM(Y38:Y40)</f>
        <v>2000000</v>
      </c>
      <c r="Z41" s="277" t="n">
        <f aca="false">SUM(Z38:Z40)</f>
        <v>2000000</v>
      </c>
      <c r="AA41" s="277" t="n">
        <f aca="false">SUM(AA38:AA40)</f>
        <v>2000000</v>
      </c>
      <c r="AB41" s="277" t="n">
        <f aca="false">SUM(AB38:AB40)</f>
        <v>1999999.99999999</v>
      </c>
      <c r="AC41" s="277" t="n">
        <f aca="false">SUM(AC38:AC40)</f>
        <v>2000000</v>
      </c>
      <c r="AD41" s="277" t="n">
        <f aca="false">SUM(AD38:AD40)</f>
        <v>1999999.99999999</v>
      </c>
      <c r="AE41" s="277" t="n">
        <f aca="false">SUM(AE38:AE40)</f>
        <v>1999999.99999999</v>
      </c>
      <c r="AF41" s="277" t="n">
        <f aca="false">SUM(AF38:AF40)</f>
        <v>1999999.99999999</v>
      </c>
      <c r="AG41" s="277" t="n">
        <f aca="false">SUM(AG38:AG40)</f>
        <v>1999999.99999999</v>
      </c>
      <c r="AH41" s="277" t="n">
        <f aca="false">SUM(AH38:AH40)</f>
        <v>1999999.99999999</v>
      </c>
      <c r="AI41" s="277" t="n">
        <f aca="false">SUM(AI38:AI40)</f>
        <v>1999999.99999999</v>
      </c>
      <c r="AJ41" s="277" t="n">
        <f aca="false">SUM(AJ38:AJ40)</f>
        <v>1999999.99999999</v>
      </c>
      <c r="AK41" s="277" t="n">
        <f aca="false">SUM(AK38:AK40)</f>
        <v>1999999.99999999</v>
      </c>
      <c r="AL41" s="277" t="n">
        <f aca="false">SUM(AL38:AL40)</f>
        <v>2000000</v>
      </c>
    </row>
    <row r="42" customFormat="false" ht="15" hidden="false" customHeight="false" outlineLevel="0" collapsed="false">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row>
    <row r="43" customFormat="false" ht="15" hidden="false" customHeight="false" outlineLevel="0" collapsed="false">
      <c r="C43" s="1" t="s">
        <v>737</v>
      </c>
      <c r="H43" s="130" t="n">
        <f aca="false">IF(H41&gt;0,'9.BS Items'!H41,0)</f>
        <v>0</v>
      </c>
      <c r="I43" s="130" t="n">
        <f aca="false">IF(I41&gt;0,'9.BS Items'!I41,0)</f>
        <v>0</v>
      </c>
      <c r="J43" s="130" t="n">
        <f aca="false">IF(J41&gt;0,'9.BS Items'!J41,0)</f>
        <v>0</v>
      </c>
      <c r="K43" s="130" t="n">
        <f aca="false">IF(K41&gt;0,'9.BS Items'!K41,0)</f>
        <v>0</v>
      </c>
      <c r="L43" s="130" t="n">
        <f aca="false">IF(L41&gt;0,'9.BS Items'!L41,0)</f>
        <v>0</v>
      </c>
      <c r="M43" s="130" t="n">
        <f aca="false">IF(M41&gt;0,'9.BS Items'!M41,0)</f>
        <v>0</v>
      </c>
      <c r="N43" s="130" t="n">
        <f aca="false">IF(N41&gt;0,'9.BS Items'!N41,0)</f>
        <v>0</v>
      </c>
      <c r="O43" s="130" t="n">
        <f aca="false">IF(O41&gt;0,'9.BS Items'!O41,0)</f>
        <v>0</v>
      </c>
      <c r="P43" s="130" t="n">
        <f aca="false">IF(P41&gt;0,'9.BS Items'!P41,0)</f>
        <v>2000000</v>
      </c>
      <c r="Q43" s="130" t="n">
        <f aca="false">IF(Q41&gt;0,'9.BS Items'!Q41,0)</f>
        <v>2000000</v>
      </c>
      <c r="R43" s="130" t="n">
        <f aca="false">IF(R41&gt;0,'9.BS Items'!R41,0)</f>
        <v>2000000</v>
      </c>
      <c r="S43" s="130" t="n">
        <f aca="false">IF(S41&gt;0,'9.BS Items'!S41,0)</f>
        <v>2000000</v>
      </c>
      <c r="T43" s="130" t="n">
        <f aca="false">IF(T41&gt;0,'9.BS Items'!T41,0)</f>
        <v>2000000</v>
      </c>
      <c r="U43" s="130" t="n">
        <f aca="false">IF(U41&gt;0,'9.BS Items'!U41,0)</f>
        <v>2000000</v>
      </c>
      <c r="V43" s="130" t="n">
        <f aca="false">IF(V41&gt;0,'9.BS Items'!V41,0)</f>
        <v>2000000</v>
      </c>
      <c r="W43" s="130" t="n">
        <f aca="false">IF(W41&gt;0,'9.BS Items'!W41,0)</f>
        <v>2000000</v>
      </c>
      <c r="X43" s="130" t="n">
        <f aca="false">IF(X41&gt;0,'9.BS Items'!X41,0)</f>
        <v>2000000</v>
      </c>
      <c r="Y43" s="130" t="n">
        <f aca="false">IF(Y41&gt;0,'9.BS Items'!Y41,0)</f>
        <v>2000000</v>
      </c>
      <c r="Z43" s="130" t="n">
        <f aca="false">IF(Z41&gt;0,'9.BS Items'!Z41,0)</f>
        <v>2000000</v>
      </c>
      <c r="AA43" s="130" t="n">
        <f aca="false">IF(AA41&gt;0,'9.BS Items'!AA41,0)</f>
        <v>2000000</v>
      </c>
      <c r="AB43" s="130" t="n">
        <f aca="false">IF(AB41&gt;0,'9.BS Items'!AB41,0)</f>
        <v>1999999.99999999</v>
      </c>
      <c r="AC43" s="130" t="n">
        <f aca="false">IF(AC41&gt;0,'9.BS Items'!AC41,0)</f>
        <v>2000000</v>
      </c>
      <c r="AD43" s="130" t="n">
        <f aca="false">IF(AD41&gt;0,'9.BS Items'!AD41,0)</f>
        <v>1999999.99999999</v>
      </c>
      <c r="AE43" s="130" t="n">
        <f aca="false">IF(AE41&gt;0,'9.BS Items'!AE41,0)</f>
        <v>1999999.99999999</v>
      </c>
      <c r="AF43" s="130" t="n">
        <f aca="false">IF(AF41&gt;0,'9.BS Items'!AF41,0)</f>
        <v>1999999.99999999</v>
      </c>
      <c r="AG43" s="130" t="n">
        <f aca="false">IF(AG41&gt;0,'9.BS Items'!AG41,0)</f>
        <v>1999999.99999999</v>
      </c>
      <c r="AH43" s="130" t="n">
        <f aca="false">IF(AH41&gt;0,'9.BS Items'!AH41,0)</f>
        <v>1999999.99999999</v>
      </c>
      <c r="AI43" s="130" t="n">
        <f aca="false">IF(AI41&gt;0,'9.BS Items'!AI41,0)</f>
        <v>1999999.99999999</v>
      </c>
      <c r="AJ43" s="130" t="n">
        <f aca="false">IF(AJ41&gt;0,'9.BS Items'!AJ41,0)</f>
        <v>1999999.99999999</v>
      </c>
      <c r="AK43" s="130" t="n">
        <f aca="false">IF(AK41&gt;0,'9.BS Items'!AK41,0)</f>
        <v>1999999.99999999</v>
      </c>
      <c r="AL43" s="130" t="n">
        <f aca="false">IF(AL41&gt;0,'9.BS Items'!AL41,0)</f>
        <v>2000000</v>
      </c>
    </row>
    <row r="44" customFormat="false" ht="15" hidden="false" customHeight="false" outlineLevel="0" collapsed="false">
      <c r="C44" s="1" t="s">
        <v>738</v>
      </c>
      <c r="H44" s="130" t="n">
        <f aca="false">IF(H41&lt;0,-'9.BS Items'!H41,0)</f>
        <v>3000000</v>
      </c>
      <c r="I44" s="130" t="n">
        <f aca="false">IF(I41&lt;0,-'9.BS Items'!I41,0)</f>
        <v>5000000</v>
      </c>
      <c r="J44" s="130" t="n">
        <f aca="false">IF(J41&lt;0,-'9.BS Items'!J41,0)</f>
        <v>7200000</v>
      </c>
      <c r="K44" s="130" t="n">
        <f aca="false">IF(K41&lt;0,-'9.BS Items'!K41,0)</f>
        <v>6950000</v>
      </c>
      <c r="L44" s="130" t="n">
        <f aca="false">IF(L41&lt;0,-'9.BS Items'!L41,0)</f>
        <v>5830000</v>
      </c>
      <c r="M44" s="130" t="n">
        <f aca="false">IF(M41&lt;0,-'9.BS Items'!M41,0)</f>
        <v>4430000</v>
      </c>
      <c r="N44" s="130" t="n">
        <f aca="false">IF(N41&lt;0,-'9.BS Items'!N41,0)</f>
        <v>3010000</v>
      </c>
      <c r="O44" s="130" t="n">
        <f aca="false">IF(O41&lt;0,-'9.BS Items'!O41,0)</f>
        <v>1010000</v>
      </c>
      <c r="P44" s="130" t="n">
        <f aca="false">IF(P41&lt;0,-'9.BS Items'!P41,0)</f>
        <v>0</v>
      </c>
      <c r="Q44" s="130" t="n">
        <f aca="false">IF(Q41&lt;0,-'9.BS Items'!Q41,0)</f>
        <v>0</v>
      </c>
      <c r="R44" s="130" t="n">
        <f aca="false">IF(R41&lt;0,-'9.BS Items'!R41,0)</f>
        <v>0</v>
      </c>
      <c r="S44" s="130" t="n">
        <f aca="false">IF(S41&lt;0,-'9.BS Items'!S41,0)</f>
        <v>0</v>
      </c>
      <c r="T44" s="130" t="n">
        <f aca="false">IF(T41&lt;0,-'9.BS Items'!T41,0)</f>
        <v>0</v>
      </c>
      <c r="U44" s="130" t="n">
        <f aca="false">IF(U41&lt;0,-'9.BS Items'!U41,0)</f>
        <v>0</v>
      </c>
      <c r="V44" s="130" t="n">
        <f aca="false">IF(V41&lt;0,-'9.BS Items'!V41,0)</f>
        <v>0</v>
      </c>
      <c r="W44" s="130" t="n">
        <f aca="false">IF(W41&lt;0,-'9.BS Items'!W41,0)</f>
        <v>0</v>
      </c>
      <c r="X44" s="130" t="n">
        <f aca="false">IF(X41&lt;0,-'9.BS Items'!X41,0)</f>
        <v>0</v>
      </c>
      <c r="Y44" s="130" t="n">
        <f aca="false">IF(Y41&lt;0,-'9.BS Items'!Y41,0)</f>
        <v>0</v>
      </c>
      <c r="Z44" s="130" t="n">
        <f aca="false">IF(Z41&lt;0,-'9.BS Items'!Z41,0)</f>
        <v>0</v>
      </c>
      <c r="AA44" s="130" t="n">
        <f aca="false">IF(AA41&lt;0,-'9.BS Items'!AA41,0)</f>
        <v>0</v>
      </c>
      <c r="AB44" s="130" t="n">
        <f aca="false">IF(AB41&lt;0,-'9.BS Items'!AB41,0)</f>
        <v>0</v>
      </c>
      <c r="AC44" s="130" t="n">
        <f aca="false">IF(AC41&lt;0,-'9.BS Items'!AC41,0)</f>
        <v>0</v>
      </c>
      <c r="AD44" s="130" t="n">
        <f aca="false">IF(AD41&lt;0,-'9.BS Items'!AD41,0)</f>
        <v>0</v>
      </c>
      <c r="AE44" s="130" t="n">
        <f aca="false">IF(AE41&lt;0,-'9.BS Items'!AE41,0)</f>
        <v>0</v>
      </c>
      <c r="AF44" s="130" t="n">
        <f aca="false">IF(AF41&lt;0,-'9.BS Items'!AF41,0)</f>
        <v>0</v>
      </c>
      <c r="AG44" s="130" t="n">
        <f aca="false">IF(AG41&lt;0,-'9.BS Items'!AG41,0)</f>
        <v>0</v>
      </c>
      <c r="AH44" s="130" t="n">
        <f aca="false">IF(AH41&lt;0,-'9.BS Items'!AH41,0)</f>
        <v>0</v>
      </c>
      <c r="AI44" s="130" t="n">
        <f aca="false">IF(AI41&lt;0,-'9.BS Items'!AI41,0)</f>
        <v>0</v>
      </c>
      <c r="AJ44" s="130" t="n">
        <f aca="false">IF(AJ41&lt;0,-'9.BS Items'!AJ41,0)</f>
        <v>0</v>
      </c>
      <c r="AK44" s="130" t="n">
        <f aca="false">IF(AK41&lt;0,-'9.BS Items'!AK41,0)</f>
        <v>0</v>
      </c>
      <c r="AL44" s="130" t="n">
        <f aca="false">IF(AL41&lt;0,-'9.BS Items'!AL41,0)</f>
        <v>0</v>
      </c>
    </row>
    <row r="45" customFormat="false" ht="15" hidden="false" customHeight="false" outlineLevel="0" collapsed="false">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row>
    <row r="46" customFormat="false" ht="15" hidden="false" customHeight="false" outlineLevel="0" collapsed="false">
      <c r="B46" s="8" t="s">
        <v>699</v>
      </c>
    </row>
    <row r="47" customFormat="false" ht="15" hidden="false" customHeight="false" outlineLevel="0" collapsed="false">
      <c r="C47" s="1" t="s">
        <v>734</v>
      </c>
      <c r="H47" s="130" t="n">
        <f aca="false">0</f>
        <v>0</v>
      </c>
      <c r="I47" s="130" t="n">
        <f aca="false">H50</f>
        <v>264458.758584335</v>
      </c>
      <c r="J47" s="130" t="n">
        <f aca="false">I50</f>
        <v>479129.954753782</v>
      </c>
      <c r="K47" s="130" t="n">
        <f aca="false">J50</f>
        <v>462608.232176065</v>
      </c>
      <c r="L47" s="130" t="n">
        <f aca="false">K50</f>
        <v>446086.509598348</v>
      </c>
      <c r="M47" s="130" t="n">
        <f aca="false">L50</f>
        <v>429564.787020632</v>
      </c>
      <c r="N47" s="130" t="n">
        <f aca="false">M50</f>
        <v>413043.064442915</v>
      </c>
      <c r="O47" s="130" t="n">
        <f aca="false">N50</f>
        <v>396521.341865198</v>
      </c>
      <c r="P47" s="130" t="n">
        <f aca="false">O50</f>
        <v>379999.619287482</v>
      </c>
      <c r="Q47" s="130" t="n">
        <f aca="false">P50</f>
        <v>363477.896709765</v>
      </c>
      <c r="R47" s="130" t="n">
        <f aca="false">Q50</f>
        <v>346956.174132048</v>
      </c>
      <c r="S47" s="130" t="n">
        <f aca="false">R50</f>
        <v>330434.451554332</v>
      </c>
      <c r="T47" s="130" t="n">
        <f aca="false">S50</f>
        <v>313912.728976615</v>
      </c>
      <c r="U47" s="130" t="n">
        <f aca="false">T50</f>
        <v>297391.006398899</v>
      </c>
      <c r="V47" s="130" t="n">
        <f aca="false">U50</f>
        <v>280869.283821182</v>
      </c>
      <c r="W47" s="130" t="n">
        <f aca="false">V50</f>
        <v>264347.561243465</v>
      </c>
      <c r="X47" s="130" t="n">
        <f aca="false">W50</f>
        <v>247825.838665749</v>
      </c>
      <c r="Y47" s="130" t="n">
        <f aca="false">X50</f>
        <v>231304.116088032</v>
      </c>
      <c r="Z47" s="130" t="n">
        <f aca="false">Y50</f>
        <v>214782.393510315</v>
      </c>
      <c r="AA47" s="130" t="n">
        <f aca="false">Z50</f>
        <v>198260.670932599</v>
      </c>
      <c r="AB47" s="130" t="n">
        <f aca="false">AA50</f>
        <v>181738.948354882</v>
      </c>
      <c r="AC47" s="130" t="n">
        <f aca="false">AB50</f>
        <v>165217.225777166</v>
      </c>
      <c r="AD47" s="130" t="n">
        <f aca="false">AC50</f>
        <v>148695.503199449</v>
      </c>
      <c r="AE47" s="130" t="n">
        <f aca="false">AD50</f>
        <v>132173.780621732</v>
      </c>
      <c r="AF47" s="130" t="n">
        <f aca="false">AE50</f>
        <v>115652.058044016</v>
      </c>
      <c r="AG47" s="130" t="n">
        <f aca="false">AF50</f>
        <v>99130.3354662993</v>
      </c>
      <c r="AH47" s="130" t="n">
        <f aca="false">AG50</f>
        <v>82608.6128885827</v>
      </c>
      <c r="AI47" s="130" t="n">
        <f aca="false">AH50</f>
        <v>66086.8903108661</v>
      </c>
      <c r="AJ47" s="130" t="n">
        <f aca="false">AI50</f>
        <v>49565.1677331495</v>
      </c>
      <c r="AK47" s="130" t="n">
        <f aca="false">AJ50</f>
        <v>33043.4451554329</v>
      </c>
      <c r="AL47" s="130" t="n">
        <f aca="false">AK50</f>
        <v>16521.7225777163</v>
      </c>
    </row>
    <row r="48" customFormat="false" ht="15" hidden="false" customHeight="false" outlineLevel="0" collapsed="false">
      <c r="C48" s="1" t="s">
        <v>739</v>
      </c>
      <c r="H48" s="130" t="n">
        <f aca="false">'2. NPV'!H18</f>
        <v>280980.481162052</v>
      </c>
      <c r="I48" s="130" t="n">
        <f aca="false">'2. NPV'!I18</f>
        <v>231192.918747163</v>
      </c>
      <c r="J48" s="130" t="n">
        <f aca="false">'2. NPV'!J18</f>
        <v>0</v>
      </c>
      <c r="K48" s="130" t="n">
        <f aca="false">'2. NPV'!K18</f>
        <v>0</v>
      </c>
      <c r="L48" s="130" t="n">
        <f aca="false">'2. NPV'!L18</f>
        <v>0</v>
      </c>
      <c r="M48" s="130" t="n">
        <f aca="false">'2. NPV'!M18</f>
        <v>0</v>
      </c>
      <c r="N48" s="130" t="n">
        <f aca="false">'2. NPV'!N18</f>
        <v>0</v>
      </c>
      <c r="O48" s="130" t="n">
        <f aca="false">'2. NPV'!O18</f>
        <v>0</v>
      </c>
      <c r="P48" s="130" t="n">
        <f aca="false">'2. NPV'!P18</f>
        <v>0</v>
      </c>
      <c r="Q48" s="130" t="n">
        <f aca="false">'2. NPV'!Q18</f>
        <v>0</v>
      </c>
      <c r="R48" s="130" t="n">
        <f aca="false">'2. NPV'!R18</f>
        <v>0</v>
      </c>
      <c r="S48" s="130" t="n">
        <f aca="false">'2. NPV'!S18</f>
        <v>0</v>
      </c>
      <c r="T48" s="130" t="n">
        <f aca="false">'2. NPV'!T18</f>
        <v>0</v>
      </c>
      <c r="U48" s="130" t="n">
        <f aca="false">'2. NPV'!U18</f>
        <v>0</v>
      </c>
      <c r="V48" s="130" t="n">
        <f aca="false">'2. NPV'!V18</f>
        <v>0</v>
      </c>
      <c r="W48" s="130" t="n">
        <f aca="false">'2. NPV'!W18</f>
        <v>0</v>
      </c>
      <c r="X48" s="130" t="n">
        <f aca="false">'2. NPV'!X18</f>
        <v>0</v>
      </c>
      <c r="Y48" s="130" t="n">
        <f aca="false">'2. NPV'!Y18</f>
        <v>0</v>
      </c>
      <c r="Z48" s="130" t="n">
        <f aca="false">'2. NPV'!Z18</f>
        <v>0</v>
      </c>
      <c r="AA48" s="130" t="n">
        <f aca="false">'2. NPV'!AA18</f>
        <v>0</v>
      </c>
      <c r="AB48" s="130" t="n">
        <f aca="false">'2. NPV'!AB18</f>
        <v>0</v>
      </c>
      <c r="AC48" s="130" t="n">
        <f aca="false">'2. NPV'!AC18</f>
        <v>0</v>
      </c>
      <c r="AD48" s="130" t="n">
        <f aca="false">'2. NPV'!AD18</f>
        <v>0</v>
      </c>
      <c r="AE48" s="130" t="n">
        <f aca="false">'2. NPV'!AE18</f>
        <v>0</v>
      </c>
      <c r="AF48" s="130" t="n">
        <f aca="false">'2. NPV'!AF18</f>
        <v>0</v>
      </c>
      <c r="AG48" s="130" t="n">
        <f aca="false">'2. NPV'!AG18</f>
        <v>0</v>
      </c>
      <c r="AH48" s="130" t="n">
        <f aca="false">'2. NPV'!AH18</f>
        <v>0</v>
      </c>
      <c r="AI48" s="130" t="n">
        <f aca="false">'2. NPV'!AI18</f>
        <v>0</v>
      </c>
      <c r="AJ48" s="130" t="n">
        <f aca="false">'2. NPV'!AJ18</f>
        <v>0</v>
      </c>
      <c r="AK48" s="130" t="n">
        <f aca="false">'2. NPV'!AK18</f>
        <v>0</v>
      </c>
      <c r="AL48" s="130" t="n">
        <f aca="false">'2. NPV'!AL18</f>
        <v>0</v>
      </c>
    </row>
    <row r="49" s="1" customFormat="true" ht="15" hidden="false" customHeight="false" outlineLevel="0" collapsed="false">
      <c r="C49" s="1" t="s">
        <v>740</v>
      </c>
      <c r="H49" s="130" t="n">
        <f aca="false">-'6.P&amp;L'!H15</f>
        <v>-16521.7225777166</v>
      </c>
      <c r="I49" s="130" t="n">
        <f aca="false">-'6.P&amp;L'!I15</f>
        <v>-16521.7225777166</v>
      </c>
      <c r="J49" s="130" t="n">
        <f aca="false">-'6.P&amp;L'!J15</f>
        <v>-16521.7225777166</v>
      </c>
      <c r="K49" s="130" t="n">
        <f aca="false">-'6.P&amp;L'!K15</f>
        <v>-16521.7225777166</v>
      </c>
      <c r="L49" s="130" t="n">
        <f aca="false">-'6.P&amp;L'!L15</f>
        <v>-16521.7225777166</v>
      </c>
      <c r="M49" s="130" t="n">
        <f aca="false">-'6.P&amp;L'!M15</f>
        <v>-16521.7225777166</v>
      </c>
      <c r="N49" s="130" t="n">
        <f aca="false">-'6.P&amp;L'!N15</f>
        <v>-16521.7225777166</v>
      </c>
      <c r="O49" s="130" t="n">
        <f aca="false">-'6.P&amp;L'!O15</f>
        <v>-16521.7225777166</v>
      </c>
      <c r="P49" s="130" t="n">
        <f aca="false">-'6.P&amp;L'!P15</f>
        <v>-16521.7225777166</v>
      </c>
      <c r="Q49" s="130" t="n">
        <f aca="false">-'6.P&amp;L'!Q15</f>
        <v>-16521.7225777166</v>
      </c>
      <c r="R49" s="130" t="n">
        <f aca="false">-'6.P&amp;L'!R15</f>
        <v>-16521.7225777166</v>
      </c>
      <c r="S49" s="130" t="n">
        <f aca="false">-'6.P&amp;L'!S15</f>
        <v>-16521.7225777166</v>
      </c>
      <c r="T49" s="130" t="n">
        <f aca="false">-'6.P&amp;L'!T15</f>
        <v>-16521.7225777166</v>
      </c>
      <c r="U49" s="130" t="n">
        <f aca="false">-'6.P&amp;L'!U15</f>
        <v>-16521.7225777166</v>
      </c>
      <c r="V49" s="130" t="n">
        <f aca="false">-'6.P&amp;L'!V15</f>
        <v>-16521.7225777166</v>
      </c>
      <c r="W49" s="130" t="n">
        <f aca="false">-'6.P&amp;L'!W15</f>
        <v>-16521.7225777166</v>
      </c>
      <c r="X49" s="130" t="n">
        <f aca="false">-'6.P&amp;L'!X15</f>
        <v>-16521.7225777166</v>
      </c>
      <c r="Y49" s="130" t="n">
        <f aca="false">-'6.P&amp;L'!Y15</f>
        <v>-16521.7225777166</v>
      </c>
      <c r="Z49" s="130" t="n">
        <f aca="false">-'6.P&amp;L'!Z15</f>
        <v>-16521.7225777166</v>
      </c>
      <c r="AA49" s="130" t="n">
        <f aca="false">-'6.P&amp;L'!AA15</f>
        <v>-16521.7225777166</v>
      </c>
      <c r="AB49" s="130" t="n">
        <f aca="false">-'6.P&amp;L'!AB15</f>
        <v>-16521.7225777166</v>
      </c>
      <c r="AC49" s="130" t="n">
        <f aca="false">-'6.P&amp;L'!AC15</f>
        <v>-16521.7225777166</v>
      </c>
      <c r="AD49" s="130" t="n">
        <f aca="false">-'6.P&amp;L'!AD15</f>
        <v>-16521.7225777166</v>
      </c>
      <c r="AE49" s="130" t="n">
        <f aca="false">-'6.P&amp;L'!AE15</f>
        <v>-16521.7225777166</v>
      </c>
      <c r="AF49" s="130" t="n">
        <f aca="false">-'6.P&amp;L'!AF15</f>
        <v>-16521.7225777166</v>
      </c>
      <c r="AG49" s="130" t="n">
        <f aca="false">-'6.P&amp;L'!AG15</f>
        <v>-16521.7225777166</v>
      </c>
      <c r="AH49" s="130" t="n">
        <f aca="false">-'6.P&amp;L'!AH15</f>
        <v>-16521.7225777166</v>
      </c>
      <c r="AI49" s="130" t="n">
        <f aca="false">-'6.P&amp;L'!AI15</f>
        <v>-16521.7225777166</v>
      </c>
      <c r="AJ49" s="130" t="n">
        <f aca="false">-'6.P&amp;L'!AJ15</f>
        <v>-16521.7225777166</v>
      </c>
      <c r="AK49" s="130" t="n">
        <f aca="false">-'6.P&amp;L'!AK15</f>
        <v>-16521.7225777166</v>
      </c>
      <c r="AL49" s="130" t="n">
        <f aca="false">-'6.P&amp;L'!AL15</f>
        <v>-16521.7225777166</v>
      </c>
    </row>
    <row r="50" customFormat="false" ht="15" hidden="false" customHeight="false" outlineLevel="0" collapsed="false">
      <c r="C50" s="276" t="s">
        <v>729</v>
      </c>
      <c r="D50" s="274"/>
      <c r="E50" s="276"/>
      <c r="F50" s="276"/>
      <c r="G50" s="276"/>
      <c r="H50" s="277" t="n">
        <f aca="false">SUM(H47:H49)</f>
        <v>264458.758584335</v>
      </c>
      <c r="I50" s="277" t="n">
        <f aca="false">SUM(I47:I49)</f>
        <v>479129.954753782</v>
      </c>
      <c r="J50" s="277" t="n">
        <f aca="false">SUM(J47:J49)</f>
        <v>462608.232176065</v>
      </c>
      <c r="K50" s="277" t="n">
        <f aca="false">SUM(K47:K49)</f>
        <v>446086.509598348</v>
      </c>
      <c r="L50" s="277" t="n">
        <f aca="false">SUM(L47:L49)</f>
        <v>429564.787020632</v>
      </c>
      <c r="M50" s="277" t="n">
        <f aca="false">SUM(M47:M49)</f>
        <v>413043.064442915</v>
      </c>
      <c r="N50" s="277" t="n">
        <f aca="false">SUM(N47:N49)</f>
        <v>396521.341865198</v>
      </c>
      <c r="O50" s="277" t="n">
        <f aca="false">SUM(O47:O49)</f>
        <v>379999.619287482</v>
      </c>
      <c r="P50" s="277" t="n">
        <f aca="false">SUM(P47:P49)</f>
        <v>363477.896709765</v>
      </c>
      <c r="Q50" s="277" t="n">
        <f aca="false">SUM(Q47:Q49)</f>
        <v>346956.174132048</v>
      </c>
      <c r="R50" s="277" t="n">
        <f aca="false">SUM(R47:R49)</f>
        <v>330434.451554332</v>
      </c>
      <c r="S50" s="277" t="n">
        <f aca="false">SUM(S47:S49)</f>
        <v>313912.728976615</v>
      </c>
      <c r="T50" s="277" t="n">
        <f aca="false">SUM(T47:T49)</f>
        <v>297391.006398899</v>
      </c>
      <c r="U50" s="277" t="n">
        <f aca="false">SUM(U47:U49)</f>
        <v>280869.283821182</v>
      </c>
      <c r="V50" s="277" t="n">
        <f aca="false">SUM(V47:V49)</f>
        <v>264347.561243465</v>
      </c>
      <c r="W50" s="277" t="n">
        <f aca="false">SUM(W47:W49)</f>
        <v>247825.838665749</v>
      </c>
      <c r="X50" s="277" t="n">
        <f aca="false">SUM(X47:X49)</f>
        <v>231304.116088032</v>
      </c>
      <c r="Y50" s="277" t="n">
        <f aca="false">SUM(Y47:Y49)</f>
        <v>214782.393510315</v>
      </c>
      <c r="Z50" s="277" t="n">
        <f aca="false">SUM(Z47:Z49)</f>
        <v>198260.670932599</v>
      </c>
      <c r="AA50" s="277" t="n">
        <f aca="false">SUM(AA47:AA49)</f>
        <v>181738.948354882</v>
      </c>
      <c r="AB50" s="277" t="n">
        <f aca="false">SUM(AB47:AB49)</f>
        <v>165217.225777166</v>
      </c>
      <c r="AC50" s="277" t="n">
        <f aca="false">SUM(AC47:AC49)</f>
        <v>148695.503199449</v>
      </c>
      <c r="AD50" s="277" t="n">
        <f aca="false">SUM(AD47:AD49)</f>
        <v>132173.780621732</v>
      </c>
      <c r="AE50" s="277" t="n">
        <f aca="false">SUM(AE47:AE49)</f>
        <v>115652.058044016</v>
      </c>
      <c r="AF50" s="277" t="n">
        <f aca="false">SUM(AF47:AF49)</f>
        <v>99130.3354662993</v>
      </c>
      <c r="AG50" s="277" t="n">
        <f aca="false">SUM(AG47:AG49)</f>
        <v>82608.6128885827</v>
      </c>
      <c r="AH50" s="277" t="n">
        <f aca="false">SUM(AH47:AH49)</f>
        <v>66086.8903108661</v>
      </c>
      <c r="AI50" s="277" t="n">
        <f aca="false">SUM(AI47:AI49)</f>
        <v>49565.1677331495</v>
      </c>
      <c r="AJ50" s="277" t="n">
        <f aca="false">SUM(AJ47:AJ49)</f>
        <v>33043.4451554329</v>
      </c>
      <c r="AK50" s="277" t="n">
        <f aca="false">SUM(AK47:AK49)</f>
        <v>16521.7225777163</v>
      </c>
      <c r="AL50" s="277" t="n">
        <f aca="false">SUM(AL47:AL49)</f>
        <v>-3.56521923094988E-010</v>
      </c>
    </row>
    <row r="51" customFormat="false" ht="15" hidden="false" customHeight="false" outlineLevel="0" collapsed="false">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row>
    <row r="52" customFormat="false" ht="15" hidden="false" customHeight="false" outlineLevel="0" collapsed="false">
      <c r="C52" s="1" t="s">
        <v>741</v>
      </c>
      <c r="H52" s="130" t="n">
        <f aca="false">-I49</f>
        <v>16521.7225777166</v>
      </c>
      <c r="I52" s="130" t="n">
        <f aca="false">-J49</f>
        <v>16521.7225777166</v>
      </c>
      <c r="J52" s="130" t="n">
        <f aca="false">-K49</f>
        <v>16521.7225777166</v>
      </c>
      <c r="K52" s="130" t="n">
        <f aca="false">-L49</f>
        <v>16521.7225777166</v>
      </c>
      <c r="L52" s="130" t="n">
        <f aca="false">-M49</f>
        <v>16521.7225777166</v>
      </c>
      <c r="M52" s="130" t="n">
        <f aca="false">-N49</f>
        <v>16521.7225777166</v>
      </c>
      <c r="N52" s="130" t="n">
        <f aca="false">-O49</f>
        <v>16521.7225777166</v>
      </c>
      <c r="O52" s="130" t="n">
        <f aca="false">-P49</f>
        <v>16521.7225777166</v>
      </c>
      <c r="P52" s="130" t="n">
        <f aca="false">-Q49</f>
        <v>16521.7225777166</v>
      </c>
      <c r="Q52" s="130" t="n">
        <f aca="false">-R49</f>
        <v>16521.7225777166</v>
      </c>
      <c r="R52" s="130" t="n">
        <f aca="false">-S49</f>
        <v>16521.7225777166</v>
      </c>
      <c r="S52" s="130" t="n">
        <f aca="false">-T49</f>
        <v>16521.7225777166</v>
      </c>
      <c r="T52" s="130" t="n">
        <f aca="false">-U49</f>
        <v>16521.7225777166</v>
      </c>
      <c r="U52" s="130" t="n">
        <f aca="false">-V49</f>
        <v>16521.7225777166</v>
      </c>
      <c r="V52" s="130" t="n">
        <f aca="false">-W49</f>
        <v>16521.7225777166</v>
      </c>
      <c r="W52" s="130" t="n">
        <f aca="false">-X49</f>
        <v>16521.7225777166</v>
      </c>
      <c r="X52" s="130" t="n">
        <f aca="false">-Y49</f>
        <v>16521.7225777166</v>
      </c>
      <c r="Y52" s="130" t="n">
        <f aca="false">-Z49</f>
        <v>16521.7225777166</v>
      </c>
      <c r="Z52" s="130" t="n">
        <f aca="false">-AA49</f>
        <v>16521.7225777166</v>
      </c>
      <c r="AA52" s="130" t="n">
        <f aca="false">-AB49</f>
        <v>16521.7225777166</v>
      </c>
      <c r="AB52" s="130" t="n">
        <f aca="false">-AC49</f>
        <v>16521.7225777166</v>
      </c>
      <c r="AC52" s="130" t="n">
        <f aca="false">-AD49</f>
        <v>16521.7225777166</v>
      </c>
      <c r="AD52" s="130" t="n">
        <f aca="false">-AE49</f>
        <v>16521.7225777166</v>
      </c>
      <c r="AE52" s="130" t="n">
        <f aca="false">-AF49</f>
        <v>16521.7225777166</v>
      </c>
      <c r="AF52" s="130" t="n">
        <f aca="false">-AG49</f>
        <v>16521.7225777166</v>
      </c>
      <c r="AG52" s="130" t="n">
        <f aca="false">-AH49</f>
        <v>16521.7225777166</v>
      </c>
      <c r="AH52" s="130" t="n">
        <f aca="false">-AI49</f>
        <v>16521.7225777166</v>
      </c>
      <c r="AI52" s="130" t="n">
        <f aca="false">-AJ49</f>
        <v>16521.7225777166</v>
      </c>
      <c r="AJ52" s="130" t="n">
        <f aca="false">-AK49</f>
        <v>16521.7225777166</v>
      </c>
      <c r="AK52" s="130" t="n">
        <f aca="false">0</f>
        <v>0</v>
      </c>
      <c r="AL52" s="130" t="n">
        <f aca="false">0</f>
        <v>0</v>
      </c>
    </row>
    <row r="53" customFormat="false" ht="15" hidden="false" customHeight="false" outlineLevel="0" collapsed="false">
      <c r="C53" s="1" t="s">
        <v>742</v>
      </c>
      <c r="H53" s="130" t="n">
        <f aca="false">H50-H52</f>
        <v>247937.036006619</v>
      </c>
      <c r="I53" s="130" t="n">
        <f aca="false">I50-I52</f>
        <v>462608.232176065</v>
      </c>
      <c r="J53" s="130" t="n">
        <f aca="false">J50-J52</f>
        <v>446086.509598348</v>
      </c>
      <c r="K53" s="130" t="n">
        <f aca="false">K50-K52</f>
        <v>429564.787020632</v>
      </c>
      <c r="L53" s="130" t="n">
        <f aca="false">L50-L52</f>
        <v>413043.064442915</v>
      </c>
      <c r="M53" s="130" t="n">
        <f aca="false">M50-M52</f>
        <v>396521.341865198</v>
      </c>
      <c r="N53" s="130" t="n">
        <f aca="false">N50-N52</f>
        <v>379999.619287482</v>
      </c>
      <c r="O53" s="130" t="n">
        <f aca="false">O50-O52</f>
        <v>363477.896709765</v>
      </c>
      <c r="P53" s="130" t="n">
        <f aca="false">P50-P52</f>
        <v>346956.174132048</v>
      </c>
      <c r="Q53" s="130" t="n">
        <f aca="false">Q50-Q52</f>
        <v>330434.451554332</v>
      </c>
      <c r="R53" s="130" t="n">
        <f aca="false">R50-R52</f>
        <v>313912.728976615</v>
      </c>
      <c r="S53" s="130" t="n">
        <f aca="false">S50-S52</f>
        <v>297391.006398899</v>
      </c>
      <c r="T53" s="130" t="n">
        <f aca="false">T50-T52</f>
        <v>280869.283821182</v>
      </c>
      <c r="U53" s="130" t="n">
        <f aca="false">U50-U52</f>
        <v>264347.561243465</v>
      </c>
      <c r="V53" s="130" t="n">
        <f aca="false">V50-V52</f>
        <v>247825.838665749</v>
      </c>
      <c r="W53" s="130" t="n">
        <f aca="false">W50-W52</f>
        <v>231304.116088032</v>
      </c>
      <c r="X53" s="130" t="n">
        <f aca="false">X50-X52</f>
        <v>214782.393510315</v>
      </c>
      <c r="Y53" s="130" t="n">
        <f aca="false">Y50-Y52</f>
        <v>198260.670932599</v>
      </c>
      <c r="Z53" s="130" t="n">
        <f aca="false">Z50-Z52</f>
        <v>181738.948354882</v>
      </c>
      <c r="AA53" s="130" t="n">
        <f aca="false">AA50-AA52</f>
        <v>165217.225777166</v>
      </c>
      <c r="AB53" s="130" t="n">
        <f aca="false">AB50-AB52</f>
        <v>148695.503199449</v>
      </c>
      <c r="AC53" s="130" t="n">
        <f aca="false">AC50-AC52</f>
        <v>132173.780621732</v>
      </c>
      <c r="AD53" s="130" t="n">
        <f aca="false">AD50-AD52</f>
        <v>115652.058044016</v>
      </c>
      <c r="AE53" s="130" t="n">
        <f aca="false">AE50-AE52</f>
        <v>99130.3354662993</v>
      </c>
      <c r="AF53" s="130" t="n">
        <f aca="false">AF50-AF52</f>
        <v>82608.6128885827</v>
      </c>
      <c r="AG53" s="130" t="n">
        <f aca="false">AG50-AG52</f>
        <v>66086.8903108661</v>
      </c>
      <c r="AH53" s="130" t="n">
        <f aca="false">AH50-AH52</f>
        <v>49565.1677331495</v>
      </c>
      <c r="AI53" s="130" t="n">
        <f aca="false">AI50-AI52</f>
        <v>33043.4451554329</v>
      </c>
      <c r="AJ53" s="130" t="n">
        <f aca="false">AJ50-AJ52</f>
        <v>16521.7225777163</v>
      </c>
      <c r="AK53" s="130" t="n">
        <f aca="false">AK50-AK52</f>
        <v>16521.7225777163</v>
      </c>
      <c r="AL53" s="130" t="n">
        <f aca="false">AL50-AL52</f>
        <v>-3.56521923094988E-010</v>
      </c>
    </row>
    <row r="54" customFormat="false" ht="15" hidden="false" customHeight="false" outlineLevel="0" collapsed="false">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row>
    <row r="55" customFormat="false" ht="15" hidden="false" customHeight="false" outlineLevel="0" collapsed="false">
      <c r="B55" s="6" t="s">
        <v>743</v>
      </c>
      <c r="C55" s="6"/>
      <c r="D55" s="97" t="s">
        <v>744</v>
      </c>
      <c r="E55" s="7"/>
      <c r="F55" s="7"/>
      <c r="G55" s="7"/>
      <c r="H55" s="99" t="n">
        <f aca="false">'2. NPV'!H5</f>
        <v>2024</v>
      </c>
      <c r="I55" s="99" t="n">
        <f aca="false">'2. NPV'!I5</f>
        <v>2025</v>
      </c>
      <c r="J55" s="99" t="n">
        <f aca="false">'2. NPV'!J5</f>
        <v>2026</v>
      </c>
      <c r="K55" s="99" t="n">
        <f aca="false">'2. NPV'!K5</f>
        <v>2027</v>
      </c>
      <c r="L55" s="99" t="n">
        <f aca="false">'2. NPV'!L5</f>
        <v>2028</v>
      </c>
      <c r="M55" s="99" t="n">
        <f aca="false">'2. NPV'!M5</f>
        <v>2029</v>
      </c>
      <c r="N55" s="99" t="n">
        <f aca="false">'2. NPV'!N5</f>
        <v>2030</v>
      </c>
      <c r="O55" s="99" t="n">
        <f aca="false">'2. NPV'!O5</f>
        <v>2031</v>
      </c>
      <c r="P55" s="99" t="n">
        <f aca="false">'2. NPV'!P5</f>
        <v>2032</v>
      </c>
      <c r="Q55" s="99" t="n">
        <f aca="false">'2. NPV'!Q5</f>
        <v>2033</v>
      </c>
      <c r="R55" s="99" t="n">
        <f aca="false">'2. NPV'!R5</f>
        <v>2034</v>
      </c>
      <c r="S55" s="99" t="n">
        <f aca="false">'2. NPV'!S5</f>
        <v>2035</v>
      </c>
      <c r="T55" s="99" t="n">
        <f aca="false">'2. NPV'!T5</f>
        <v>2036</v>
      </c>
      <c r="U55" s="99" t="n">
        <f aca="false">'2. NPV'!U5</f>
        <v>2037</v>
      </c>
      <c r="V55" s="99" t="n">
        <f aca="false">'2. NPV'!V5</f>
        <v>2038</v>
      </c>
      <c r="W55" s="99" t="n">
        <f aca="false">'2. NPV'!W5</f>
        <v>2039</v>
      </c>
      <c r="X55" s="99" t="n">
        <f aca="false">'2. NPV'!X5</f>
        <v>2040</v>
      </c>
      <c r="Y55" s="99" t="n">
        <f aca="false">'2. NPV'!Y5</f>
        <v>2041</v>
      </c>
      <c r="Z55" s="99" t="n">
        <f aca="false">'2. NPV'!Z5</f>
        <v>2042</v>
      </c>
      <c r="AA55" s="99" t="n">
        <f aca="false">'2. NPV'!AA5</f>
        <v>2043</v>
      </c>
      <c r="AB55" s="99" t="n">
        <f aca="false">'2. NPV'!AB5</f>
        <v>2044</v>
      </c>
      <c r="AC55" s="99" t="n">
        <f aca="false">'2. NPV'!AC5</f>
        <v>2045</v>
      </c>
      <c r="AD55" s="99" t="n">
        <f aca="false">'2. NPV'!AD5</f>
        <v>2046</v>
      </c>
      <c r="AE55" s="99" t="n">
        <f aca="false">'2. NPV'!AE5</f>
        <v>2047</v>
      </c>
      <c r="AF55" s="99" t="n">
        <f aca="false">'2. NPV'!AF5</f>
        <v>2048</v>
      </c>
      <c r="AG55" s="99" t="n">
        <f aca="false">'2. NPV'!AG5</f>
        <v>2049</v>
      </c>
      <c r="AH55" s="99" t="n">
        <f aca="false">'2. NPV'!AH5</f>
        <v>2050</v>
      </c>
      <c r="AI55" s="99" t="n">
        <f aca="false">'2. NPV'!AI5</f>
        <v>2051</v>
      </c>
      <c r="AJ55" s="99" t="n">
        <f aca="false">'2. NPV'!AJ5</f>
        <v>2052</v>
      </c>
      <c r="AK55" s="99" t="n">
        <f aca="false">'2. NPV'!AK5</f>
        <v>2053</v>
      </c>
      <c r="AL55" s="99" t="n">
        <f aca="false">'2. NPV'!AL5</f>
        <v>2054</v>
      </c>
    </row>
    <row r="56" customFormat="false" ht="15" hidden="false" customHeight="false" outlineLevel="0" collapsed="false">
      <c r="B56" s="6"/>
      <c r="C56" s="6"/>
      <c r="D56" s="97" t="s">
        <v>745</v>
      </c>
      <c r="E56" s="6"/>
      <c r="F56" s="6"/>
      <c r="G56" s="6"/>
      <c r="H56" s="6" t="n">
        <f aca="false">+'4.1 Revenue Build - VCU'!H$7</f>
        <v>1</v>
      </c>
      <c r="I56" s="6" t="n">
        <f aca="false">+'4.1 Revenue Build - VCU'!I$7</f>
        <v>2</v>
      </c>
      <c r="J56" s="6" t="n">
        <f aca="false">+'4.1 Revenue Build - VCU'!J$7</f>
        <v>3</v>
      </c>
      <c r="K56" s="6" t="n">
        <f aca="false">+'4.1 Revenue Build - VCU'!K$7</f>
        <v>4</v>
      </c>
      <c r="L56" s="6" t="n">
        <f aca="false">+'4.1 Revenue Build - VCU'!L$7</f>
        <v>5</v>
      </c>
      <c r="M56" s="6" t="n">
        <f aca="false">+'4.1 Revenue Build - VCU'!M$7</f>
        <v>6</v>
      </c>
      <c r="N56" s="6" t="n">
        <f aca="false">+'4.1 Revenue Build - VCU'!N$7</f>
        <v>7</v>
      </c>
      <c r="O56" s="6" t="n">
        <f aca="false">+'4.1 Revenue Build - VCU'!O$7</f>
        <v>8</v>
      </c>
      <c r="P56" s="6" t="n">
        <f aca="false">+'4.1 Revenue Build - VCU'!P$7</f>
        <v>9</v>
      </c>
      <c r="Q56" s="6" t="n">
        <f aca="false">+'4.1 Revenue Build - VCU'!Q$7</f>
        <v>10</v>
      </c>
      <c r="R56" s="6" t="n">
        <f aca="false">+'4.1 Revenue Build - VCU'!R$7</f>
        <v>11</v>
      </c>
      <c r="S56" s="6" t="n">
        <f aca="false">+'4.1 Revenue Build - VCU'!S$7</f>
        <v>12</v>
      </c>
      <c r="T56" s="6" t="n">
        <f aca="false">+'4.1 Revenue Build - VCU'!T$7</f>
        <v>13</v>
      </c>
      <c r="U56" s="6" t="n">
        <f aca="false">+'4.1 Revenue Build - VCU'!U$7</f>
        <v>14</v>
      </c>
      <c r="V56" s="6" t="n">
        <f aca="false">+'4.1 Revenue Build - VCU'!V$7</f>
        <v>15</v>
      </c>
      <c r="W56" s="6" t="n">
        <f aca="false">+'4.1 Revenue Build - VCU'!W$7</f>
        <v>16</v>
      </c>
      <c r="X56" s="6" t="n">
        <f aca="false">+'4.1 Revenue Build - VCU'!X$7</f>
        <v>17</v>
      </c>
      <c r="Y56" s="6" t="n">
        <f aca="false">+'4.1 Revenue Build - VCU'!Y$7</f>
        <v>18</v>
      </c>
      <c r="Z56" s="6" t="n">
        <f aca="false">+'4.1 Revenue Build - VCU'!Z$7</f>
        <v>19</v>
      </c>
      <c r="AA56" s="6" t="n">
        <f aca="false">+'4.1 Revenue Build - VCU'!AA$7</f>
        <v>20</v>
      </c>
      <c r="AB56" s="6" t="n">
        <f aca="false">+'4.1 Revenue Build - VCU'!AB$7</f>
        <v>21</v>
      </c>
      <c r="AC56" s="6" t="n">
        <f aca="false">+'4.1 Revenue Build - VCU'!AC$7</f>
        <v>22</v>
      </c>
      <c r="AD56" s="6" t="n">
        <f aca="false">+'4.1 Revenue Build - VCU'!AD$7</f>
        <v>23</v>
      </c>
      <c r="AE56" s="6" t="n">
        <f aca="false">+'4.1 Revenue Build - VCU'!AE$7</f>
        <v>24</v>
      </c>
      <c r="AF56" s="6" t="n">
        <f aca="false">+'4.1 Revenue Build - VCU'!AF$7</f>
        <v>25</v>
      </c>
      <c r="AG56" s="6" t="n">
        <f aca="false">+'4.1 Revenue Build - VCU'!AG$7</f>
        <v>26</v>
      </c>
      <c r="AH56" s="6" t="n">
        <f aca="false">+'4.1 Revenue Build - VCU'!AH$7</f>
        <v>27</v>
      </c>
      <c r="AI56" s="6" t="n">
        <f aca="false">+'4.1 Revenue Build - VCU'!AI$7</f>
        <v>28</v>
      </c>
      <c r="AJ56" s="6" t="n">
        <f aca="false">+'4.1 Revenue Build - VCU'!AJ$7</f>
        <v>29</v>
      </c>
      <c r="AK56" s="6" t="n">
        <f aca="false">+'4.1 Revenue Build - VCU'!AK$7</f>
        <v>30</v>
      </c>
      <c r="AL56" s="6" t="n">
        <f aca="false">+'4.1 Revenue Build - VCU'!AL$7</f>
        <v>31</v>
      </c>
    </row>
    <row r="58" customFormat="false" ht="15" hidden="false" customHeight="false" outlineLevel="0" collapsed="false">
      <c r="B58" s="1" t="s">
        <v>746</v>
      </c>
    </row>
    <row r="59" customFormat="false" ht="15" hidden="false" customHeight="false" outlineLevel="0" collapsed="false">
      <c r="C59" s="1" t="s">
        <v>734</v>
      </c>
      <c r="H59" s="130" t="n">
        <f aca="false">0</f>
        <v>0</v>
      </c>
      <c r="I59" s="130" t="n">
        <f aca="false">H62</f>
        <v>0</v>
      </c>
      <c r="J59" s="130" t="n">
        <f aca="false">I62</f>
        <v>0</v>
      </c>
      <c r="K59" s="130" t="n">
        <f aca="false">J62</f>
        <v>0</v>
      </c>
      <c r="L59" s="130" t="n">
        <f aca="false">K62</f>
        <v>0</v>
      </c>
      <c r="M59" s="130" t="n">
        <f aca="false">L62</f>
        <v>0</v>
      </c>
      <c r="N59" s="130" t="n">
        <f aca="false">M62</f>
        <v>0</v>
      </c>
      <c r="O59" s="130" t="n">
        <f aca="false">N62</f>
        <v>0</v>
      </c>
      <c r="P59" s="130" t="n">
        <f aca="false">O62</f>
        <v>0</v>
      </c>
      <c r="Q59" s="130" t="n">
        <f aca="false">P62</f>
        <v>0</v>
      </c>
      <c r="R59" s="130" t="n">
        <f aca="false">Q62</f>
        <v>0</v>
      </c>
      <c r="S59" s="130" t="n">
        <f aca="false">R62</f>
        <v>0</v>
      </c>
      <c r="T59" s="130" t="n">
        <f aca="false">S62</f>
        <v>0</v>
      </c>
      <c r="U59" s="130" t="n">
        <f aca="false">T62</f>
        <v>0</v>
      </c>
      <c r="V59" s="130" t="n">
        <f aca="false">U62</f>
        <v>0</v>
      </c>
      <c r="W59" s="130" t="n">
        <f aca="false">V62</f>
        <v>0</v>
      </c>
      <c r="X59" s="130" t="n">
        <f aca="false">W62</f>
        <v>0</v>
      </c>
      <c r="Y59" s="130" t="n">
        <f aca="false">X62</f>
        <v>0</v>
      </c>
      <c r="Z59" s="130" t="n">
        <f aca="false">Y62</f>
        <v>0</v>
      </c>
      <c r="AA59" s="130" t="n">
        <f aca="false">Z62</f>
        <v>0</v>
      </c>
      <c r="AB59" s="130" t="n">
        <f aca="false">AA62</f>
        <v>0</v>
      </c>
      <c r="AC59" s="130" t="n">
        <f aca="false">AB62</f>
        <v>0</v>
      </c>
      <c r="AD59" s="130" t="n">
        <f aca="false">AC62</f>
        <v>0</v>
      </c>
      <c r="AE59" s="130" t="n">
        <f aca="false">AD62</f>
        <v>0</v>
      </c>
      <c r="AF59" s="130" t="n">
        <f aca="false">AE62</f>
        <v>0</v>
      </c>
      <c r="AG59" s="130" t="n">
        <f aca="false">AF62</f>
        <v>0</v>
      </c>
      <c r="AH59" s="130" t="n">
        <f aca="false">AG62</f>
        <v>0</v>
      </c>
      <c r="AI59" s="130" t="n">
        <f aca="false">AH62</f>
        <v>0</v>
      </c>
      <c r="AJ59" s="130" t="n">
        <f aca="false">AI62</f>
        <v>0</v>
      </c>
      <c r="AK59" s="130" t="n">
        <f aca="false">AJ62</f>
        <v>0</v>
      </c>
      <c r="AL59" s="130" t="n">
        <f aca="false">AK62</f>
        <v>0</v>
      </c>
    </row>
    <row r="60" customFormat="false" ht="15" hidden="false" customHeight="false" outlineLevel="0" collapsed="false">
      <c r="C60" s="1" t="s">
        <v>747</v>
      </c>
      <c r="H60" s="179" t="n">
        <v>0</v>
      </c>
      <c r="I60" s="179"/>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row>
    <row r="61" customFormat="false" ht="15" hidden="false" customHeight="false" outlineLevel="0" collapsed="false">
      <c r="C61" s="1" t="s">
        <v>748</v>
      </c>
      <c r="H61" s="201"/>
      <c r="I61" s="179" t="n">
        <f aca="false">0</f>
        <v>0</v>
      </c>
      <c r="J61" s="179" t="n">
        <f aca="false">-SUM($H$60:H60)/10</f>
        <v>0</v>
      </c>
      <c r="K61" s="179" t="n">
        <f aca="false">-SUM($H$60:I60)/10</f>
        <v>0</v>
      </c>
      <c r="L61" s="179" t="n">
        <f aca="false">-SUM($H$60:J60)/10</f>
        <v>0</v>
      </c>
      <c r="M61" s="179" t="n">
        <f aca="false">-SUM($H$60:K60)/10</f>
        <v>0</v>
      </c>
      <c r="N61" s="179" t="n">
        <f aca="false">-SUM($H$60:L60)/10</f>
        <v>0</v>
      </c>
      <c r="O61" s="179" t="n">
        <f aca="false">-SUM($H$60:M60)/10</f>
        <v>0</v>
      </c>
      <c r="P61" s="179" t="n">
        <f aca="false">-SUM($H$60:N60)/10</f>
        <v>0</v>
      </c>
      <c r="Q61" s="179" t="n">
        <f aca="false">-SUM($H$60:O60)/10</f>
        <v>0</v>
      </c>
      <c r="R61" s="179" t="n">
        <f aca="false">-SUM($H$60:P60)/10</f>
        <v>0</v>
      </c>
      <c r="S61" s="179" t="n">
        <f aca="false">-SUM($H$60:Q60)/10</f>
        <v>0</v>
      </c>
      <c r="T61" s="179"/>
      <c r="U61" s="201"/>
      <c r="V61" s="201"/>
      <c r="W61" s="201"/>
      <c r="X61" s="201"/>
      <c r="Y61" s="201"/>
      <c r="Z61" s="201"/>
      <c r="AA61" s="201"/>
      <c r="AB61" s="201"/>
      <c r="AC61" s="201"/>
      <c r="AD61" s="201"/>
      <c r="AE61" s="201"/>
      <c r="AF61" s="201"/>
      <c r="AG61" s="201"/>
      <c r="AH61" s="201"/>
      <c r="AI61" s="201"/>
      <c r="AJ61" s="201"/>
      <c r="AK61" s="201"/>
      <c r="AL61" s="201"/>
    </row>
    <row r="62" customFormat="false" ht="15" hidden="false" customHeight="false" outlineLevel="0" collapsed="false">
      <c r="C62" s="68" t="s">
        <v>729</v>
      </c>
      <c r="D62" s="274"/>
      <c r="E62" s="276"/>
      <c r="F62" s="276"/>
      <c r="G62" s="276"/>
      <c r="H62" s="277" t="n">
        <f aca="false">SUM(H59:H61)</f>
        <v>0</v>
      </c>
      <c r="I62" s="277" t="n">
        <f aca="false">SUM(I59:I61)</f>
        <v>0</v>
      </c>
      <c r="J62" s="277" t="n">
        <f aca="false">SUM(J59:J61)</f>
        <v>0</v>
      </c>
      <c r="K62" s="277" t="n">
        <f aca="false">SUM(K59:K61)</f>
        <v>0</v>
      </c>
      <c r="L62" s="277" t="n">
        <f aca="false">SUM(L59:L61)</f>
        <v>0</v>
      </c>
      <c r="M62" s="277" t="n">
        <f aca="false">SUM(M59:M61)</f>
        <v>0</v>
      </c>
      <c r="N62" s="277" t="n">
        <f aca="false">SUM(N59:N61)</f>
        <v>0</v>
      </c>
      <c r="O62" s="277" t="n">
        <f aca="false">SUM(O59:O61)</f>
        <v>0</v>
      </c>
      <c r="P62" s="277" t="n">
        <f aca="false">SUM(P59:P61)</f>
        <v>0</v>
      </c>
      <c r="Q62" s="277" t="n">
        <f aca="false">SUM(Q59:Q61)</f>
        <v>0</v>
      </c>
      <c r="R62" s="277" t="n">
        <f aca="false">SUM(R59:R61)</f>
        <v>0</v>
      </c>
      <c r="S62" s="277" t="n">
        <f aca="false">SUM(S59:S61)</f>
        <v>0</v>
      </c>
      <c r="T62" s="277" t="n">
        <f aca="false">SUM(T59:T61)</f>
        <v>0</v>
      </c>
      <c r="U62" s="277" t="n">
        <f aca="false">SUM(U59:U61)</f>
        <v>0</v>
      </c>
      <c r="V62" s="277" t="n">
        <f aca="false">SUM(V59:V61)</f>
        <v>0</v>
      </c>
      <c r="W62" s="277" t="n">
        <f aca="false">SUM(W59:W61)</f>
        <v>0</v>
      </c>
      <c r="X62" s="277" t="n">
        <f aca="false">SUM(X59:X61)</f>
        <v>0</v>
      </c>
      <c r="Y62" s="277" t="n">
        <f aca="false">SUM(Y59:Y61)</f>
        <v>0</v>
      </c>
      <c r="Z62" s="277" t="n">
        <f aca="false">SUM(Z59:Z61)</f>
        <v>0</v>
      </c>
      <c r="AA62" s="277" t="n">
        <f aca="false">SUM(AA59:AA61)</f>
        <v>0</v>
      </c>
      <c r="AB62" s="277" t="n">
        <f aca="false">SUM(AB59:AB61)</f>
        <v>0</v>
      </c>
      <c r="AC62" s="277" t="n">
        <f aca="false">SUM(AC59:AC61)</f>
        <v>0</v>
      </c>
      <c r="AD62" s="277" t="n">
        <f aca="false">SUM(AD59:AD61)</f>
        <v>0</v>
      </c>
      <c r="AE62" s="277" t="n">
        <f aca="false">SUM(AE59:AE61)</f>
        <v>0</v>
      </c>
      <c r="AF62" s="277" t="n">
        <f aca="false">SUM(AF59:AF61)</f>
        <v>0</v>
      </c>
      <c r="AG62" s="277" t="n">
        <f aca="false">SUM(AG59:AG61)</f>
        <v>0</v>
      </c>
      <c r="AH62" s="277" t="n">
        <f aca="false">SUM(AH59:AH61)</f>
        <v>0</v>
      </c>
      <c r="AI62" s="277" t="n">
        <f aca="false">SUM(AI59:AI61)</f>
        <v>0</v>
      </c>
      <c r="AJ62" s="277" t="n">
        <f aca="false">SUM(AJ59:AJ61)</f>
        <v>0</v>
      </c>
      <c r="AK62" s="277" t="n">
        <f aca="false">SUM(AK59:AK61)</f>
        <v>0</v>
      </c>
      <c r="AL62" s="277" t="n">
        <f aca="false">SUM(AL59:AL61)</f>
        <v>0</v>
      </c>
    </row>
    <row r="63" customFormat="false" ht="15" hidden="false" customHeight="false" outlineLevel="0" collapsed="false">
      <c r="C63" s="8"/>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row>
    <row r="64" customFormat="false" ht="15" hidden="false" customHeight="false" outlineLevel="0" collapsed="false">
      <c r="C64" s="1" t="s">
        <v>749</v>
      </c>
      <c r="D64" s="447" t="n">
        <v>0.07</v>
      </c>
      <c r="H64" s="130" t="n">
        <f aca="false">AVERAGE(H59,H62)*$D$64</f>
        <v>0</v>
      </c>
      <c r="I64" s="130" t="n">
        <f aca="false">AVERAGE(I59,I62)*$D$64</f>
        <v>0</v>
      </c>
      <c r="J64" s="130" t="n">
        <f aca="false">AVERAGE(J59,J62)*$D$64</f>
        <v>0</v>
      </c>
      <c r="K64" s="130" t="n">
        <f aca="false">AVERAGE(K59,K62)*$D$64</f>
        <v>0</v>
      </c>
      <c r="L64" s="130" t="n">
        <f aca="false">AVERAGE(L59,L62)*$D$64</f>
        <v>0</v>
      </c>
      <c r="M64" s="130" t="n">
        <f aca="false">AVERAGE(M59,M62)*$D$64</f>
        <v>0</v>
      </c>
      <c r="N64" s="130" t="n">
        <f aca="false">AVERAGE(N59,N62)*$D$64</f>
        <v>0</v>
      </c>
      <c r="O64" s="130" t="n">
        <f aca="false">AVERAGE(O59,O62)*$D$64</f>
        <v>0</v>
      </c>
      <c r="P64" s="130" t="n">
        <f aca="false">AVERAGE(P59,P62)*$D$64</f>
        <v>0</v>
      </c>
      <c r="Q64" s="130" t="n">
        <f aca="false">AVERAGE(Q59,Q62)*$D$64</f>
        <v>0</v>
      </c>
      <c r="R64" s="130" t="n">
        <f aca="false">AVERAGE(R59,R62)*$D$64</f>
        <v>0</v>
      </c>
      <c r="S64" s="130" t="n">
        <f aca="false">AVERAGE(S59,S62)*$D$64</f>
        <v>0</v>
      </c>
      <c r="T64" s="130" t="n">
        <f aca="false">AVERAGE(T59,T62)*$D$64</f>
        <v>0</v>
      </c>
      <c r="U64" s="130" t="n">
        <f aca="false">AVERAGE(U59,U62)*$D$64</f>
        <v>0</v>
      </c>
      <c r="V64" s="130" t="n">
        <f aca="false">AVERAGE(V59,V62)*$D$64</f>
        <v>0</v>
      </c>
      <c r="W64" s="130" t="n">
        <f aca="false">AVERAGE(W59,W62)*$D$64</f>
        <v>0</v>
      </c>
      <c r="X64" s="130" t="n">
        <f aca="false">AVERAGE(X59,X62)*$D$64</f>
        <v>0</v>
      </c>
      <c r="Y64" s="130" t="n">
        <f aca="false">AVERAGE(Y59,Y62)*$D$64</f>
        <v>0</v>
      </c>
      <c r="Z64" s="130" t="n">
        <f aca="false">AVERAGE(Z59,Z62)*$D$64</f>
        <v>0</v>
      </c>
      <c r="AA64" s="130" t="n">
        <f aca="false">AVERAGE(AA59,AA62)*$D$64</f>
        <v>0</v>
      </c>
      <c r="AB64" s="130" t="n">
        <f aca="false">AVERAGE(AB59,AB62)*$D$64</f>
        <v>0</v>
      </c>
      <c r="AC64" s="130" t="n">
        <f aca="false">AVERAGE(AC59,AC62)*$D$64</f>
        <v>0</v>
      </c>
      <c r="AD64" s="130" t="n">
        <f aca="false">AVERAGE(AD59,AD62)*$D$64</f>
        <v>0</v>
      </c>
      <c r="AE64" s="130" t="n">
        <f aca="false">AVERAGE(AE59,AE62)*$D$64</f>
        <v>0</v>
      </c>
      <c r="AF64" s="130" t="n">
        <f aca="false">AVERAGE(AF59,AF62)*$D$64</f>
        <v>0</v>
      </c>
      <c r="AG64" s="130" t="n">
        <f aca="false">AVERAGE(AG59,AG62)*$D$64</f>
        <v>0</v>
      </c>
      <c r="AH64" s="130" t="n">
        <f aca="false">AVERAGE(AH59,AH62)*$D$64</f>
        <v>0</v>
      </c>
      <c r="AI64" s="130" t="n">
        <f aca="false">AVERAGE(AI59,AI62)*$D$64</f>
        <v>0</v>
      </c>
      <c r="AJ64" s="130" t="n">
        <f aca="false">AVERAGE(AJ59,AJ62)*$D$64</f>
        <v>0</v>
      </c>
      <c r="AK64" s="130" t="n">
        <f aca="false">AVERAGE(AK59,AK62)*$D$64</f>
        <v>0</v>
      </c>
      <c r="AL64" s="130" t="n">
        <f aca="false">AVERAGE(AL59,AL62)*$D$64</f>
        <v>0</v>
      </c>
    </row>
    <row r="65" customFormat="false" ht="15" hidden="false" customHeight="false" outlineLevel="0" collapsed="false">
      <c r="C65" s="8"/>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row>
    <row r="66" customFormat="false" ht="15" hidden="false" customHeight="false" outlineLevel="0" collapsed="false">
      <c r="B66" s="1" t="s">
        <v>750</v>
      </c>
    </row>
    <row r="67" customFormat="false" ht="15" hidden="false" customHeight="false" outlineLevel="0" collapsed="false">
      <c r="C67" s="1" t="s">
        <v>734</v>
      </c>
      <c r="H67" s="130" t="n">
        <f aca="false">0</f>
        <v>0</v>
      </c>
      <c r="I67" s="130" t="n">
        <f aca="false">H70</f>
        <v>0</v>
      </c>
      <c r="J67" s="130" t="n">
        <f aca="false">I70</f>
        <v>5000000</v>
      </c>
      <c r="K67" s="130" t="n">
        <f aca="false">J70</f>
        <v>5000000</v>
      </c>
      <c r="L67" s="130" t="n">
        <f aca="false">K70</f>
        <v>4500000</v>
      </c>
      <c r="M67" s="130" t="n">
        <f aca="false">L70</f>
        <v>4000000</v>
      </c>
      <c r="N67" s="130" t="n">
        <f aca="false">M70</f>
        <v>3500000</v>
      </c>
      <c r="O67" s="130" t="n">
        <f aca="false">N70</f>
        <v>3000000</v>
      </c>
      <c r="P67" s="130" t="n">
        <f aca="false">O70</f>
        <v>2500000</v>
      </c>
      <c r="Q67" s="130" t="n">
        <f aca="false">P70</f>
        <v>2000000</v>
      </c>
      <c r="R67" s="130" t="n">
        <f aca="false">Q70</f>
        <v>1500000</v>
      </c>
      <c r="S67" s="130" t="n">
        <f aca="false">R70</f>
        <v>1000000</v>
      </c>
      <c r="T67" s="130" t="n">
        <f aca="false">S70</f>
        <v>500000</v>
      </c>
      <c r="U67" s="130" t="n">
        <f aca="false">T70</f>
        <v>0</v>
      </c>
      <c r="V67" s="130" t="n">
        <f aca="false">U70</f>
        <v>0</v>
      </c>
      <c r="W67" s="130" t="n">
        <f aca="false">V70</f>
        <v>0</v>
      </c>
      <c r="X67" s="130" t="n">
        <f aca="false">W70</f>
        <v>0</v>
      </c>
      <c r="Y67" s="130" t="n">
        <f aca="false">X70</f>
        <v>0</v>
      </c>
      <c r="Z67" s="130" t="n">
        <f aca="false">Y70</f>
        <v>0</v>
      </c>
      <c r="AA67" s="130" t="n">
        <f aca="false">Z70</f>
        <v>0</v>
      </c>
      <c r="AB67" s="130" t="n">
        <f aca="false">AA70</f>
        <v>0</v>
      </c>
      <c r="AC67" s="130" t="n">
        <f aca="false">AB70</f>
        <v>0</v>
      </c>
      <c r="AD67" s="130" t="n">
        <f aca="false">AC70</f>
        <v>0</v>
      </c>
      <c r="AE67" s="130" t="n">
        <f aca="false">AD70</f>
        <v>0</v>
      </c>
      <c r="AF67" s="130" t="n">
        <f aca="false">AE70</f>
        <v>0</v>
      </c>
      <c r="AG67" s="130" t="n">
        <f aca="false">AF70</f>
        <v>0</v>
      </c>
      <c r="AH67" s="130" t="n">
        <f aca="false">AG70</f>
        <v>0</v>
      </c>
      <c r="AI67" s="130" t="n">
        <f aca="false">AH70</f>
        <v>0</v>
      </c>
      <c r="AJ67" s="130" t="n">
        <f aca="false">AI70</f>
        <v>0</v>
      </c>
      <c r="AK67" s="130" t="n">
        <f aca="false">AJ70</f>
        <v>0</v>
      </c>
      <c r="AL67" s="130" t="n">
        <f aca="false">AK70</f>
        <v>0</v>
      </c>
    </row>
    <row r="68" customFormat="false" ht="15" hidden="false" customHeight="false" outlineLevel="0" collapsed="false">
      <c r="C68" s="1" t="s">
        <v>747</v>
      </c>
      <c r="H68" s="179"/>
      <c r="I68" s="179" t="n">
        <v>5000000</v>
      </c>
      <c r="J68" s="179"/>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201"/>
      <c r="AH68" s="201"/>
      <c r="AI68" s="201"/>
      <c r="AJ68" s="201"/>
      <c r="AK68" s="201"/>
      <c r="AL68" s="201"/>
    </row>
    <row r="69" customFormat="false" ht="15" hidden="false" customHeight="false" outlineLevel="0" collapsed="false">
      <c r="C69" s="1" t="s">
        <v>748</v>
      </c>
      <c r="H69" s="201"/>
      <c r="I69" s="201"/>
      <c r="J69" s="201"/>
      <c r="K69" s="179" t="n">
        <f aca="false">-SUM($H$68:I68)/10</f>
        <v>-500000</v>
      </c>
      <c r="L69" s="179" t="n">
        <f aca="false">-SUM($H$68:J68)/10</f>
        <v>-500000</v>
      </c>
      <c r="M69" s="179" t="n">
        <f aca="false">-SUM($H$68:K68)/10</f>
        <v>-500000</v>
      </c>
      <c r="N69" s="179" t="n">
        <f aca="false">-SUM($H$68:L68)/10</f>
        <v>-500000</v>
      </c>
      <c r="O69" s="179" t="n">
        <f aca="false">-SUM($H$68:M68)/10</f>
        <v>-500000</v>
      </c>
      <c r="P69" s="179" t="n">
        <f aca="false">-SUM($H$68:N68)/10</f>
        <v>-500000</v>
      </c>
      <c r="Q69" s="179" t="n">
        <f aca="false">-SUM($H$68:O68)/10</f>
        <v>-500000</v>
      </c>
      <c r="R69" s="179" t="n">
        <f aca="false">-SUM($H$68:P68)/10</f>
        <v>-500000</v>
      </c>
      <c r="S69" s="179" t="n">
        <f aca="false">-SUM($H$68:Q68)/10</f>
        <v>-500000</v>
      </c>
      <c r="T69" s="179" t="n">
        <f aca="false">-SUM($H$68:R68)/10</f>
        <v>-500000</v>
      </c>
      <c r="U69" s="201"/>
      <c r="V69" s="201"/>
      <c r="W69" s="201"/>
      <c r="X69" s="201"/>
      <c r="Y69" s="201"/>
      <c r="Z69" s="201"/>
      <c r="AA69" s="201"/>
      <c r="AB69" s="201"/>
      <c r="AC69" s="201"/>
      <c r="AD69" s="201"/>
      <c r="AE69" s="201"/>
      <c r="AF69" s="201"/>
      <c r="AG69" s="201"/>
      <c r="AH69" s="201"/>
      <c r="AI69" s="201"/>
      <c r="AJ69" s="201"/>
      <c r="AK69" s="201"/>
      <c r="AL69" s="201"/>
    </row>
    <row r="70" customFormat="false" ht="15" hidden="false" customHeight="false" outlineLevel="0" collapsed="false">
      <c r="C70" s="68" t="s">
        <v>729</v>
      </c>
      <c r="D70" s="274"/>
      <c r="E70" s="276"/>
      <c r="F70" s="276"/>
      <c r="G70" s="276"/>
      <c r="H70" s="277" t="n">
        <f aca="false">SUM(H67:H69)</f>
        <v>0</v>
      </c>
      <c r="I70" s="277" t="n">
        <f aca="false">SUM(I67:I69)</f>
        <v>5000000</v>
      </c>
      <c r="J70" s="277" t="n">
        <f aca="false">SUM(J67:J69)</f>
        <v>5000000</v>
      </c>
      <c r="K70" s="277" t="n">
        <f aca="false">SUM(K67:K69)</f>
        <v>4500000</v>
      </c>
      <c r="L70" s="277" t="n">
        <f aca="false">SUM(L67:L69)</f>
        <v>4000000</v>
      </c>
      <c r="M70" s="277" t="n">
        <f aca="false">SUM(M67:M69)</f>
        <v>3500000</v>
      </c>
      <c r="N70" s="277" t="n">
        <f aca="false">SUM(N67:N69)</f>
        <v>3000000</v>
      </c>
      <c r="O70" s="277" t="n">
        <f aca="false">SUM(O67:O69)</f>
        <v>2500000</v>
      </c>
      <c r="P70" s="277" t="n">
        <f aca="false">SUM(P67:P69)</f>
        <v>2000000</v>
      </c>
      <c r="Q70" s="277" t="n">
        <f aca="false">SUM(Q67:Q69)</f>
        <v>1500000</v>
      </c>
      <c r="R70" s="277" t="n">
        <f aca="false">SUM(R67:R69)</f>
        <v>1000000</v>
      </c>
      <c r="S70" s="277" t="n">
        <f aca="false">SUM(S67:S69)</f>
        <v>500000</v>
      </c>
      <c r="T70" s="277" t="n">
        <f aca="false">SUM(T67:T69)</f>
        <v>0</v>
      </c>
      <c r="U70" s="277" t="n">
        <f aca="false">SUM(U67:U69)</f>
        <v>0</v>
      </c>
      <c r="V70" s="277" t="n">
        <f aca="false">SUM(V67:V69)</f>
        <v>0</v>
      </c>
      <c r="W70" s="277" t="n">
        <f aca="false">SUM(W67:W69)</f>
        <v>0</v>
      </c>
      <c r="X70" s="277" t="n">
        <f aca="false">SUM(X67:X69)</f>
        <v>0</v>
      </c>
      <c r="Y70" s="277" t="n">
        <f aca="false">SUM(Y67:Y69)</f>
        <v>0</v>
      </c>
      <c r="Z70" s="277" t="n">
        <f aca="false">SUM(Z67:Z69)</f>
        <v>0</v>
      </c>
      <c r="AA70" s="277" t="n">
        <f aca="false">SUM(AA67:AA69)</f>
        <v>0</v>
      </c>
      <c r="AB70" s="277" t="n">
        <f aca="false">SUM(AB67:AB69)</f>
        <v>0</v>
      </c>
      <c r="AC70" s="277" t="n">
        <f aca="false">SUM(AC67:AC69)</f>
        <v>0</v>
      </c>
      <c r="AD70" s="277" t="n">
        <f aca="false">SUM(AD67:AD69)</f>
        <v>0</v>
      </c>
      <c r="AE70" s="277" t="n">
        <f aca="false">SUM(AE67:AE69)</f>
        <v>0</v>
      </c>
      <c r="AF70" s="277" t="n">
        <f aca="false">SUM(AF67:AF69)</f>
        <v>0</v>
      </c>
      <c r="AG70" s="277" t="n">
        <f aca="false">SUM(AG67:AG69)</f>
        <v>0</v>
      </c>
      <c r="AH70" s="277" t="n">
        <f aca="false">SUM(AH67:AH69)</f>
        <v>0</v>
      </c>
      <c r="AI70" s="277" t="n">
        <f aca="false">SUM(AI67:AI69)</f>
        <v>0</v>
      </c>
      <c r="AJ70" s="277" t="n">
        <f aca="false">SUM(AJ67:AJ69)</f>
        <v>0</v>
      </c>
      <c r="AK70" s="277" t="n">
        <f aca="false">SUM(AK67:AK69)</f>
        <v>0</v>
      </c>
      <c r="AL70" s="277" t="n">
        <f aca="false">SUM(AL67:AL69)</f>
        <v>0</v>
      </c>
    </row>
    <row r="72" customFormat="false" ht="15" hidden="false" customHeight="false" outlineLevel="0" collapsed="false">
      <c r="C72" s="1" t="s">
        <v>749</v>
      </c>
      <c r="D72" s="447" t="n">
        <v>0.07</v>
      </c>
      <c r="H72" s="130" t="n">
        <f aca="false">AVERAGE(H67,H70)*$D$72</f>
        <v>0</v>
      </c>
      <c r="I72" s="130" t="n">
        <f aca="false">AVERAGE(I67,I70)*$D$72</f>
        <v>175000</v>
      </c>
      <c r="J72" s="130" t="n">
        <f aca="false">AVERAGE(J67,J70)*$D$72</f>
        <v>350000</v>
      </c>
      <c r="K72" s="130" t="n">
        <f aca="false">AVERAGE(K67,K70)*$D$72</f>
        <v>332500</v>
      </c>
      <c r="L72" s="130" t="n">
        <f aca="false">AVERAGE(L67,L70)*$D$72</f>
        <v>297500</v>
      </c>
      <c r="M72" s="130" t="n">
        <f aca="false">AVERAGE(M67,M70)*$D$72</f>
        <v>262500</v>
      </c>
      <c r="N72" s="130" t="n">
        <f aca="false">AVERAGE(N67,N70)*$D$72</f>
        <v>227500</v>
      </c>
      <c r="O72" s="130" t="n">
        <f aca="false">AVERAGE(O67,O70)*$D$72</f>
        <v>192500</v>
      </c>
      <c r="P72" s="130" t="n">
        <f aca="false">AVERAGE(P67,P70)*$D$72</f>
        <v>157500</v>
      </c>
      <c r="Q72" s="130" t="n">
        <f aca="false">AVERAGE(Q67,Q70)*$D$72</f>
        <v>122500</v>
      </c>
      <c r="R72" s="130" t="n">
        <f aca="false">AVERAGE(R67,R70)*$D$72</f>
        <v>87500</v>
      </c>
      <c r="S72" s="130" t="n">
        <f aca="false">AVERAGE(S67,S70)*$D$72</f>
        <v>52500</v>
      </c>
      <c r="T72" s="130" t="n">
        <f aca="false">AVERAGE(T67,T70)*$D$72</f>
        <v>17500</v>
      </c>
      <c r="U72" s="130" t="n">
        <f aca="false">AVERAGE(U67,U70)*$D$72</f>
        <v>0</v>
      </c>
      <c r="V72" s="130" t="n">
        <f aca="false">AVERAGE(V67,V70)*$D$72</f>
        <v>0</v>
      </c>
      <c r="W72" s="130" t="n">
        <f aca="false">AVERAGE(W67,W70)*$D$72</f>
        <v>0</v>
      </c>
      <c r="X72" s="130" t="n">
        <f aca="false">AVERAGE(X67,X70)*$D$72</f>
        <v>0</v>
      </c>
      <c r="Y72" s="130" t="n">
        <f aca="false">AVERAGE(Y67,Y70)*$D$72</f>
        <v>0</v>
      </c>
      <c r="Z72" s="130" t="n">
        <f aca="false">AVERAGE(Z67,Z70)*$D$72</f>
        <v>0</v>
      </c>
      <c r="AA72" s="130" t="n">
        <f aca="false">AVERAGE(AA67,AA70)*$D$72</f>
        <v>0</v>
      </c>
      <c r="AB72" s="130" t="n">
        <f aca="false">AVERAGE(AB67,AB70)*$D$72</f>
        <v>0</v>
      </c>
      <c r="AC72" s="130" t="n">
        <f aca="false">AVERAGE(AC67,AC70)*$D$72</f>
        <v>0</v>
      </c>
      <c r="AD72" s="130" t="n">
        <f aca="false">AVERAGE(AD67,AD70)*$D$72</f>
        <v>0</v>
      </c>
      <c r="AE72" s="130" t="n">
        <f aca="false">AVERAGE(AE67,AE70)*$D$72</f>
        <v>0</v>
      </c>
      <c r="AF72" s="130" t="n">
        <f aca="false">AVERAGE(AF67,AF70)*$D$72</f>
        <v>0</v>
      </c>
      <c r="AG72" s="130" t="n">
        <f aca="false">AVERAGE(AG67,AG70)*$D$72</f>
        <v>0</v>
      </c>
      <c r="AH72" s="130" t="n">
        <f aca="false">AVERAGE(AH67,AH70)*$D$72</f>
        <v>0</v>
      </c>
      <c r="AI72" s="130" t="n">
        <f aca="false">AVERAGE(AI67,AI70)*$D$72</f>
        <v>0</v>
      </c>
      <c r="AJ72" s="130" t="n">
        <f aca="false">AVERAGE(AJ67,AJ70)*$D$72</f>
        <v>0</v>
      </c>
      <c r="AK72" s="130" t="n">
        <f aca="false">AVERAGE(AK67,AK70)*$D$72</f>
        <v>0</v>
      </c>
      <c r="AL72" s="130" t="n">
        <f aca="false">AVERAGE(AL67,AL70)*$D$72</f>
        <v>0</v>
      </c>
    </row>
    <row r="74" customFormat="false" ht="15" hidden="false" customHeight="false" outlineLevel="0" collapsed="false">
      <c r="B74" s="1" t="s">
        <v>751</v>
      </c>
    </row>
    <row r="75" customFormat="false" ht="15" hidden="false" customHeight="false" outlineLevel="0" collapsed="false">
      <c r="C75" s="1" t="s">
        <v>734</v>
      </c>
      <c r="H75" s="130" t="n">
        <f aca="false">0</f>
        <v>0</v>
      </c>
      <c r="I75" s="130" t="n">
        <f aca="false">H78</f>
        <v>0</v>
      </c>
      <c r="J75" s="130" t="n">
        <f aca="false">I78</f>
        <v>0</v>
      </c>
      <c r="K75" s="130" t="n">
        <f aca="false">J78</f>
        <v>0</v>
      </c>
      <c r="L75" s="130" t="n">
        <f aca="false">K78</f>
        <v>0</v>
      </c>
      <c r="M75" s="130" t="n">
        <f aca="false">L78</f>
        <v>0</v>
      </c>
      <c r="N75" s="130" t="n">
        <f aca="false">M78</f>
        <v>0</v>
      </c>
      <c r="O75" s="130" t="n">
        <f aca="false">N78</f>
        <v>0</v>
      </c>
      <c r="P75" s="130" t="n">
        <f aca="false">O78</f>
        <v>0</v>
      </c>
      <c r="Q75" s="130" t="n">
        <f aca="false">P78</f>
        <v>0</v>
      </c>
      <c r="R75" s="130" t="n">
        <f aca="false">Q78</f>
        <v>0</v>
      </c>
      <c r="S75" s="130" t="n">
        <f aca="false">R78</f>
        <v>0</v>
      </c>
      <c r="T75" s="130" t="n">
        <f aca="false">S78</f>
        <v>0</v>
      </c>
      <c r="U75" s="130" t="n">
        <f aca="false">T78</f>
        <v>0</v>
      </c>
      <c r="V75" s="130" t="n">
        <f aca="false">U78</f>
        <v>0</v>
      </c>
      <c r="W75" s="130" t="n">
        <f aca="false">V78</f>
        <v>0</v>
      </c>
      <c r="X75" s="130" t="n">
        <f aca="false">W78</f>
        <v>0</v>
      </c>
      <c r="Y75" s="130" t="n">
        <f aca="false">X78</f>
        <v>0</v>
      </c>
      <c r="Z75" s="130" t="n">
        <f aca="false">Y78</f>
        <v>0</v>
      </c>
      <c r="AA75" s="130" t="n">
        <f aca="false">Z78</f>
        <v>0</v>
      </c>
      <c r="AB75" s="130" t="n">
        <f aca="false">AA78</f>
        <v>0</v>
      </c>
      <c r="AC75" s="130" t="n">
        <f aca="false">AB78</f>
        <v>0</v>
      </c>
      <c r="AD75" s="130" t="n">
        <f aca="false">AC78</f>
        <v>0</v>
      </c>
      <c r="AE75" s="130" t="n">
        <f aca="false">AD78</f>
        <v>0</v>
      </c>
      <c r="AF75" s="130" t="n">
        <f aca="false">AE78</f>
        <v>0</v>
      </c>
      <c r="AG75" s="130" t="n">
        <f aca="false">AF78</f>
        <v>0</v>
      </c>
      <c r="AH75" s="130" t="n">
        <f aca="false">AG78</f>
        <v>0</v>
      </c>
      <c r="AI75" s="130" t="n">
        <f aca="false">AH78</f>
        <v>0</v>
      </c>
      <c r="AJ75" s="130" t="n">
        <f aca="false">AI78</f>
        <v>0</v>
      </c>
      <c r="AK75" s="130" t="n">
        <f aca="false">AJ78</f>
        <v>0</v>
      </c>
      <c r="AL75" s="130" t="n">
        <f aca="false">AK78</f>
        <v>0</v>
      </c>
    </row>
    <row r="76" customFormat="false" ht="15" hidden="false" customHeight="false" outlineLevel="0" collapsed="false">
      <c r="C76" s="1" t="s">
        <v>747</v>
      </c>
      <c r="H76" s="179"/>
      <c r="I76" s="201"/>
      <c r="J76" s="179"/>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row>
    <row r="77" customFormat="false" ht="15" hidden="false" customHeight="false" outlineLevel="0" collapsed="false">
      <c r="C77" s="1" t="s">
        <v>748</v>
      </c>
      <c r="H77" s="201"/>
      <c r="I77" s="201"/>
      <c r="J77" s="201"/>
      <c r="K77" s="201"/>
      <c r="L77" s="179" t="n">
        <f aca="false">-SUM($H$76:J76)/10</f>
        <v>0</v>
      </c>
      <c r="M77" s="179" t="n">
        <f aca="false">-SUM($H$76:K76)/10</f>
        <v>0</v>
      </c>
      <c r="N77" s="179" t="n">
        <f aca="false">-SUM($H$76:L76)/10</f>
        <v>0</v>
      </c>
      <c r="O77" s="179" t="n">
        <f aca="false">-SUM($H$76:M76)/10</f>
        <v>0</v>
      </c>
      <c r="P77" s="179" t="n">
        <f aca="false">-SUM($H$76:N76)/10</f>
        <v>0</v>
      </c>
      <c r="Q77" s="179" t="n">
        <f aca="false">-SUM($H$76:O76)/10</f>
        <v>0</v>
      </c>
      <c r="R77" s="179" t="n">
        <f aca="false">-SUM($H$76:P76)/10</f>
        <v>0</v>
      </c>
      <c r="S77" s="179" t="n">
        <f aca="false">-SUM($H$76:Q76)/10</f>
        <v>0</v>
      </c>
      <c r="T77" s="179" t="n">
        <f aca="false">-SUM($H$76:R76)/10</f>
        <v>0</v>
      </c>
      <c r="U77" s="179" t="n">
        <f aca="false">-SUM($H$76:S76)/10</f>
        <v>0</v>
      </c>
      <c r="V77" s="201"/>
      <c r="W77" s="201"/>
      <c r="X77" s="201"/>
      <c r="Y77" s="201"/>
      <c r="Z77" s="201"/>
      <c r="AA77" s="201"/>
      <c r="AB77" s="201"/>
      <c r="AC77" s="201"/>
      <c r="AD77" s="201"/>
      <c r="AE77" s="201"/>
      <c r="AF77" s="201"/>
      <c r="AG77" s="201"/>
      <c r="AH77" s="201"/>
      <c r="AI77" s="201"/>
      <c r="AJ77" s="201"/>
      <c r="AK77" s="201"/>
      <c r="AL77" s="201"/>
    </row>
    <row r="78" customFormat="false" ht="15" hidden="false" customHeight="false" outlineLevel="0" collapsed="false">
      <c r="C78" s="68" t="s">
        <v>729</v>
      </c>
      <c r="D78" s="274"/>
      <c r="E78" s="276"/>
      <c r="F78" s="276"/>
      <c r="G78" s="276"/>
      <c r="H78" s="277" t="n">
        <f aca="false">SUM(H75:H77)</f>
        <v>0</v>
      </c>
      <c r="I78" s="277" t="n">
        <f aca="false">SUM(I75:I77)</f>
        <v>0</v>
      </c>
      <c r="J78" s="277" t="n">
        <f aca="false">SUM(J75:J77)</f>
        <v>0</v>
      </c>
      <c r="K78" s="277" t="n">
        <f aca="false">SUM(K75:K77)</f>
        <v>0</v>
      </c>
      <c r="L78" s="277" t="n">
        <f aca="false">SUM(L75:L77)</f>
        <v>0</v>
      </c>
      <c r="M78" s="277" t="n">
        <f aca="false">SUM(M75:M77)</f>
        <v>0</v>
      </c>
      <c r="N78" s="277" t="n">
        <f aca="false">SUM(N75:N77)</f>
        <v>0</v>
      </c>
      <c r="O78" s="277" t="n">
        <f aca="false">SUM(O75:O77)</f>
        <v>0</v>
      </c>
      <c r="P78" s="277" t="n">
        <f aca="false">SUM(P75:P77)</f>
        <v>0</v>
      </c>
      <c r="Q78" s="277" t="n">
        <f aca="false">SUM(Q75:Q77)</f>
        <v>0</v>
      </c>
      <c r="R78" s="277" t="n">
        <f aca="false">SUM(R75:R77)</f>
        <v>0</v>
      </c>
      <c r="S78" s="277" t="n">
        <f aca="false">SUM(S75:S77)</f>
        <v>0</v>
      </c>
      <c r="T78" s="277" t="n">
        <f aca="false">SUM(T75:T77)</f>
        <v>0</v>
      </c>
      <c r="U78" s="277" t="n">
        <f aca="false">SUM(U75:U77)</f>
        <v>0</v>
      </c>
      <c r="V78" s="277" t="n">
        <f aca="false">SUM(V75:V77)</f>
        <v>0</v>
      </c>
      <c r="W78" s="277" t="n">
        <f aca="false">SUM(W75:W77)</f>
        <v>0</v>
      </c>
      <c r="X78" s="277" t="n">
        <f aca="false">SUM(X75:X77)</f>
        <v>0</v>
      </c>
      <c r="Y78" s="277" t="n">
        <f aca="false">SUM(Y75:Y77)</f>
        <v>0</v>
      </c>
      <c r="Z78" s="277" t="n">
        <f aca="false">SUM(Z75:Z77)</f>
        <v>0</v>
      </c>
      <c r="AA78" s="277" t="n">
        <f aca="false">SUM(AA75:AA77)</f>
        <v>0</v>
      </c>
      <c r="AB78" s="277" t="n">
        <f aca="false">SUM(AB75:AB77)</f>
        <v>0</v>
      </c>
      <c r="AC78" s="277" t="n">
        <f aca="false">SUM(AC75:AC77)</f>
        <v>0</v>
      </c>
      <c r="AD78" s="277" t="n">
        <f aca="false">SUM(AD75:AD77)</f>
        <v>0</v>
      </c>
      <c r="AE78" s="277" t="n">
        <f aca="false">SUM(AE75:AE77)</f>
        <v>0</v>
      </c>
      <c r="AF78" s="277" t="n">
        <f aca="false">SUM(AF75:AF77)</f>
        <v>0</v>
      </c>
      <c r="AG78" s="277" t="n">
        <f aca="false">SUM(AG75:AG77)</f>
        <v>0</v>
      </c>
      <c r="AH78" s="277" t="n">
        <f aca="false">SUM(AH75:AH77)</f>
        <v>0</v>
      </c>
      <c r="AI78" s="277" t="n">
        <f aca="false">SUM(AI75:AI77)</f>
        <v>0</v>
      </c>
      <c r="AJ78" s="277" t="n">
        <f aca="false">SUM(AJ75:AJ77)</f>
        <v>0</v>
      </c>
      <c r="AK78" s="277" t="n">
        <f aca="false">SUM(AK75:AK77)</f>
        <v>0</v>
      </c>
      <c r="AL78" s="277" t="n">
        <f aca="false">SUM(AL75:AL77)</f>
        <v>0</v>
      </c>
    </row>
    <row r="80" customFormat="false" ht="15" hidden="false" customHeight="false" outlineLevel="0" collapsed="false">
      <c r="C80" s="1" t="s">
        <v>749</v>
      </c>
      <c r="D80" s="447" t="n">
        <v>0.07</v>
      </c>
      <c r="H80" s="130" t="n">
        <f aca="false">AVERAGE(H75,H78)*$D$72</f>
        <v>0</v>
      </c>
      <c r="I80" s="130" t="n">
        <f aca="false">AVERAGE(I75,I78)*$D$72</f>
        <v>0</v>
      </c>
      <c r="J80" s="130" t="n">
        <f aca="false">AVERAGE(J75,J78)*$D$72</f>
        <v>0</v>
      </c>
      <c r="K80" s="130" t="n">
        <f aca="false">AVERAGE(K75,K78)*$D$72</f>
        <v>0</v>
      </c>
      <c r="L80" s="130" t="n">
        <f aca="false">AVERAGE(L75,L78)*$D$72</f>
        <v>0</v>
      </c>
      <c r="M80" s="130" t="n">
        <f aca="false">AVERAGE(M75,M78)*$D$72</f>
        <v>0</v>
      </c>
      <c r="N80" s="130" t="n">
        <f aca="false">AVERAGE(N75,N78)*$D$72</f>
        <v>0</v>
      </c>
      <c r="O80" s="130" t="n">
        <f aca="false">AVERAGE(O75,O78)*$D$72</f>
        <v>0</v>
      </c>
      <c r="P80" s="130" t="n">
        <f aca="false">AVERAGE(P75,P78)*$D$72</f>
        <v>0</v>
      </c>
      <c r="Q80" s="130" t="n">
        <f aca="false">AVERAGE(Q75,Q78)*$D$72</f>
        <v>0</v>
      </c>
      <c r="R80" s="130" t="n">
        <f aca="false">AVERAGE(R75,R78)*$D$72</f>
        <v>0</v>
      </c>
      <c r="S80" s="130" t="n">
        <f aca="false">AVERAGE(S75,S78)*$D$72</f>
        <v>0</v>
      </c>
      <c r="T80" s="130" t="n">
        <f aca="false">AVERAGE(T75,T78)*$D$72</f>
        <v>0</v>
      </c>
      <c r="U80" s="130" t="n">
        <f aca="false">AVERAGE(U75,U78)*$D$72</f>
        <v>0</v>
      </c>
      <c r="V80" s="130" t="n">
        <f aca="false">AVERAGE(V75,V78)*$D$72</f>
        <v>0</v>
      </c>
      <c r="W80" s="130" t="n">
        <f aca="false">AVERAGE(W75,W78)*$D$72</f>
        <v>0</v>
      </c>
      <c r="X80" s="130" t="n">
        <f aca="false">AVERAGE(X75,X78)*$D$72</f>
        <v>0</v>
      </c>
      <c r="Y80" s="130" t="n">
        <f aca="false">AVERAGE(Y75,Y78)*$D$72</f>
        <v>0</v>
      </c>
      <c r="Z80" s="130" t="n">
        <f aca="false">AVERAGE(Z75,Z78)*$D$72</f>
        <v>0</v>
      </c>
      <c r="AA80" s="130" t="n">
        <f aca="false">AVERAGE(AA75,AA78)*$D$72</f>
        <v>0</v>
      </c>
      <c r="AB80" s="130" t="n">
        <f aca="false">AVERAGE(AB75,AB78)*$D$72</f>
        <v>0</v>
      </c>
      <c r="AC80" s="130" t="n">
        <f aca="false">AVERAGE(AC75,AC78)*$D$72</f>
        <v>0</v>
      </c>
      <c r="AD80" s="130" t="n">
        <f aca="false">AVERAGE(AD75,AD78)*$D$72</f>
        <v>0</v>
      </c>
      <c r="AE80" s="130" t="n">
        <f aca="false">AVERAGE(AE75,AE78)*$D$72</f>
        <v>0</v>
      </c>
      <c r="AF80" s="130" t="n">
        <f aca="false">AVERAGE(AF75,AF78)*$D$72</f>
        <v>0</v>
      </c>
      <c r="AG80" s="130" t="n">
        <f aca="false">AVERAGE(AG75,AG78)*$D$72</f>
        <v>0</v>
      </c>
      <c r="AH80" s="130" t="n">
        <f aca="false">AVERAGE(AH75,AH78)*$D$72</f>
        <v>0</v>
      </c>
      <c r="AI80" s="130" t="n">
        <f aca="false">AVERAGE(AI75,AI78)*$D$72</f>
        <v>0</v>
      </c>
      <c r="AJ80" s="130" t="n">
        <f aca="false">AVERAGE(AJ75,AJ78)*$D$72</f>
        <v>0</v>
      </c>
      <c r="AK80" s="130" t="n">
        <f aca="false">AVERAGE(AK75,AK78)*$D$72</f>
        <v>0</v>
      </c>
      <c r="AL80" s="130" t="n">
        <f aca="false">AVERAGE(AL75,AL78)*$D$72</f>
        <v>0</v>
      </c>
    </row>
    <row r="82" customFormat="false" ht="15" hidden="false" customHeight="false" outlineLevel="0" collapsed="false">
      <c r="B82" s="8" t="s">
        <v>752</v>
      </c>
    </row>
    <row r="83" customFormat="false" ht="15" hidden="false" customHeight="false" outlineLevel="0" collapsed="false">
      <c r="C83" s="1" t="s">
        <v>734</v>
      </c>
      <c r="H83" s="130" t="n">
        <f aca="false">H59+H67+H75</f>
        <v>0</v>
      </c>
      <c r="I83" s="130" t="n">
        <f aca="false">I59+I67+I75</f>
        <v>0</v>
      </c>
      <c r="J83" s="130" t="n">
        <f aca="false">J59+J67+J75</f>
        <v>5000000</v>
      </c>
      <c r="K83" s="130" t="n">
        <f aca="false">K59+K67+K75</f>
        <v>5000000</v>
      </c>
      <c r="L83" s="130" t="n">
        <f aca="false">L59+L67+L75</f>
        <v>4500000</v>
      </c>
      <c r="M83" s="130" t="n">
        <f aca="false">M59+M67+M75</f>
        <v>4000000</v>
      </c>
      <c r="N83" s="130" t="n">
        <f aca="false">N59+N67+N75</f>
        <v>3500000</v>
      </c>
      <c r="O83" s="130" t="n">
        <f aca="false">O59+O67+O75</f>
        <v>3000000</v>
      </c>
      <c r="P83" s="130" t="n">
        <f aca="false">P59+P67+P75</f>
        <v>2500000</v>
      </c>
      <c r="Q83" s="130" t="n">
        <f aca="false">Q59+Q67+Q75</f>
        <v>2000000</v>
      </c>
      <c r="R83" s="130" t="n">
        <f aca="false">R59+R67+R75</f>
        <v>1500000</v>
      </c>
      <c r="S83" s="130" t="n">
        <f aca="false">S59+S67+S75</f>
        <v>1000000</v>
      </c>
      <c r="T83" s="130" t="n">
        <f aca="false">T59+T67+T75</f>
        <v>500000</v>
      </c>
      <c r="U83" s="130" t="n">
        <f aca="false">U59+U67+U75</f>
        <v>0</v>
      </c>
      <c r="V83" s="130" t="n">
        <f aca="false">V59+V67+V75</f>
        <v>0</v>
      </c>
      <c r="W83" s="130" t="n">
        <f aca="false">W59+W67+W75</f>
        <v>0</v>
      </c>
      <c r="X83" s="130" t="n">
        <f aca="false">X59+X67+X75</f>
        <v>0</v>
      </c>
      <c r="Y83" s="130" t="n">
        <f aca="false">Y59+Y67+Y75</f>
        <v>0</v>
      </c>
      <c r="Z83" s="130" t="n">
        <f aca="false">Z59+Z67+Z75</f>
        <v>0</v>
      </c>
      <c r="AA83" s="130" t="n">
        <f aca="false">AA59+AA67+AA75</f>
        <v>0</v>
      </c>
      <c r="AB83" s="130" t="n">
        <f aca="false">AB59+AB67+AB75</f>
        <v>0</v>
      </c>
      <c r="AC83" s="130" t="n">
        <f aca="false">AC59+AC67+AC75</f>
        <v>0</v>
      </c>
      <c r="AD83" s="130" t="n">
        <f aca="false">AD59+AD67+AD75</f>
        <v>0</v>
      </c>
      <c r="AE83" s="130" t="n">
        <f aca="false">AE59+AE67+AE75</f>
        <v>0</v>
      </c>
      <c r="AF83" s="130" t="n">
        <f aca="false">AF59+AF67+AF75</f>
        <v>0</v>
      </c>
      <c r="AG83" s="130" t="n">
        <f aca="false">AG59+AG67+AG75</f>
        <v>0</v>
      </c>
      <c r="AH83" s="130" t="n">
        <f aca="false">AH59+AH67+AH75</f>
        <v>0</v>
      </c>
      <c r="AI83" s="130" t="n">
        <f aca="false">AI59+AI67+AI75</f>
        <v>0</v>
      </c>
      <c r="AJ83" s="130" t="n">
        <f aca="false">AJ59+AJ67+AJ75</f>
        <v>0</v>
      </c>
      <c r="AK83" s="130" t="n">
        <f aca="false">AK59+AK67+AK75</f>
        <v>0</v>
      </c>
      <c r="AL83" s="130" t="n">
        <f aca="false">AL59+AL67+AL75</f>
        <v>0</v>
      </c>
    </row>
    <row r="84" customFormat="false" ht="15" hidden="false" customHeight="false" outlineLevel="0" collapsed="false">
      <c r="C84" s="1" t="s">
        <v>747</v>
      </c>
      <c r="H84" s="130" t="n">
        <f aca="false">H60+H68+H76</f>
        <v>0</v>
      </c>
      <c r="I84" s="130" t="n">
        <f aca="false">I60+I68+I76</f>
        <v>5000000</v>
      </c>
      <c r="J84" s="130" t="n">
        <f aca="false">J60+J68+J76</f>
        <v>0</v>
      </c>
      <c r="K84" s="130" t="n">
        <f aca="false">K60+K68+K76</f>
        <v>0</v>
      </c>
      <c r="L84" s="130" t="n">
        <f aca="false">L60+L68+L76</f>
        <v>0</v>
      </c>
      <c r="M84" s="130" t="n">
        <f aca="false">M60+M68+M76</f>
        <v>0</v>
      </c>
      <c r="N84" s="130" t="n">
        <f aca="false">N60+N68+N76</f>
        <v>0</v>
      </c>
      <c r="O84" s="130" t="n">
        <f aca="false">O60+O68+O76</f>
        <v>0</v>
      </c>
      <c r="P84" s="130" t="n">
        <f aca="false">P60+P68+P76</f>
        <v>0</v>
      </c>
      <c r="Q84" s="130" t="n">
        <f aca="false">Q60+Q68+Q76</f>
        <v>0</v>
      </c>
      <c r="R84" s="130" t="n">
        <f aca="false">R60+R68+R76</f>
        <v>0</v>
      </c>
      <c r="S84" s="130" t="n">
        <f aca="false">S60+S68+S76</f>
        <v>0</v>
      </c>
      <c r="T84" s="130" t="n">
        <f aca="false">T60+T68+T76</f>
        <v>0</v>
      </c>
      <c r="U84" s="130" t="n">
        <f aca="false">U60+U68+U76</f>
        <v>0</v>
      </c>
      <c r="V84" s="130" t="n">
        <f aca="false">V60+V68+V76</f>
        <v>0</v>
      </c>
      <c r="W84" s="130" t="n">
        <f aca="false">W60+W68+W76</f>
        <v>0</v>
      </c>
      <c r="X84" s="130" t="n">
        <f aca="false">X60+X68+X76</f>
        <v>0</v>
      </c>
      <c r="Y84" s="130" t="n">
        <f aca="false">Y60+Y68+Y76</f>
        <v>0</v>
      </c>
      <c r="Z84" s="130" t="n">
        <f aca="false">Z60+Z68+Z76</f>
        <v>0</v>
      </c>
      <c r="AA84" s="130" t="n">
        <f aca="false">AA60+AA68+AA76</f>
        <v>0</v>
      </c>
      <c r="AB84" s="130" t="n">
        <f aca="false">AB60+AB68+AB76</f>
        <v>0</v>
      </c>
      <c r="AC84" s="130" t="n">
        <f aca="false">AC60+AC68+AC76</f>
        <v>0</v>
      </c>
      <c r="AD84" s="130" t="n">
        <f aca="false">AD60+AD68+AD76</f>
        <v>0</v>
      </c>
      <c r="AE84" s="130" t="n">
        <f aca="false">AE60+AE68+AE76</f>
        <v>0</v>
      </c>
      <c r="AF84" s="130" t="n">
        <f aca="false">AF60+AF68+AF76</f>
        <v>0</v>
      </c>
      <c r="AG84" s="130" t="n">
        <f aca="false">AG60+AG68+AG76</f>
        <v>0</v>
      </c>
      <c r="AH84" s="130" t="n">
        <f aca="false">AH60+AH68+AH76</f>
        <v>0</v>
      </c>
      <c r="AI84" s="130" t="n">
        <f aca="false">AI60+AI68+AI76</f>
        <v>0</v>
      </c>
      <c r="AJ84" s="130" t="n">
        <f aca="false">AJ60+AJ68+AJ76</f>
        <v>0</v>
      </c>
      <c r="AK84" s="130" t="n">
        <f aca="false">AK60+AK68+AK76</f>
        <v>0</v>
      </c>
      <c r="AL84" s="130" t="n">
        <f aca="false">AL60+AL68+AL76</f>
        <v>0</v>
      </c>
    </row>
    <row r="85" customFormat="false" ht="15" hidden="false" customHeight="false" outlineLevel="0" collapsed="false">
      <c r="C85" s="133" t="s">
        <v>748</v>
      </c>
      <c r="H85" s="130" t="n">
        <f aca="false">H61+H69+H77</f>
        <v>0</v>
      </c>
      <c r="I85" s="130" t="n">
        <f aca="false">I61+I69+I77</f>
        <v>0</v>
      </c>
      <c r="J85" s="130" t="n">
        <f aca="false">J61+J69+J77</f>
        <v>0</v>
      </c>
      <c r="K85" s="130" t="n">
        <f aca="false">K61+K69+K77</f>
        <v>-500000</v>
      </c>
      <c r="L85" s="130" t="n">
        <f aca="false">L61+L69+L77</f>
        <v>-500000</v>
      </c>
      <c r="M85" s="130" t="n">
        <f aca="false">M61+M69+M77</f>
        <v>-500000</v>
      </c>
      <c r="N85" s="130" t="n">
        <f aca="false">N61+N69+N77</f>
        <v>-500000</v>
      </c>
      <c r="O85" s="130" t="n">
        <f aca="false">O61+O69+O77</f>
        <v>-500000</v>
      </c>
      <c r="P85" s="130" t="n">
        <f aca="false">P61+P69+P77</f>
        <v>-500000</v>
      </c>
      <c r="Q85" s="130" t="n">
        <f aca="false">Q61+Q69+Q77</f>
        <v>-500000</v>
      </c>
      <c r="R85" s="130" t="n">
        <f aca="false">R61+R69+R77</f>
        <v>-500000</v>
      </c>
      <c r="S85" s="130" t="n">
        <f aca="false">S61+S69+S77</f>
        <v>-500000</v>
      </c>
      <c r="T85" s="130" t="n">
        <f aca="false">T61+T69+T77</f>
        <v>-500000</v>
      </c>
      <c r="U85" s="130" t="n">
        <f aca="false">U61+U69+U77</f>
        <v>0</v>
      </c>
      <c r="V85" s="130" t="n">
        <f aca="false">V61+V69+V77</f>
        <v>0</v>
      </c>
      <c r="W85" s="130" t="n">
        <f aca="false">W61+W69+W77</f>
        <v>0</v>
      </c>
      <c r="X85" s="130" t="n">
        <f aca="false">X61+X69+X77</f>
        <v>0</v>
      </c>
      <c r="Y85" s="130" t="n">
        <f aca="false">Y61+Y69+Y77</f>
        <v>0</v>
      </c>
      <c r="Z85" s="130" t="n">
        <f aca="false">Z61+Z69+Z77</f>
        <v>0</v>
      </c>
      <c r="AA85" s="130" t="n">
        <f aca="false">AA61+AA69+AA77</f>
        <v>0</v>
      </c>
      <c r="AB85" s="130" t="n">
        <f aca="false">AB61+AB69+AB77</f>
        <v>0</v>
      </c>
      <c r="AC85" s="130" t="n">
        <f aca="false">AC61+AC69+AC77</f>
        <v>0</v>
      </c>
      <c r="AD85" s="130" t="n">
        <f aca="false">AD61+AD69+AD77</f>
        <v>0</v>
      </c>
      <c r="AE85" s="130" t="n">
        <f aca="false">AE61+AE69+AE77</f>
        <v>0</v>
      </c>
      <c r="AF85" s="130" t="n">
        <f aca="false">AF61+AF69+AF77</f>
        <v>0</v>
      </c>
      <c r="AG85" s="130" t="n">
        <f aca="false">AG61+AG69+AG77</f>
        <v>0</v>
      </c>
      <c r="AH85" s="130" t="n">
        <f aca="false">AH61+AH69+AH77</f>
        <v>0</v>
      </c>
      <c r="AI85" s="130" t="n">
        <f aca="false">AI61+AI69+AI77</f>
        <v>0</v>
      </c>
      <c r="AJ85" s="130" t="n">
        <f aca="false">AJ61+AJ69+AJ77</f>
        <v>0</v>
      </c>
      <c r="AK85" s="130" t="n">
        <f aca="false">AK61+AK69+AK77</f>
        <v>0</v>
      </c>
      <c r="AL85" s="130" t="n">
        <f aca="false">AL61+AL69+AL77</f>
        <v>0</v>
      </c>
    </row>
    <row r="86" customFormat="false" ht="15" hidden="false" customHeight="false" outlineLevel="0" collapsed="false">
      <c r="C86" s="68" t="s">
        <v>729</v>
      </c>
      <c r="D86" s="274"/>
      <c r="E86" s="276"/>
      <c r="F86" s="276"/>
      <c r="G86" s="276"/>
      <c r="H86" s="277" t="n">
        <f aca="false">SUM(H83:H85)</f>
        <v>0</v>
      </c>
      <c r="I86" s="277" t="n">
        <f aca="false">SUM(I83:I85)</f>
        <v>5000000</v>
      </c>
      <c r="J86" s="277" t="n">
        <f aca="false">SUM(J83:J85)</f>
        <v>5000000</v>
      </c>
      <c r="K86" s="277" t="n">
        <f aca="false">SUM(K83:K85)</f>
        <v>4500000</v>
      </c>
      <c r="L86" s="277" t="n">
        <f aca="false">SUM(L83:L85)</f>
        <v>4000000</v>
      </c>
      <c r="M86" s="277" t="n">
        <f aca="false">SUM(M83:M85)</f>
        <v>3500000</v>
      </c>
      <c r="N86" s="277" t="n">
        <f aca="false">SUM(N83:N85)</f>
        <v>3000000</v>
      </c>
      <c r="O86" s="277" t="n">
        <f aca="false">SUM(O83:O85)</f>
        <v>2500000</v>
      </c>
      <c r="P86" s="277" t="n">
        <f aca="false">SUM(P83:P85)</f>
        <v>2000000</v>
      </c>
      <c r="Q86" s="277" t="n">
        <f aca="false">SUM(Q83:Q85)</f>
        <v>1500000</v>
      </c>
      <c r="R86" s="277" t="n">
        <f aca="false">SUM(R83:R85)</f>
        <v>1000000</v>
      </c>
      <c r="S86" s="277" t="n">
        <f aca="false">SUM(S83:S85)</f>
        <v>500000</v>
      </c>
      <c r="T86" s="277" t="n">
        <f aca="false">SUM(T83:T85)</f>
        <v>0</v>
      </c>
      <c r="U86" s="277" t="n">
        <f aca="false">SUM(U83:U85)</f>
        <v>0</v>
      </c>
      <c r="V86" s="277" t="n">
        <f aca="false">SUM(V83:V85)</f>
        <v>0</v>
      </c>
      <c r="W86" s="277" t="n">
        <f aca="false">SUM(W83:W85)</f>
        <v>0</v>
      </c>
      <c r="X86" s="277" t="n">
        <f aca="false">SUM(X83:X85)</f>
        <v>0</v>
      </c>
      <c r="Y86" s="277" t="n">
        <f aca="false">SUM(Y83:Y85)</f>
        <v>0</v>
      </c>
      <c r="Z86" s="277" t="n">
        <f aca="false">SUM(Z83:Z85)</f>
        <v>0</v>
      </c>
      <c r="AA86" s="277" t="n">
        <f aca="false">SUM(AA83:AA85)</f>
        <v>0</v>
      </c>
      <c r="AB86" s="277" t="n">
        <f aca="false">SUM(AB83:AB85)</f>
        <v>0</v>
      </c>
      <c r="AC86" s="277" t="n">
        <f aca="false">SUM(AC83:AC85)</f>
        <v>0</v>
      </c>
      <c r="AD86" s="277" t="n">
        <f aca="false">SUM(AD83:AD85)</f>
        <v>0</v>
      </c>
      <c r="AE86" s="277" t="n">
        <f aca="false">SUM(AE83:AE85)</f>
        <v>0</v>
      </c>
      <c r="AF86" s="277" t="n">
        <f aca="false">SUM(AF83:AF85)</f>
        <v>0</v>
      </c>
      <c r="AG86" s="277" t="n">
        <f aca="false">SUM(AG83:AG85)</f>
        <v>0</v>
      </c>
      <c r="AH86" s="277" t="n">
        <f aca="false">SUM(AH83:AH85)</f>
        <v>0</v>
      </c>
      <c r="AI86" s="277" t="n">
        <f aca="false">SUM(AI83:AI85)</f>
        <v>0</v>
      </c>
      <c r="AJ86" s="277" t="n">
        <f aca="false">SUM(AJ83:AJ85)</f>
        <v>0</v>
      </c>
      <c r="AK86" s="277" t="n">
        <f aca="false">SUM(AK83:AK85)</f>
        <v>0</v>
      </c>
      <c r="AL86" s="277" t="n">
        <f aca="false">SUM(AL83:AL85)</f>
        <v>0</v>
      </c>
    </row>
    <row r="88" customFormat="false" ht="15" hidden="false" customHeight="false" outlineLevel="0" collapsed="false">
      <c r="C88" s="1" t="s">
        <v>749</v>
      </c>
      <c r="D88" s="448"/>
      <c r="H88" s="130" t="n">
        <f aca="false">H64+H72+H80</f>
        <v>0</v>
      </c>
      <c r="I88" s="130" t="n">
        <f aca="false">I64+I72+I80</f>
        <v>175000</v>
      </c>
      <c r="J88" s="130" t="n">
        <f aca="false">J64+J72+J80</f>
        <v>350000</v>
      </c>
      <c r="K88" s="130" t="n">
        <f aca="false">K64+K72+K80</f>
        <v>332500</v>
      </c>
      <c r="L88" s="130" t="n">
        <f aca="false">L64+L72+L80</f>
        <v>297500</v>
      </c>
      <c r="M88" s="130" t="n">
        <f aca="false">M64+M72+M80</f>
        <v>262500</v>
      </c>
      <c r="N88" s="130" t="n">
        <f aca="false">N64+N72+N80</f>
        <v>227500</v>
      </c>
      <c r="O88" s="130" t="n">
        <f aca="false">O64+O72+O80</f>
        <v>192500</v>
      </c>
      <c r="P88" s="130" t="n">
        <f aca="false">P64+P72+P80</f>
        <v>157500</v>
      </c>
      <c r="Q88" s="130" t="n">
        <f aca="false">Q64+Q72+Q80</f>
        <v>122500</v>
      </c>
      <c r="R88" s="130" t="n">
        <f aca="false">R64+R72+R80</f>
        <v>87500</v>
      </c>
      <c r="S88" s="130" t="n">
        <f aca="false">S64+S72+S80</f>
        <v>52500</v>
      </c>
      <c r="T88" s="130" t="n">
        <f aca="false">T64+T72+T80</f>
        <v>17500</v>
      </c>
      <c r="U88" s="130" t="n">
        <f aca="false">U64+U72+U80</f>
        <v>0</v>
      </c>
      <c r="V88" s="130" t="n">
        <f aca="false">V64+V72+V80</f>
        <v>0</v>
      </c>
      <c r="W88" s="130" t="n">
        <f aca="false">W64+W72+W80</f>
        <v>0</v>
      </c>
      <c r="X88" s="130" t="n">
        <f aca="false">X64+X72+X80</f>
        <v>0</v>
      </c>
      <c r="Y88" s="130" t="n">
        <f aca="false">Y64+Y72+Y80</f>
        <v>0</v>
      </c>
      <c r="Z88" s="130" t="n">
        <f aca="false">Z64+Z72+Z80</f>
        <v>0</v>
      </c>
      <c r="AA88" s="130" t="n">
        <f aca="false">AA64+AA72+AA80</f>
        <v>0</v>
      </c>
      <c r="AB88" s="130" t="n">
        <f aca="false">AB64+AB72+AB80</f>
        <v>0</v>
      </c>
      <c r="AC88" s="130" t="n">
        <f aca="false">AC64+AC72+AC80</f>
        <v>0</v>
      </c>
      <c r="AD88" s="130" t="n">
        <f aca="false">AD64+AD72+AD80</f>
        <v>0</v>
      </c>
      <c r="AE88" s="130" t="n">
        <f aca="false">AE64+AE72+AE80</f>
        <v>0</v>
      </c>
      <c r="AF88" s="130" t="n">
        <f aca="false">AF64+AF72+AF80</f>
        <v>0</v>
      </c>
      <c r="AG88" s="130" t="n">
        <f aca="false">AG64+AG72+AG80</f>
        <v>0</v>
      </c>
      <c r="AH88" s="130" t="n">
        <f aca="false">AH64+AH72+AH80</f>
        <v>0</v>
      </c>
      <c r="AI88" s="130" t="n">
        <f aca="false">AI64+AI72+AI80</f>
        <v>0</v>
      </c>
      <c r="AJ88" s="130" t="n">
        <f aca="false">AJ64+AJ72+AJ80</f>
        <v>0</v>
      </c>
      <c r="AK88" s="130" t="n">
        <f aca="false">AK64+AK72+AK80</f>
        <v>0</v>
      </c>
      <c r="AL88" s="130" t="n">
        <f aca="false">AL64+AL72+AL80</f>
        <v>0</v>
      </c>
    </row>
    <row r="89" customFormat="false" ht="15" hidden="false" customHeight="false" outlineLevel="0" collapsed="false">
      <c r="D89" s="448"/>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row>
    <row r="90" customFormat="false" ht="15" hidden="false" customHeight="false" outlineLevel="0" collapsed="false">
      <c r="C90" s="1" t="s">
        <v>753</v>
      </c>
      <c r="H90" s="147" t="n">
        <f aca="false">-I85</f>
        <v>0</v>
      </c>
      <c r="I90" s="147" t="n">
        <f aca="false">-J85</f>
        <v>0</v>
      </c>
      <c r="J90" s="147" t="n">
        <f aca="false">-K85</f>
        <v>500000</v>
      </c>
      <c r="K90" s="147" t="n">
        <f aca="false">-L85</f>
        <v>500000</v>
      </c>
      <c r="L90" s="147" t="n">
        <f aca="false">-M85</f>
        <v>500000</v>
      </c>
      <c r="M90" s="147" t="n">
        <f aca="false">-N85</f>
        <v>500000</v>
      </c>
      <c r="N90" s="147" t="n">
        <f aca="false">-O85</f>
        <v>500000</v>
      </c>
      <c r="O90" s="147" t="n">
        <f aca="false">-P85</f>
        <v>500000</v>
      </c>
      <c r="P90" s="147" t="n">
        <f aca="false">-Q85</f>
        <v>500000</v>
      </c>
      <c r="Q90" s="147" t="n">
        <f aca="false">-R85</f>
        <v>500000</v>
      </c>
      <c r="R90" s="147" t="n">
        <f aca="false">-S85</f>
        <v>500000</v>
      </c>
      <c r="S90" s="147" t="n">
        <f aca="false">-T85</f>
        <v>500000</v>
      </c>
      <c r="T90" s="147" t="n">
        <f aca="false">-U85</f>
        <v>-0</v>
      </c>
      <c r="U90" s="147" t="n">
        <f aca="false">-V85</f>
        <v>-0</v>
      </c>
      <c r="V90" s="147" t="n">
        <f aca="false">-W85</f>
        <v>-0</v>
      </c>
      <c r="W90" s="147" t="n">
        <f aca="false">-X85</f>
        <v>-0</v>
      </c>
      <c r="X90" s="147" t="n">
        <f aca="false">-Y85</f>
        <v>-0</v>
      </c>
      <c r="Y90" s="147" t="n">
        <f aca="false">-Z85</f>
        <v>-0</v>
      </c>
      <c r="Z90" s="147" t="n">
        <f aca="false">-AA85</f>
        <v>-0</v>
      </c>
      <c r="AA90" s="147" t="n">
        <f aca="false">-AB85</f>
        <v>-0</v>
      </c>
      <c r="AB90" s="147" t="n">
        <f aca="false">-AC85</f>
        <v>-0</v>
      </c>
      <c r="AC90" s="147" t="n">
        <f aca="false">-AD85</f>
        <v>-0</v>
      </c>
      <c r="AD90" s="147" t="n">
        <f aca="false">-AE85</f>
        <v>-0</v>
      </c>
      <c r="AE90" s="147" t="n">
        <f aca="false">-AF85</f>
        <v>-0</v>
      </c>
      <c r="AF90" s="147" t="n">
        <f aca="false">-AG85</f>
        <v>-0</v>
      </c>
      <c r="AG90" s="147" t="n">
        <f aca="false">-AH85</f>
        <v>-0</v>
      </c>
      <c r="AH90" s="147" t="n">
        <f aca="false">-AI85</f>
        <v>-0</v>
      </c>
      <c r="AI90" s="147" t="n">
        <f aca="false">-AJ85</f>
        <v>-0</v>
      </c>
      <c r="AJ90" s="147" t="n">
        <f aca="false">-AK85</f>
        <v>-0</v>
      </c>
      <c r="AK90" s="147" t="n">
        <f aca="false">0</f>
        <v>0</v>
      </c>
      <c r="AL90" s="147" t="n">
        <f aca="false">0</f>
        <v>0</v>
      </c>
    </row>
    <row r="91" customFormat="false" ht="15" hidden="false" customHeight="false" outlineLevel="0" collapsed="false">
      <c r="C91" s="1" t="s">
        <v>754</v>
      </c>
      <c r="H91" s="147" t="n">
        <f aca="false">H86-H90</f>
        <v>0</v>
      </c>
      <c r="I91" s="147" t="n">
        <f aca="false">I86-I90</f>
        <v>5000000</v>
      </c>
      <c r="J91" s="147" t="n">
        <f aca="false">J86-J90</f>
        <v>4500000</v>
      </c>
      <c r="K91" s="147" t="n">
        <f aca="false">K86-K90</f>
        <v>4000000</v>
      </c>
      <c r="L91" s="147" t="n">
        <f aca="false">L86-L90</f>
        <v>3500000</v>
      </c>
      <c r="M91" s="147" t="n">
        <f aca="false">M86-M90</f>
        <v>3000000</v>
      </c>
      <c r="N91" s="147" t="n">
        <f aca="false">N86-N90</f>
        <v>2500000</v>
      </c>
      <c r="O91" s="147" t="n">
        <f aca="false">O86-O90</f>
        <v>2000000</v>
      </c>
      <c r="P91" s="147" t="n">
        <f aca="false">P86-P90</f>
        <v>1500000</v>
      </c>
      <c r="Q91" s="147" t="n">
        <f aca="false">Q86-Q90</f>
        <v>1000000</v>
      </c>
      <c r="R91" s="147" t="n">
        <f aca="false">R86-R90</f>
        <v>500000</v>
      </c>
      <c r="S91" s="147" t="n">
        <f aca="false">S86-S90</f>
        <v>0</v>
      </c>
      <c r="T91" s="147" t="n">
        <f aca="false">T86-T90</f>
        <v>0</v>
      </c>
      <c r="U91" s="147" t="n">
        <f aca="false">U86-U90</f>
        <v>0</v>
      </c>
      <c r="V91" s="147" t="n">
        <f aca="false">V86-V90</f>
        <v>0</v>
      </c>
      <c r="W91" s="147" t="n">
        <f aca="false">W86-W90</f>
        <v>0</v>
      </c>
      <c r="X91" s="147" t="n">
        <f aca="false">X86-X90</f>
        <v>0</v>
      </c>
      <c r="Y91" s="147" t="n">
        <f aca="false">Y86-Y90</f>
        <v>0</v>
      </c>
      <c r="Z91" s="147" t="n">
        <f aca="false">Z86-Z90</f>
        <v>0</v>
      </c>
      <c r="AA91" s="147" t="n">
        <f aca="false">AA86-AA90</f>
        <v>0</v>
      </c>
      <c r="AB91" s="147" t="n">
        <f aca="false">AB86-AB90</f>
        <v>0</v>
      </c>
      <c r="AC91" s="147" t="n">
        <f aca="false">AC86-AC90</f>
        <v>0</v>
      </c>
      <c r="AD91" s="147" t="n">
        <f aca="false">AD86-AD90</f>
        <v>0</v>
      </c>
      <c r="AE91" s="147" t="n">
        <f aca="false">AE86-AE90</f>
        <v>0</v>
      </c>
      <c r="AF91" s="147" t="n">
        <f aca="false">AF86-AF90</f>
        <v>0</v>
      </c>
      <c r="AG91" s="147" t="n">
        <f aca="false">AG86-AG90</f>
        <v>0</v>
      </c>
      <c r="AH91" s="147" t="n">
        <f aca="false">AH86-AH90</f>
        <v>0</v>
      </c>
      <c r="AI91" s="147" t="n">
        <f aca="false">AI86-AI90</f>
        <v>0</v>
      </c>
      <c r="AJ91" s="147" t="n">
        <f aca="false">AJ86-AJ90</f>
        <v>0</v>
      </c>
      <c r="AK91" s="147" t="n">
        <f aca="false">AK86-AK90</f>
        <v>0</v>
      </c>
      <c r="AL91" s="147" t="n">
        <f aca="false">AL86-AL90</f>
        <v>0</v>
      </c>
    </row>
    <row r="344" customFormat="false" ht="15" hidden="false" customHeight="false" outlineLevel="0" collapsed="false">
      <c r="Q344" s="1" t="e">
        <f aca="false">#REF!*Q$5</f>
        <v>#REF!</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157"/>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pane xSplit="4" ySplit="3" topLeftCell="E28" activePane="bottomRight" state="frozen"/>
      <selection pane="topLeft" activeCell="A1" activeCellId="0" sqref="A1"/>
      <selection pane="topRight" activeCell="E1" activeCellId="0" sqref="E1"/>
      <selection pane="bottomLeft" activeCell="A28" activeCellId="0" sqref="A28"/>
      <selection pane="bottomRight" activeCell="A1" activeCellId="0" sqref="A1"/>
    </sheetView>
  </sheetViews>
  <sheetFormatPr defaultColWidth="8.83203125" defaultRowHeight="15" zeroHeight="false" outlineLevelRow="1" outlineLevelCol="1"/>
  <cols>
    <col collapsed="false" customWidth="true" hidden="false" outlineLevel="0" max="1" min="1" style="0" width="3"/>
    <col collapsed="false" customWidth="true" hidden="false" outlineLevel="0" max="2" min="2" style="0" width="3.16"/>
    <col collapsed="false" customWidth="true" hidden="false" outlineLevel="0" max="3" min="3" style="0" width="36.83"/>
    <col collapsed="false" customWidth="true" hidden="false" outlineLevel="0" max="4" min="4" style="0" width="10.51"/>
    <col collapsed="false" customWidth="true" hidden="false" outlineLevel="0" max="5" min="5" style="0" width="10.16"/>
    <col collapsed="false" customWidth="true" hidden="false" outlineLevel="0" max="6" min="6" style="0" width="2.5"/>
    <col collapsed="false" customWidth="true" hidden="false" outlineLevel="0" max="7" min="7" style="151" width="2.5"/>
    <col collapsed="false" customWidth="true" hidden="false" outlineLevel="0" max="8" min="8" style="0" width="11.5"/>
    <col collapsed="false" customWidth="true" hidden="false" outlineLevel="0" max="9" min="9" style="0" width="11.33"/>
    <col collapsed="false" customWidth="true" hidden="false" outlineLevel="0" max="11" min="10" style="0" width="11.67"/>
    <col collapsed="false" customWidth="true" hidden="false" outlineLevel="0" max="17" min="12" style="0" width="12.33"/>
    <col collapsed="false" customWidth="true" hidden="true" outlineLevel="1" max="18" min="18" style="0" width="11.67"/>
    <col collapsed="false" customWidth="true" hidden="true" outlineLevel="1" max="36" min="19" style="0" width="11.5"/>
    <col collapsed="false" customWidth="true" hidden="false" outlineLevel="0" max="37" min="37" style="0" width="11.5"/>
    <col collapsed="false" customWidth="true" hidden="false" outlineLevel="0" max="38" min="38" style="0" width="11.33"/>
  </cols>
  <sheetData>
    <row r="2" customFormat="false" ht="15" hidden="false" customHeight="false" outlineLevel="0" collapsed="false">
      <c r="B2" s="6" t="s">
        <v>755</v>
      </c>
      <c r="C2" s="6"/>
      <c r="D2" s="97"/>
      <c r="E2" s="6" t="s">
        <v>756</v>
      </c>
      <c r="F2" s="6"/>
      <c r="G2" s="152"/>
      <c r="H2" s="6" t="n">
        <f aca="false">'2. NPV'!H47</f>
        <v>2024</v>
      </c>
      <c r="I2" s="6" t="n">
        <f aca="false">'2. NPV'!I47</f>
        <v>2025</v>
      </c>
      <c r="J2" s="6" t="n">
        <f aca="false">'2. NPV'!J47</f>
        <v>2026</v>
      </c>
      <c r="K2" s="6" t="n">
        <f aca="false">'2. NPV'!K47</f>
        <v>2027</v>
      </c>
      <c r="L2" s="6" t="n">
        <f aca="false">'2. NPV'!L47</f>
        <v>2028</v>
      </c>
      <c r="M2" s="6" t="n">
        <f aca="false">'2. NPV'!M47</f>
        <v>2029</v>
      </c>
      <c r="N2" s="6" t="n">
        <f aca="false">'2. NPV'!N47</f>
        <v>2030</v>
      </c>
      <c r="O2" s="6" t="n">
        <f aca="false">'2. NPV'!O47</f>
        <v>2031</v>
      </c>
      <c r="P2" s="6" t="n">
        <f aca="false">'2. NPV'!P47</f>
        <v>2032</v>
      </c>
      <c r="Q2" s="6" t="n">
        <f aca="false">'2. NPV'!Q47</f>
        <v>2033</v>
      </c>
      <c r="R2" s="6" t="n">
        <f aca="false">'2. NPV'!R47</f>
        <v>2034</v>
      </c>
      <c r="S2" s="6" t="n">
        <f aca="false">'2. NPV'!S47</f>
        <v>2035</v>
      </c>
      <c r="T2" s="6" t="n">
        <f aca="false">'2. NPV'!T47</f>
        <v>2036</v>
      </c>
      <c r="U2" s="6" t="n">
        <f aca="false">'2. NPV'!U47</f>
        <v>2037</v>
      </c>
      <c r="V2" s="6" t="n">
        <f aca="false">'2. NPV'!V47</f>
        <v>2038</v>
      </c>
      <c r="W2" s="6" t="n">
        <f aca="false">'2. NPV'!W47</f>
        <v>2039</v>
      </c>
      <c r="X2" s="6" t="n">
        <f aca="false">'2. NPV'!X47</f>
        <v>2040</v>
      </c>
      <c r="Y2" s="6" t="n">
        <f aca="false">'2. NPV'!Y47</f>
        <v>2041</v>
      </c>
      <c r="Z2" s="6" t="n">
        <f aca="false">'2. NPV'!Z47</f>
        <v>2042</v>
      </c>
      <c r="AA2" s="6" t="n">
        <f aca="false">'2. NPV'!AA47</f>
        <v>2043</v>
      </c>
      <c r="AB2" s="6" t="n">
        <f aca="false">'2. NPV'!AB47</f>
        <v>2044</v>
      </c>
      <c r="AC2" s="6" t="n">
        <f aca="false">'2. NPV'!AC47</f>
        <v>2045</v>
      </c>
      <c r="AD2" s="6" t="n">
        <f aca="false">'2. NPV'!AD47</f>
        <v>2046</v>
      </c>
      <c r="AE2" s="6" t="n">
        <f aca="false">'2. NPV'!AE47</f>
        <v>2047</v>
      </c>
      <c r="AF2" s="6" t="n">
        <f aca="false">'2. NPV'!AF47</f>
        <v>2048</v>
      </c>
      <c r="AG2" s="6" t="n">
        <f aca="false">'2. NPV'!AG47</f>
        <v>2049</v>
      </c>
      <c r="AH2" s="6" t="n">
        <f aca="false">'2. NPV'!AH47</f>
        <v>2050</v>
      </c>
      <c r="AI2" s="6" t="n">
        <f aca="false">'2. NPV'!AI47</f>
        <v>2051</v>
      </c>
      <c r="AJ2" s="6" t="n">
        <f aca="false">'2. NPV'!AJ47</f>
        <v>2052</v>
      </c>
      <c r="AK2" s="6" t="n">
        <f aca="false">'2. NPV'!AK47</f>
        <v>2053</v>
      </c>
      <c r="AL2" s="6" t="n">
        <f aca="false">'2. NPV'!AL47</f>
        <v>2054</v>
      </c>
    </row>
    <row r="3" s="1" customFormat="true" ht="15" hidden="false" customHeight="false" outlineLevel="0" collapsed="false">
      <c r="B3" s="6"/>
      <c r="C3" s="6"/>
      <c r="D3" s="97"/>
      <c r="E3" s="6"/>
      <c r="F3" s="6"/>
      <c r="G3" s="152"/>
      <c r="H3" s="6" t="n">
        <f aca="false">Period_Start</f>
        <v>1</v>
      </c>
      <c r="I3" s="6" t="n">
        <f aca="false">H3+1</f>
        <v>2</v>
      </c>
      <c r="J3" s="6" t="n">
        <f aca="false">I3+1</f>
        <v>3</v>
      </c>
      <c r="K3" s="6" t="n">
        <f aca="false">J3+1</f>
        <v>4</v>
      </c>
      <c r="L3" s="6" t="n">
        <f aca="false">K3+1</f>
        <v>5</v>
      </c>
      <c r="M3" s="6" t="n">
        <f aca="false">L3+1</f>
        <v>6</v>
      </c>
      <c r="N3" s="6" t="n">
        <f aca="false">M3+1</f>
        <v>7</v>
      </c>
      <c r="O3" s="6" t="n">
        <f aca="false">N3+1</f>
        <v>8</v>
      </c>
      <c r="P3" s="6" t="n">
        <f aca="false">O3+1</f>
        <v>9</v>
      </c>
      <c r="Q3" s="6" t="n">
        <f aca="false">P3+1</f>
        <v>10</v>
      </c>
      <c r="R3" s="6" t="n">
        <f aca="false">Q3+1</f>
        <v>11</v>
      </c>
      <c r="S3" s="6" t="n">
        <f aca="false">R3+1</f>
        <v>12</v>
      </c>
      <c r="T3" s="6" t="n">
        <f aca="false">S3+1</f>
        <v>13</v>
      </c>
      <c r="U3" s="6" t="n">
        <f aca="false">T3+1</f>
        <v>14</v>
      </c>
      <c r="V3" s="6" t="n">
        <f aca="false">U3+1</f>
        <v>15</v>
      </c>
      <c r="W3" s="6" t="n">
        <f aca="false">V3+1</f>
        <v>16</v>
      </c>
      <c r="X3" s="6" t="n">
        <f aca="false">W3+1</f>
        <v>17</v>
      </c>
      <c r="Y3" s="6" t="n">
        <f aca="false">X3+1</f>
        <v>18</v>
      </c>
      <c r="Z3" s="6" t="n">
        <f aca="false">Y3+1</f>
        <v>19</v>
      </c>
      <c r="AA3" s="6" t="n">
        <f aca="false">Z3+1</f>
        <v>20</v>
      </c>
      <c r="AB3" s="6" t="n">
        <f aca="false">AA3+1</f>
        <v>21</v>
      </c>
      <c r="AC3" s="6" t="n">
        <f aca="false">AB3+1</f>
        <v>22</v>
      </c>
      <c r="AD3" s="6" t="n">
        <f aca="false">AC3+1</f>
        <v>23</v>
      </c>
      <c r="AE3" s="6" t="n">
        <f aca="false">AD3+1</f>
        <v>24</v>
      </c>
      <c r="AF3" s="6" t="n">
        <f aca="false">AE3+1</f>
        <v>25</v>
      </c>
      <c r="AG3" s="6" t="n">
        <f aca="false">AF3+1</f>
        <v>26</v>
      </c>
      <c r="AH3" s="6" t="n">
        <f aca="false">AG3+1</f>
        <v>27</v>
      </c>
      <c r="AI3" s="6" t="n">
        <f aca="false">AH3+1</f>
        <v>28</v>
      </c>
      <c r="AJ3" s="6" t="n">
        <f aca="false">AI3+1</f>
        <v>29</v>
      </c>
      <c r="AK3" s="6" t="n">
        <f aca="false">AJ3+1</f>
        <v>30</v>
      </c>
      <c r="AL3" s="6" t="n">
        <f aca="false">AK3+1</f>
        <v>31</v>
      </c>
    </row>
    <row r="4" s="162" customFormat="true" ht="15" hidden="false" customHeight="false" outlineLevel="0" collapsed="false">
      <c r="A4" s="0"/>
      <c r="B4" s="449" t="s">
        <v>392</v>
      </c>
      <c r="C4" s="449"/>
      <c r="D4" s="450"/>
      <c r="E4" s="449"/>
      <c r="F4" s="449"/>
      <c r="G4" s="451"/>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XEQ4" s="0"/>
      <c r="XER4" s="0"/>
      <c r="XES4" s="0"/>
      <c r="XET4" s="0"/>
      <c r="XEU4" s="0"/>
      <c r="XEV4" s="0"/>
      <c r="XEW4" s="0"/>
      <c r="XEX4" s="0"/>
      <c r="XEY4" s="0"/>
      <c r="XEZ4" s="0"/>
      <c r="XFA4" s="0"/>
      <c r="XFB4" s="0"/>
      <c r="XFC4" s="0"/>
      <c r="XFD4" s="0"/>
    </row>
    <row r="5" s="452" customFormat="true" ht="15" hidden="false" customHeight="false" outlineLevel="1" collapsed="false">
      <c r="C5" s="452" t="s">
        <v>757</v>
      </c>
      <c r="G5" s="453"/>
      <c r="H5" s="454" t="n">
        <v>1</v>
      </c>
      <c r="I5" s="454" t="n">
        <f aca="false">H5+1</f>
        <v>2</v>
      </c>
      <c r="J5" s="454" t="n">
        <f aca="false">I5+1</f>
        <v>3</v>
      </c>
      <c r="K5" s="454" t="n">
        <f aca="false">J5+1</f>
        <v>4</v>
      </c>
      <c r="L5" s="454" t="n">
        <f aca="false">K5+1</f>
        <v>5</v>
      </c>
      <c r="M5" s="454" t="n">
        <f aca="false">L5+1</f>
        <v>6</v>
      </c>
      <c r="N5" s="454" t="n">
        <f aca="false">M5+1</f>
        <v>7</v>
      </c>
      <c r="O5" s="454" t="n">
        <f aca="false">N5+1</f>
        <v>8</v>
      </c>
      <c r="P5" s="454" t="n">
        <f aca="false">O5+1</f>
        <v>9</v>
      </c>
      <c r="Q5" s="454" t="n">
        <f aca="false">P5+1</f>
        <v>10</v>
      </c>
      <c r="R5" s="454" t="n">
        <f aca="false">Q5+1</f>
        <v>11</v>
      </c>
      <c r="S5" s="454" t="n">
        <f aca="false">R5+1</f>
        <v>12</v>
      </c>
      <c r="T5" s="454" t="n">
        <f aca="false">S5+1</f>
        <v>13</v>
      </c>
      <c r="U5" s="454" t="n">
        <f aca="false">T5+1</f>
        <v>14</v>
      </c>
      <c r="V5" s="454" t="n">
        <f aca="false">U5+1</f>
        <v>15</v>
      </c>
      <c r="W5" s="454" t="n">
        <f aca="false">V5+1</f>
        <v>16</v>
      </c>
      <c r="X5" s="454" t="n">
        <f aca="false">W5+1</f>
        <v>17</v>
      </c>
      <c r="Y5" s="454" t="n">
        <f aca="false">X5+1</f>
        <v>18</v>
      </c>
      <c r="Z5" s="454" t="n">
        <f aca="false">Y5+1</f>
        <v>19</v>
      </c>
      <c r="AA5" s="454" t="n">
        <f aca="false">Z5+1</f>
        <v>20</v>
      </c>
      <c r="AB5" s="454" t="n">
        <f aca="false">AA5+1</f>
        <v>21</v>
      </c>
      <c r="AC5" s="454" t="n">
        <f aca="false">AB5+1</f>
        <v>22</v>
      </c>
      <c r="AD5" s="454" t="n">
        <f aca="false">AC5+1</f>
        <v>23</v>
      </c>
      <c r="AE5" s="454" t="n">
        <f aca="false">AD5+1</f>
        <v>24</v>
      </c>
      <c r="AF5" s="454" t="n">
        <f aca="false">AE5+1</f>
        <v>25</v>
      </c>
      <c r="AG5" s="454" t="n">
        <f aca="false">AF5+1</f>
        <v>26</v>
      </c>
      <c r="AH5" s="454" t="n">
        <f aca="false">AG5+1</f>
        <v>27</v>
      </c>
      <c r="AI5" s="454" t="n">
        <f aca="false">AH5+1</f>
        <v>28</v>
      </c>
      <c r="AJ5" s="454" t="n">
        <f aca="false">AI5+1</f>
        <v>29</v>
      </c>
      <c r="AK5" s="454" t="n">
        <f aca="false">AJ5+1</f>
        <v>30</v>
      </c>
      <c r="AL5" s="454" t="n">
        <f aca="false">AK5+1</f>
        <v>31</v>
      </c>
    </row>
    <row r="6" customFormat="false" ht="15" hidden="false" customHeight="false" outlineLevel="1" collapsed="false">
      <c r="C6" s="13"/>
      <c r="D6" s="30"/>
    </row>
    <row r="7" customFormat="false" ht="15" hidden="false" customHeight="false" outlineLevel="1" collapsed="false">
      <c r="B7" s="13"/>
      <c r="C7" s="13" t="s">
        <v>758</v>
      </c>
      <c r="D7" s="30"/>
      <c r="E7" s="30"/>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row>
    <row r="8" customFormat="false" ht="15" hidden="false" customHeight="false" outlineLevel="1" collapsed="false">
      <c r="B8" s="13" t="n">
        <v>1</v>
      </c>
      <c r="C8" s="19" t="s">
        <v>759</v>
      </c>
      <c r="D8" s="30"/>
      <c r="E8" s="455" t="s">
        <v>760</v>
      </c>
      <c r="H8" s="55" t="n">
        <f aca="false">'5.2 Cost Build - ARR'!H21</f>
        <v>76500</v>
      </c>
      <c r="I8" s="55" t="n">
        <f aca="false">'5.2 Cost Build - ARR'!I21</f>
        <v>78030</v>
      </c>
      <c r="J8" s="55" t="n">
        <f aca="false">'5.2 Cost Build - ARR'!J21</f>
        <v>0</v>
      </c>
      <c r="K8" s="55" t="n">
        <f aca="false">'5.2 Cost Build - ARR'!K21</f>
        <v>0</v>
      </c>
      <c r="L8" s="55" t="n">
        <f aca="false">'5.2 Cost Build - ARR'!L21</f>
        <v>0</v>
      </c>
      <c r="M8" s="55" t="n">
        <f aca="false">'5.2 Cost Build - ARR'!M21</f>
        <v>0</v>
      </c>
      <c r="N8" s="55" t="n">
        <f aca="false">'5.2 Cost Build - ARR'!N21</f>
        <v>0</v>
      </c>
      <c r="O8" s="55" t="n">
        <f aca="false">'5.2 Cost Build - ARR'!O21</f>
        <v>0</v>
      </c>
      <c r="P8" s="55" t="n">
        <f aca="false">'5.2 Cost Build - ARR'!P21</f>
        <v>0</v>
      </c>
      <c r="Q8" s="55" t="n">
        <f aca="false">'5.2 Cost Build - ARR'!Q21</f>
        <v>0</v>
      </c>
      <c r="R8" s="55" t="n">
        <f aca="false">'5.2 Cost Build - ARR'!R21</f>
        <v>0</v>
      </c>
      <c r="S8" s="55" t="n">
        <f aca="false">'5.2 Cost Build - ARR'!S21</f>
        <v>0</v>
      </c>
      <c r="T8" s="55" t="n">
        <f aca="false">'5.2 Cost Build - ARR'!T21</f>
        <v>0</v>
      </c>
      <c r="U8" s="55" t="n">
        <f aca="false">'5.2 Cost Build - ARR'!U21</f>
        <v>0</v>
      </c>
      <c r="V8" s="55" t="n">
        <f aca="false">'5.2 Cost Build - ARR'!V21</f>
        <v>0</v>
      </c>
      <c r="W8" s="55" t="n">
        <f aca="false">'5.2 Cost Build - ARR'!W21</f>
        <v>0</v>
      </c>
      <c r="X8" s="55" t="n">
        <f aca="false">'5.2 Cost Build - ARR'!X21</f>
        <v>0</v>
      </c>
      <c r="Y8" s="55" t="n">
        <f aca="false">'5.2 Cost Build - ARR'!Y21</f>
        <v>0</v>
      </c>
      <c r="Z8" s="55" t="n">
        <f aca="false">'5.2 Cost Build - ARR'!Z21</f>
        <v>0</v>
      </c>
      <c r="AA8" s="55" t="n">
        <f aca="false">'5.2 Cost Build - ARR'!AA21</f>
        <v>0</v>
      </c>
      <c r="AB8" s="55" t="n">
        <f aca="false">'5.2 Cost Build - ARR'!AB21</f>
        <v>0</v>
      </c>
      <c r="AC8" s="55" t="n">
        <f aca="false">'5.2 Cost Build - ARR'!AC21</f>
        <v>0</v>
      </c>
      <c r="AD8" s="55" t="n">
        <f aca="false">'5.2 Cost Build - ARR'!AD21</f>
        <v>0</v>
      </c>
      <c r="AE8" s="55" t="n">
        <f aca="false">'5.2 Cost Build - ARR'!AE21</f>
        <v>0</v>
      </c>
      <c r="AF8" s="55" t="n">
        <f aca="false">'5.2 Cost Build - ARR'!AF21</f>
        <v>0</v>
      </c>
      <c r="AG8" s="55" t="n">
        <f aca="false">'5.2 Cost Build - ARR'!AG21</f>
        <v>0</v>
      </c>
      <c r="AH8" s="55" t="n">
        <f aca="false">'5.2 Cost Build - ARR'!AH21</f>
        <v>0</v>
      </c>
      <c r="AI8" s="55" t="n">
        <f aca="false">'5.2 Cost Build - ARR'!AI21</f>
        <v>0</v>
      </c>
      <c r="AJ8" s="55" t="n">
        <f aca="false">'5.2 Cost Build - ARR'!AJ21</f>
        <v>0</v>
      </c>
      <c r="AK8" s="55" t="n">
        <f aca="false">'5.2 Cost Build - ARR'!AK21</f>
        <v>0</v>
      </c>
      <c r="AL8" s="55" t="n">
        <f aca="false">'5.2 Cost Build - ARR'!AL21</f>
        <v>0</v>
      </c>
    </row>
    <row r="9" customFormat="false" ht="15" hidden="false" customHeight="false" outlineLevel="1" collapsed="false">
      <c r="B9" s="13" t="n">
        <v>2</v>
      </c>
      <c r="C9" s="19" t="s">
        <v>761</v>
      </c>
      <c r="D9" s="30"/>
      <c r="E9" s="455" t="n">
        <f aca="false">8</f>
        <v>8</v>
      </c>
      <c r="H9" s="55" t="n">
        <f aca="false">'5.2 Cost Build - ARR'!H22</f>
        <v>139740</v>
      </c>
      <c r="I9" s="55" t="n">
        <f aca="false">'5.2 Cost Build - ARR'!I22</f>
        <v>142534.8</v>
      </c>
      <c r="J9" s="55" t="n">
        <f aca="false">'5.2 Cost Build - ARR'!J22</f>
        <v>0</v>
      </c>
      <c r="K9" s="55" t="n">
        <f aca="false">'5.2 Cost Build - ARR'!K22</f>
        <v>0</v>
      </c>
      <c r="L9" s="55" t="n">
        <f aca="false">'5.2 Cost Build - ARR'!L22</f>
        <v>0</v>
      </c>
      <c r="M9" s="55" t="n">
        <f aca="false">'5.2 Cost Build - ARR'!M22</f>
        <v>0</v>
      </c>
      <c r="N9" s="55" t="n">
        <f aca="false">'5.2 Cost Build - ARR'!N22</f>
        <v>0</v>
      </c>
      <c r="O9" s="55" t="n">
        <f aca="false">'5.2 Cost Build - ARR'!O22</f>
        <v>0</v>
      </c>
      <c r="P9" s="55" t="n">
        <f aca="false">'5.2 Cost Build - ARR'!P22</f>
        <v>0</v>
      </c>
      <c r="Q9" s="55" t="n">
        <f aca="false">'5.2 Cost Build - ARR'!Q22</f>
        <v>0</v>
      </c>
      <c r="R9" s="55" t="n">
        <f aca="false">'5.2 Cost Build - ARR'!R22</f>
        <v>0</v>
      </c>
      <c r="S9" s="55" t="n">
        <f aca="false">'5.2 Cost Build - ARR'!S22</f>
        <v>0</v>
      </c>
      <c r="T9" s="55" t="n">
        <f aca="false">'5.2 Cost Build - ARR'!T22</f>
        <v>0</v>
      </c>
      <c r="U9" s="55" t="n">
        <f aca="false">'5.2 Cost Build - ARR'!U22</f>
        <v>0</v>
      </c>
      <c r="V9" s="55" t="n">
        <f aca="false">'5.2 Cost Build - ARR'!V22</f>
        <v>0</v>
      </c>
      <c r="W9" s="55" t="n">
        <f aca="false">'5.2 Cost Build - ARR'!W22</f>
        <v>0</v>
      </c>
      <c r="X9" s="55" t="n">
        <f aca="false">'5.2 Cost Build - ARR'!X22</f>
        <v>0</v>
      </c>
      <c r="Y9" s="55" t="n">
        <f aca="false">'5.2 Cost Build - ARR'!Y22</f>
        <v>0</v>
      </c>
      <c r="Z9" s="55" t="n">
        <f aca="false">'5.2 Cost Build - ARR'!Z22</f>
        <v>0</v>
      </c>
      <c r="AA9" s="55" t="n">
        <f aca="false">'5.2 Cost Build - ARR'!AA22</f>
        <v>0</v>
      </c>
      <c r="AB9" s="55" t="n">
        <f aca="false">'5.2 Cost Build - ARR'!AB22</f>
        <v>0</v>
      </c>
      <c r="AC9" s="55" t="n">
        <f aca="false">'5.2 Cost Build - ARR'!AC22</f>
        <v>0</v>
      </c>
      <c r="AD9" s="55" t="n">
        <f aca="false">'5.2 Cost Build - ARR'!AD22</f>
        <v>0</v>
      </c>
      <c r="AE9" s="55" t="n">
        <f aca="false">'5.2 Cost Build - ARR'!AE22</f>
        <v>0</v>
      </c>
      <c r="AF9" s="55" t="n">
        <f aca="false">'5.2 Cost Build - ARR'!AF22</f>
        <v>0</v>
      </c>
      <c r="AG9" s="55" t="n">
        <f aca="false">'5.2 Cost Build - ARR'!AG22</f>
        <v>0</v>
      </c>
      <c r="AH9" s="55" t="n">
        <f aca="false">'5.2 Cost Build - ARR'!AH22</f>
        <v>0</v>
      </c>
      <c r="AI9" s="55" t="n">
        <f aca="false">'5.2 Cost Build - ARR'!AI22</f>
        <v>0</v>
      </c>
      <c r="AJ9" s="55" t="n">
        <f aca="false">'5.2 Cost Build - ARR'!AJ22</f>
        <v>0</v>
      </c>
      <c r="AK9" s="55" t="n">
        <f aca="false">'5.2 Cost Build - ARR'!AK22</f>
        <v>0</v>
      </c>
      <c r="AL9" s="55" t="n">
        <f aca="false">'5.2 Cost Build - ARR'!AL22</f>
        <v>0</v>
      </c>
    </row>
    <row r="10" customFormat="false" ht="15" hidden="false" customHeight="false" outlineLevel="1" collapsed="false">
      <c r="B10" s="13" t="n">
        <v>3</v>
      </c>
      <c r="C10" s="19" t="s">
        <v>762</v>
      </c>
      <c r="D10" s="30"/>
      <c r="E10" s="455" t="n">
        <f aca="false">10</f>
        <v>10</v>
      </c>
      <c r="H10" s="55" t="n">
        <f aca="false">'5.2 Cost Build - ARR'!H23</f>
        <v>86955</v>
      </c>
      <c r="I10" s="55" t="n">
        <f aca="false">'5.2 Cost Build - ARR'!I23</f>
        <v>88694.1</v>
      </c>
      <c r="J10" s="55" t="n">
        <f aca="false">'5.2 Cost Build - ARR'!J23</f>
        <v>0</v>
      </c>
      <c r="K10" s="55" t="n">
        <f aca="false">'5.2 Cost Build - ARR'!K23</f>
        <v>0</v>
      </c>
      <c r="L10" s="55" t="n">
        <f aca="false">'5.2 Cost Build - ARR'!L23</f>
        <v>0</v>
      </c>
      <c r="M10" s="55" t="n">
        <f aca="false">'5.2 Cost Build - ARR'!M23</f>
        <v>0</v>
      </c>
      <c r="N10" s="55" t="n">
        <f aca="false">'5.2 Cost Build - ARR'!N23</f>
        <v>0</v>
      </c>
      <c r="O10" s="55" t="n">
        <f aca="false">'5.2 Cost Build - ARR'!O23</f>
        <v>0</v>
      </c>
      <c r="P10" s="55" t="n">
        <f aca="false">'5.2 Cost Build - ARR'!P23</f>
        <v>0</v>
      </c>
      <c r="Q10" s="55" t="n">
        <f aca="false">'5.2 Cost Build - ARR'!Q23</f>
        <v>0</v>
      </c>
      <c r="R10" s="55" t="n">
        <f aca="false">'5.2 Cost Build - ARR'!R23</f>
        <v>0</v>
      </c>
      <c r="S10" s="55" t="n">
        <f aca="false">'5.2 Cost Build - ARR'!S23</f>
        <v>0</v>
      </c>
      <c r="T10" s="55" t="n">
        <f aca="false">'5.2 Cost Build - ARR'!T23</f>
        <v>0</v>
      </c>
      <c r="U10" s="55" t="n">
        <f aca="false">'5.2 Cost Build - ARR'!U23</f>
        <v>0</v>
      </c>
      <c r="V10" s="55" t="n">
        <f aca="false">'5.2 Cost Build - ARR'!V23</f>
        <v>0</v>
      </c>
      <c r="W10" s="55" t="n">
        <f aca="false">'5.2 Cost Build - ARR'!W23</f>
        <v>0</v>
      </c>
      <c r="X10" s="55" t="n">
        <f aca="false">'5.2 Cost Build - ARR'!X23</f>
        <v>0</v>
      </c>
      <c r="Y10" s="55" t="n">
        <f aca="false">'5.2 Cost Build - ARR'!Y23</f>
        <v>0</v>
      </c>
      <c r="Z10" s="55" t="n">
        <f aca="false">'5.2 Cost Build - ARR'!Z23</f>
        <v>0</v>
      </c>
      <c r="AA10" s="55" t="n">
        <f aca="false">'5.2 Cost Build - ARR'!AA23</f>
        <v>0</v>
      </c>
      <c r="AB10" s="55" t="n">
        <f aca="false">'5.2 Cost Build - ARR'!AB23</f>
        <v>0</v>
      </c>
      <c r="AC10" s="55" t="n">
        <f aca="false">'5.2 Cost Build - ARR'!AC23</f>
        <v>0</v>
      </c>
      <c r="AD10" s="55" t="n">
        <f aca="false">'5.2 Cost Build - ARR'!AD23</f>
        <v>0</v>
      </c>
      <c r="AE10" s="55" t="n">
        <f aca="false">'5.2 Cost Build - ARR'!AE23</f>
        <v>0</v>
      </c>
      <c r="AF10" s="55" t="n">
        <f aca="false">'5.2 Cost Build - ARR'!AF23</f>
        <v>0</v>
      </c>
      <c r="AG10" s="55" t="n">
        <f aca="false">'5.2 Cost Build - ARR'!AG23</f>
        <v>0</v>
      </c>
      <c r="AH10" s="55" t="n">
        <f aca="false">'5.2 Cost Build - ARR'!AH23</f>
        <v>0</v>
      </c>
      <c r="AI10" s="55" t="n">
        <f aca="false">'5.2 Cost Build - ARR'!AI23</f>
        <v>0</v>
      </c>
      <c r="AJ10" s="55" t="n">
        <f aca="false">'5.2 Cost Build - ARR'!AJ23</f>
        <v>0</v>
      </c>
      <c r="AK10" s="55" t="n">
        <f aca="false">'5.2 Cost Build - ARR'!AK23</f>
        <v>0</v>
      </c>
      <c r="AL10" s="55" t="n">
        <f aca="false">'5.2 Cost Build - ARR'!AL23</f>
        <v>0</v>
      </c>
    </row>
    <row r="11" customFormat="false" ht="15" hidden="false" customHeight="false" outlineLevel="1" collapsed="false">
      <c r="B11" s="13" t="n">
        <v>4</v>
      </c>
      <c r="C11" s="19" t="s">
        <v>763</v>
      </c>
      <c r="D11" s="30"/>
      <c r="E11" s="455" t="n">
        <f aca="false">10</f>
        <v>10</v>
      </c>
      <c r="H11" s="55" t="n">
        <f aca="false">'5.2 Cost Build - ARR'!H24</f>
        <v>140345.625</v>
      </c>
      <c r="I11" s="55" t="n">
        <f aca="false">'5.2 Cost Build - ARR'!I24</f>
        <v>143152.5375</v>
      </c>
      <c r="J11" s="55" t="n">
        <f aca="false">'5.2 Cost Build - ARR'!J24</f>
        <v>0</v>
      </c>
      <c r="K11" s="55" t="n">
        <f aca="false">'5.2 Cost Build - ARR'!K24</f>
        <v>0</v>
      </c>
      <c r="L11" s="55" t="n">
        <f aca="false">'5.2 Cost Build - ARR'!L24</f>
        <v>0</v>
      </c>
      <c r="M11" s="55" t="n">
        <f aca="false">'5.2 Cost Build - ARR'!M24</f>
        <v>0</v>
      </c>
      <c r="N11" s="55" t="n">
        <f aca="false">'5.2 Cost Build - ARR'!N24</f>
        <v>0</v>
      </c>
      <c r="O11" s="55" t="n">
        <f aca="false">'5.2 Cost Build - ARR'!O24</f>
        <v>0</v>
      </c>
      <c r="P11" s="55" t="n">
        <f aca="false">'5.2 Cost Build - ARR'!P24</f>
        <v>0</v>
      </c>
      <c r="Q11" s="55" t="n">
        <f aca="false">'5.2 Cost Build - ARR'!Q24</f>
        <v>0</v>
      </c>
      <c r="R11" s="55" t="n">
        <f aca="false">'5.2 Cost Build - ARR'!R24</f>
        <v>0</v>
      </c>
      <c r="S11" s="55" t="n">
        <f aca="false">'5.2 Cost Build - ARR'!S24</f>
        <v>0</v>
      </c>
      <c r="T11" s="55" t="n">
        <f aca="false">'5.2 Cost Build - ARR'!T24</f>
        <v>0</v>
      </c>
      <c r="U11" s="55" t="n">
        <f aca="false">'5.2 Cost Build - ARR'!U24</f>
        <v>0</v>
      </c>
      <c r="V11" s="55" t="n">
        <f aca="false">'5.2 Cost Build - ARR'!V24</f>
        <v>0</v>
      </c>
      <c r="W11" s="55" t="n">
        <f aca="false">'5.2 Cost Build - ARR'!W24</f>
        <v>0</v>
      </c>
      <c r="X11" s="55" t="n">
        <f aca="false">'5.2 Cost Build - ARR'!X24</f>
        <v>0</v>
      </c>
      <c r="Y11" s="55" t="n">
        <f aca="false">'5.2 Cost Build - ARR'!Y24</f>
        <v>0</v>
      </c>
      <c r="Z11" s="55" t="n">
        <f aca="false">'5.2 Cost Build - ARR'!Z24</f>
        <v>0</v>
      </c>
      <c r="AA11" s="55" t="n">
        <f aca="false">'5.2 Cost Build - ARR'!AA24</f>
        <v>0</v>
      </c>
      <c r="AB11" s="55" t="n">
        <f aca="false">'5.2 Cost Build - ARR'!AB24</f>
        <v>0</v>
      </c>
      <c r="AC11" s="55" t="n">
        <f aca="false">'5.2 Cost Build - ARR'!AC24</f>
        <v>0</v>
      </c>
      <c r="AD11" s="55" t="n">
        <f aca="false">'5.2 Cost Build - ARR'!AD24</f>
        <v>0</v>
      </c>
      <c r="AE11" s="55" t="n">
        <f aca="false">'5.2 Cost Build - ARR'!AE24</f>
        <v>0</v>
      </c>
      <c r="AF11" s="55" t="n">
        <f aca="false">'5.2 Cost Build - ARR'!AF24</f>
        <v>0</v>
      </c>
      <c r="AG11" s="55" t="n">
        <f aca="false">'5.2 Cost Build - ARR'!AG24</f>
        <v>0</v>
      </c>
      <c r="AH11" s="55" t="n">
        <f aca="false">'5.2 Cost Build - ARR'!AH24</f>
        <v>0</v>
      </c>
      <c r="AI11" s="55" t="n">
        <f aca="false">'5.2 Cost Build - ARR'!AI24</f>
        <v>0</v>
      </c>
      <c r="AJ11" s="55" t="n">
        <f aca="false">'5.2 Cost Build - ARR'!AJ24</f>
        <v>0</v>
      </c>
      <c r="AK11" s="55" t="n">
        <f aca="false">'5.2 Cost Build - ARR'!AK24</f>
        <v>0</v>
      </c>
      <c r="AL11" s="55" t="n">
        <f aca="false">'5.2 Cost Build - ARR'!AL24</f>
        <v>0</v>
      </c>
    </row>
    <row r="12" customFormat="false" ht="15" hidden="false" customHeight="false" outlineLevel="1" collapsed="false">
      <c r="B12" s="13" t="n">
        <v>5</v>
      </c>
      <c r="C12" s="19" t="str">
        <f aca="false">'5.2 Cost Build - ARR'!C25</f>
        <v>Nursery trays</v>
      </c>
      <c r="D12" s="30"/>
      <c r="E12" s="455" t="n">
        <f aca="false">1</f>
        <v>1</v>
      </c>
      <c r="H12" s="55" t="n">
        <f aca="false">'5.2 Cost Build - ARR'!H25</f>
        <v>102000</v>
      </c>
      <c r="I12" s="55" t="n">
        <f aca="false">'5.2 Cost Build - ARR'!I25</f>
        <v>104040</v>
      </c>
      <c r="J12" s="55" t="n">
        <f aca="false">'5.2 Cost Build - ARR'!J25</f>
        <v>0</v>
      </c>
      <c r="K12" s="55" t="n">
        <f aca="false">'5.2 Cost Build - ARR'!K25</f>
        <v>0</v>
      </c>
      <c r="L12" s="55" t="n">
        <f aca="false">'5.2 Cost Build - ARR'!L25</f>
        <v>0</v>
      </c>
      <c r="M12" s="55" t="n">
        <f aca="false">'5.2 Cost Build - ARR'!M25</f>
        <v>0</v>
      </c>
      <c r="N12" s="55" t="n">
        <f aca="false">'5.2 Cost Build - ARR'!N25</f>
        <v>0</v>
      </c>
      <c r="O12" s="55" t="n">
        <f aca="false">'5.2 Cost Build - ARR'!O25</f>
        <v>0</v>
      </c>
      <c r="P12" s="55" t="n">
        <f aca="false">'5.2 Cost Build - ARR'!P25</f>
        <v>0</v>
      </c>
      <c r="Q12" s="55" t="n">
        <f aca="false">'5.2 Cost Build - ARR'!Q25</f>
        <v>0</v>
      </c>
      <c r="R12" s="55" t="n">
        <f aca="false">'5.2 Cost Build - ARR'!R25</f>
        <v>0</v>
      </c>
      <c r="S12" s="55" t="n">
        <f aca="false">'5.2 Cost Build - ARR'!S25</f>
        <v>0</v>
      </c>
      <c r="T12" s="55" t="n">
        <f aca="false">'5.2 Cost Build - ARR'!T25</f>
        <v>0</v>
      </c>
      <c r="U12" s="55" t="n">
        <f aca="false">'5.2 Cost Build - ARR'!U25</f>
        <v>0</v>
      </c>
      <c r="V12" s="55" t="n">
        <f aca="false">'5.2 Cost Build - ARR'!V25</f>
        <v>0</v>
      </c>
      <c r="W12" s="55" t="n">
        <f aca="false">'5.2 Cost Build - ARR'!W25</f>
        <v>0</v>
      </c>
      <c r="X12" s="55" t="n">
        <f aca="false">'5.2 Cost Build - ARR'!X25</f>
        <v>0</v>
      </c>
      <c r="Y12" s="55" t="n">
        <f aca="false">'5.2 Cost Build - ARR'!Y25</f>
        <v>0</v>
      </c>
      <c r="Z12" s="55" t="n">
        <f aca="false">'5.2 Cost Build - ARR'!Z25</f>
        <v>0</v>
      </c>
      <c r="AA12" s="55" t="n">
        <f aca="false">'5.2 Cost Build - ARR'!AA25</f>
        <v>0</v>
      </c>
      <c r="AB12" s="55" t="n">
        <f aca="false">'5.2 Cost Build - ARR'!AB25</f>
        <v>0</v>
      </c>
      <c r="AC12" s="55" t="n">
        <f aca="false">'5.2 Cost Build - ARR'!AC25</f>
        <v>0</v>
      </c>
      <c r="AD12" s="55" t="n">
        <f aca="false">'5.2 Cost Build - ARR'!AD25</f>
        <v>0</v>
      </c>
      <c r="AE12" s="55" t="n">
        <f aca="false">'5.2 Cost Build - ARR'!AE25</f>
        <v>0</v>
      </c>
      <c r="AF12" s="55" t="n">
        <f aca="false">'5.2 Cost Build - ARR'!AF25</f>
        <v>0</v>
      </c>
      <c r="AG12" s="55" t="n">
        <f aca="false">'5.2 Cost Build - ARR'!AG25</f>
        <v>0</v>
      </c>
      <c r="AH12" s="55" t="n">
        <f aca="false">'5.2 Cost Build - ARR'!AH25</f>
        <v>0</v>
      </c>
      <c r="AI12" s="55" t="n">
        <f aca="false">'5.2 Cost Build - ARR'!AI25</f>
        <v>0</v>
      </c>
      <c r="AJ12" s="55" t="n">
        <f aca="false">'5.2 Cost Build - ARR'!AJ25</f>
        <v>0</v>
      </c>
      <c r="AK12" s="55" t="n">
        <f aca="false">'5.2 Cost Build - ARR'!AK25</f>
        <v>0</v>
      </c>
      <c r="AL12" s="55" t="n">
        <f aca="false">'5.2 Cost Build - ARR'!AL25</f>
        <v>0</v>
      </c>
    </row>
    <row r="13" customFormat="false" ht="15" hidden="false" customHeight="false" outlineLevel="1" collapsed="false">
      <c r="B13" s="13" t="n">
        <v>6</v>
      </c>
      <c r="C13" s="19" t="s">
        <v>764</v>
      </c>
      <c r="D13" s="30"/>
      <c r="E13" s="455" t="n">
        <v>10</v>
      </c>
      <c r="H13" s="55" t="n">
        <f aca="false">'5.2 Cost Build - ARR'!H130</f>
        <v>76500</v>
      </c>
      <c r="I13" s="55" t="n">
        <f aca="false">'5.2 Cost Build - ARR'!I130</f>
        <v>78030</v>
      </c>
      <c r="J13" s="55" t="n">
        <f aca="false">'5.2 Cost Build - ARR'!J130</f>
        <v>79590.6</v>
      </c>
      <c r="K13" s="55" t="n">
        <f aca="false">'5.2 Cost Build - ARR'!K130</f>
        <v>81182.412</v>
      </c>
      <c r="L13" s="55" t="n">
        <f aca="false">'5.2 Cost Build - ARR'!L130</f>
        <v>82806.06024</v>
      </c>
      <c r="M13" s="55" t="n">
        <f aca="false">'5.2 Cost Build - ARR'!M130</f>
        <v>84462.1814448</v>
      </c>
      <c r="N13" s="55" t="n">
        <f aca="false">'5.2 Cost Build - ARR'!N130</f>
        <v>86151.425073696</v>
      </c>
      <c r="O13" s="55" t="n">
        <f aca="false">'5.2 Cost Build - ARR'!O130</f>
        <v>87874.4535751699</v>
      </c>
      <c r="P13" s="55" t="n">
        <f aca="false">'5.2 Cost Build - ARR'!P130</f>
        <v>89631.9426466733</v>
      </c>
      <c r="Q13" s="55" t="n">
        <f aca="false">'5.2 Cost Build - ARR'!Q130</f>
        <v>91424.5814996068</v>
      </c>
      <c r="R13" s="55" t="n">
        <f aca="false">'5.2 Cost Build - ARR'!R130</f>
        <v>93253.0731295989</v>
      </c>
      <c r="S13" s="55" t="n">
        <f aca="false">'5.2 Cost Build - ARR'!S130</f>
        <v>95118.1345921909</v>
      </c>
      <c r="T13" s="55" t="n">
        <f aca="false">'5.2 Cost Build - ARR'!T130</f>
        <v>97020.4972840347</v>
      </c>
      <c r="U13" s="55" t="n">
        <f aca="false">'5.2 Cost Build - ARR'!U130</f>
        <v>98960.9072297154</v>
      </c>
      <c r="V13" s="55" t="n">
        <f aca="false">'5.2 Cost Build - ARR'!V130</f>
        <v>100940.12537431</v>
      </c>
      <c r="W13" s="55" t="n">
        <f aca="false">'5.2 Cost Build - ARR'!W130</f>
        <v>102958.927881796</v>
      </c>
      <c r="X13" s="55" t="n">
        <f aca="false">'5.2 Cost Build - ARR'!X130</f>
        <v>105018.106439432</v>
      </c>
      <c r="Y13" s="55" t="n">
        <f aca="false">'5.2 Cost Build - ARR'!Y130</f>
        <v>107118.46856822</v>
      </c>
      <c r="Z13" s="55" t="n">
        <f aca="false">'5.2 Cost Build - ARR'!Z130</f>
        <v>109260.837939585</v>
      </c>
      <c r="AA13" s="55" t="n">
        <f aca="false">'5.2 Cost Build - ARR'!AA130</f>
        <v>111446.054698377</v>
      </c>
      <c r="AB13" s="55" t="n">
        <f aca="false">'5.2 Cost Build - ARR'!AB130</f>
        <v>113674.975792344</v>
      </c>
      <c r="AC13" s="55" t="n">
        <f aca="false">'5.2 Cost Build - ARR'!AC130</f>
        <v>115948.475308191</v>
      </c>
      <c r="AD13" s="55" t="n">
        <f aca="false">'5.2 Cost Build - ARR'!AD130</f>
        <v>118267.444814355</v>
      </c>
      <c r="AE13" s="55" t="n">
        <f aca="false">'5.2 Cost Build - ARR'!AE130</f>
        <v>120632.793710642</v>
      </c>
      <c r="AF13" s="55" t="n">
        <f aca="false">'5.2 Cost Build - ARR'!AF130</f>
        <v>123045.449584855</v>
      </c>
      <c r="AG13" s="55" t="n">
        <f aca="false">'5.2 Cost Build - ARR'!AG130</f>
        <v>125506.358576552</v>
      </c>
      <c r="AH13" s="55" t="n">
        <f aca="false">'5.2 Cost Build - ARR'!AH130</f>
        <v>128016.485748083</v>
      </c>
      <c r="AI13" s="55" t="n">
        <f aca="false">'5.2 Cost Build - ARR'!AI130</f>
        <v>130576.815463045</v>
      </c>
      <c r="AJ13" s="55" t="n">
        <f aca="false">'5.2 Cost Build - ARR'!AJ130</f>
        <v>133188.351772305</v>
      </c>
      <c r="AK13" s="55" t="n">
        <f aca="false">'5.2 Cost Build - ARR'!AK130</f>
        <v>135852.118807752</v>
      </c>
      <c r="AL13" s="55" t="n">
        <f aca="false">'5.2 Cost Build - ARR'!AL130</f>
        <v>138569.161183907</v>
      </c>
    </row>
    <row r="14" customFormat="false" ht="15" hidden="false" customHeight="false" outlineLevel="1" collapsed="false">
      <c r="B14" s="13" t="n">
        <v>7</v>
      </c>
      <c r="C14" s="19" t="s">
        <v>765</v>
      </c>
      <c r="D14" s="30"/>
      <c r="E14" s="455" t="n">
        <v>10</v>
      </c>
      <c r="H14" s="55" t="n">
        <f aca="false">'5.2 Cost Build - ARR'!H125</f>
        <v>288170</v>
      </c>
      <c r="I14" s="55" t="n">
        <f aca="false">'5.2 Cost Build - ARR'!I125</f>
        <v>-28135.8</v>
      </c>
      <c r="J14" s="55" t="n">
        <f aca="false">'5.2 Cost Build - ARR'!J125</f>
        <v>11576.25</v>
      </c>
      <c r="K14" s="55" t="n">
        <f aca="false">'5.2 Cost Build - ARR'!K125</f>
        <v>12155.0625</v>
      </c>
      <c r="L14" s="55" t="n">
        <f aca="false">'5.2 Cost Build - ARR'!L125</f>
        <v>69429.717</v>
      </c>
      <c r="M14" s="55" t="n">
        <f aca="false">'5.2 Cost Build - ARR'!M125</f>
        <v>13400.95640625</v>
      </c>
      <c r="N14" s="55" t="n">
        <f aca="false">'5.2 Cost Build - ARR'!N125</f>
        <v>76546.2629925</v>
      </c>
      <c r="O14" s="55" t="n">
        <f aca="false">'5.2 Cost Build - ARR'!O125</f>
        <v>80373.576142125</v>
      </c>
      <c r="P14" s="55" t="n">
        <f aca="false">'5.2 Cost Build - ARR'!P125</f>
        <v>84392.2549492313</v>
      </c>
      <c r="Q14" s="55" t="n">
        <f aca="false">'5.2 Cost Build - ARR'!Q125</f>
        <v>88611.8676966928</v>
      </c>
      <c r="R14" s="55" t="n">
        <f aca="false">'5.2 Cost Build - ARR'!R125</f>
        <v>93042.4610815275</v>
      </c>
      <c r="S14" s="55" t="n">
        <f aca="false">'5.2 Cost Build - ARR'!S125</f>
        <v>97694.5841356039</v>
      </c>
      <c r="T14" s="55" t="n">
        <f aca="false">'5.2 Cost Build - ARR'!T125</f>
        <v>102579.313342384</v>
      </c>
      <c r="U14" s="55" t="n">
        <f aca="false">'5.2 Cost Build - ARR'!U125</f>
        <v>107708.279009503</v>
      </c>
      <c r="V14" s="55" t="n">
        <f aca="false">'5.2 Cost Build - ARR'!V125</f>
        <v>113093.692959978</v>
      </c>
      <c r="W14" s="55" t="n">
        <f aca="false">'5.2 Cost Build - ARR'!W125</f>
        <v>118748.377607977</v>
      </c>
      <c r="X14" s="55" t="n">
        <f aca="false">'5.2 Cost Build - ARR'!X125</f>
        <v>124685.796488376</v>
      </c>
      <c r="Y14" s="55" t="n">
        <f aca="false">'5.2 Cost Build - ARR'!Y125</f>
        <v>130920.086312795</v>
      </c>
      <c r="Z14" s="55" t="n">
        <f aca="false">'5.2 Cost Build - ARR'!Z125</f>
        <v>137466.090628435</v>
      </c>
      <c r="AA14" s="55" t="n">
        <f aca="false">'5.2 Cost Build - ARR'!AA125</f>
        <v>144339.395159857</v>
      </c>
      <c r="AB14" s="55" t="n">
        <f aca="false">'5.2 Cost Build - ARR'!AB125</f>
        <v>151556.364917849</v>
      </c>
      <c r="AC14" s="55" t="n">
        <f aca="false">'5.2 Cost Build - ARR'!AC125</f>
        <v>159134.183163742</v>
      </c>
      <c r="AD14" s="55" t="n">
        <f aca="false">'5.2 Cost Build - ARR'!AD125</f>
        <v>167090.892321929</v>
      </c>
      <c r="AE14" s="55" t="n">
        <f aca="false">'5.2 Cost Build - ARR'!AE125</f>
        <v>175445.436938025</v>
      </c>
      <c r="AF14" s="55" t="n">
        <f aca="false">'5.2 Cost Build - ARR'!AF125</f>
        <v>184217.708784927</v>
      </c>
      <c r="AG14" s="55" t="n">
        <f aca="false">'5.2 Cost Build - ARR'!AG125</f>
        <v>193428.594224173</v>
      </c>
      <c r="AH14" s="55" t="n">
        <f aca="false">'5.2 Cost Build - ARR'!AH125</f>
        <v>203100.023935382</v>
      </c>
      <c r="AI14" s="55" t="n">
        <f aca="false">'5.2 Cost Build - ARR'!AI125</f>
        <v>213255.025132151</v>
      </c>
      <c r="AJ14" s="55" t="n">
        <f aca="false">'5.2 Cost Build - ARR'!AJ125</f>
        <v>223917.776388758</v>
      </c>
      <c r="AK14" s="55" t="n">
        <f aca="false">'5.2 Cost Build - ARR'!AK125</f>
        <v>235113.665208196</v>
      </c>
      <c r="AL14" s="55" t="n">
        <f aca="false">'5.2 Cost Build - ARR'!AL125</f>
        <v>246869.348468606</v>
      </c>
    </row>
    <row r="15" customFormat="false" ht="15" hidden="false" customHeight="false" outlineLevel="1" collapsed="false">
      <c r="B15" s="13" t="n">
        <v>8</v>
      </c>
      <c r="C15" s="19" t="s">
        <v>766</v>
      </c>
      <c r="D15" s="30"/>
      <c r="E15" s="455" t="s">
        <v>760</v>
      </c>
      <c r="H15" s="55" t="n">
        <f aca="false">'5.3 Cost Build - Productive'!H140</f>
        <v>0</v>
      </c>
      <c r="I15" s="55" t="n">
        <f aca="false">'5.3 Cost Build - Productive'!I140</f>
        <v>22050</v>
      </c>
      <c r="J15" s="55" t="n">
        <f aca="false">'5.3 Cost Build - Productive'!J140</f>
        <v>23152.5</v>
      </c>
      <c r="K15" s="55" t="n">
        <f aca="false">'5.3 Cost Build - Productive'!K140</f>
        <v>24310.125</v>
      </c>
      <c r="L15" s="55" t="n">
        <f aca="false">'5.3 Cost Build - Productive'!L140</f>
        <v>25525.63125</v>
      </c>
      <c r="M15" s="55" t="n">
        <f aca="false">'5.3 Cost Build - Productive'!M140</f>
        <v>26801.9128125</v>
      </c>
      <c r="N15" s="55" t="n">
        <f aca="false">'5.3 Cost Build - Productive'!N140</f>
        <v>28142.008453125</v>
      </c>
      <c r="O15" s="55" t="n">
        <f aca="false">'5.3 Cost Build - Productive'!O140</f>
        <v>29549.1088757813</v>
      </c>
      <c r="P15" s="55" t="n">
        <f aca="false">'5.3 Cost Build - Productive'!P140</f>
        <v>31026.5643195703</v>
      </c>
      <c r="Q15" s="55" t="n">
        <f aca="false">'5.3 Cost Build - Productive'!Q140</f>
        <v>32577.8925355488</v>
      </c>
      <c r="R15" s="55" t="n">
        <f aca="false">'5.3 Cost Build - Productive'!R140</f>
        <v>0</v>
      </c>
      <c r="S15" s="55" t="n">
        <f aca="false">'5.3 Cost Build - Productive'!S140</f>
        <v>0</v>
      </c>
      <c r="T15" s="55" t="n">
        <f aca="false">'5.3 Cost Build - Productive'!T140</f>
        <v>0</v>
      </c>
      <c r="U15" s="55" t="n">
        <f aca="false">'5.3 Cost Build - Productive'!U140</f>
        <v>0</v>
      </c>
      <c r="V15" s="55" t="n">
        <f aca="false">'5.3 Cost Build - Productive'!V140</f>
        <v>0</v>
      </c>
      <c r="W15" s="55" t="n">
        <f aca="false">'5.3 Cost Build - Productive'!W140</f>
        <v>0</v>
      </c>
      <c r="X15" s="55" t="n">
        <f aca="false">'5.3 Cost Build - Productive'!X140</f>
        <v>0</v>
      </c>
      <c r="Y15" s="55" t="n">
        <f aca="false">'5.3 Cost Build - Productive'!Y140</f>
        <v>0</v>
      </c>
      <c r="Z15" s="55" t="n">
        <f aca="false">'5.3 Cost Build - Productive'!Z140</f>
        <v>0</v>
      </c>
      <c r="AA15" s="55" t="n">
        <f aca="false">'5.3 Cost Build - Productive'!AA140</f>
        <v>0</v>
      </c>
      <c r="AB15" s="55" t="n">
        <f aca="false">'5.3 Cost Build - Productive'!AB140</f>
        <v>0</v>
      </c>
      <c r="AC15" s="55" t="n">
        <f aca="false">'5.3 Cost Build - Productive'!AC140</f>
        <v>0</v>
      </c>
      <c r="AD15" s="55" t="n">
        <f aca="false">'5.3 Cost Build - Productive'!AD140</f>
        <v>0</v>
      </c>
      <c r="AE15" s="55" t="n">
        <f aca="false">'5.3 Cost Build - Productive'!AE140</f>
        <v>0</v>
      </c>
      <c r="AF15" s="55" t="n">
        <f aca="false">'5.3 Cost Build - Productive'!AF140</f>
        <v>0</v>
      </c>
      <c r="AG15" s="55" t="n">
        <f aca="false">'5.3 Cost Build - Productive'!AG140</f>
        <v>0</v>
      </c>
      <c r="AH15" s="55" t="n">
        <f aca="false">'5.3 Cost Build - Productive'!AH140</f>
        <v>0</v>
      </c>
      <c r="AI15" s="55" t="n">
        <f aca="false">'5.3 Cost Build - Productive'!AI140</f>
        <v>0</v>
      </c>
      <c r="AJ15" s="55" t="n">
        <f aca="false">'5.3 Cost Build - Productive'!AJ140</f>
        <v>0</v>
      </c>
      <c r="AK15" s="55" t="n">
        <f aca="false">'5.3 Cost Build - Productive'!AK140</f>
        <v>0</v>
      </c>
      <c r="AL15" s="55" t="n">
        <f aca="false">'5.3 Cost Build - Productive'!AL140</f>
        <v>0</v>
      </c>
    </row>
    <row r="16" customFormat="false" ht="15" hidden="false" customHeight="false" outlineLevel="1" collapsed="false">
      <c r="B16" s="13" t="n">
        <v>9</v>
      </c>
      <c r="C16" s="19" t="s">
        <v>767</v>
      </c>
      <c r="D16" s="30"/>
      <c r="E16" s="455" t="n">
        <v>25</v>
      </c>
      <c r="H16" s="55" t="n">
        <f aca="false">'5.3 Cost Build - Productive'!H141</f>
        <v>0</v>
      </c>
      <c r="I16" s="55" t="n">
        <f aca="false">'5.3 Cost Build - Productive'!I141</f>
        <v>385875</v>
      </c>
      <c r="J16" s="55" t="n">
        <f aca="false">'5.3 Cost Build - Productive'!J141</f>
        <v>405168.75</v>
      </c>
      <c r="K16" s="55" t="n">
        <f aca="false">'5.3 Cost Build - Productive'!K141</f>
        <v>425427.1875</v>
      </c>
      <c r="L16" s="55" t="n">
        <f aca="false">'5.3 Cost Build - Productive'!L141</f>
        <v>446698.546875</v>
      </c>
      <c r="M16" s="55" t="n">
        <f aca="false">'5.3 Cost Build - Productive'!M141</f>
        <v>469033.47421875</v>
      </c>
      <c r="N16" s="55" t="n">
        <f aca="false">'5.3 Cost Build - Productive'!N141</f>
        <v>492485.147929688</v>
      </c>
      <c r="O16" s="55" t="n">
        <f aca="false">'5.3 Cost Build - Productive'!O141</f>
        <v>517109.405326172</v>
      </c>
      <c r="P16" s="55" t="n">
        <f aca="false">'5.3 Cost Build - Productive'!P141</f>
        <v>542964.875592481</v>
      </c>
      <c r="Q16" s="55" t="n">
        <f aca="false">'5.3 Cost Build - Productive'!Q141</f>
        <v>570113.119372105</v>
      </c>
      <c r="R16" s="55" t="n">
        <f aca="false">'5.3 Cost Build - Productive'!R141</f>
        <v>0</v>
      </c>
      <c r="S16" s="55" t="n">
        <f aca="false">'5.3 Cost Build - Productive'!S141</f>
        <v>0</v>
      </c>
      <c r="T16" s="55" t="n">
        <f aca="false">'5.3 Cost Build - Productive'!T141</f>
        <v>0</v>
      </c>
      <c r="U16" s="55" t="n">
        <f aca="false">'5.3 Cost Build - Productive'!U141</f>
        <v>0</v>
      </c>
      <c r="V16" s="55" t="n">
        <f aca="false">'5.3 Cost Build - Productive'!V141</f>
        <v>0</v>
      </c>
      <c r="W16" s="55" t="n">
        <f aca="false">'5.3 Cost Build - Productive'!W141</f>
        <v>0</v>
      </c>
      <c r="X16" s="55" t="n">
        <f aca="false">'5.3 Cost Build - Productive'!X141</f>
        <v>0</v>
      </c>
      <c r="Y16" s="55" t="n">
        <f aca="false">'5.3 Cost Build - Productive'!Y141</f>
        <v>0</v>
      </c>
      <c r="Z16" s="55" t="n">
        <f aca="false">'5.3 Cost Build - Productive'!Z141</f>
        <v>0</v>
      </c>
      <c r="AA16" s="55" t="n">
        <f aca="false">'5.3 Cost Build - Productive'!AA141</f>
        <v>0</v>
      </c>
      <c r="AB16" s="55" t="n">
        <f aca="false">'5.3 Cost Build - Productive'!AB141</f>
        <v>0</v>
      </c>
      <c r="AC16" s="55" t="n">
        <f aca="false">'5.3 Cost Build - Productive'!AC141</f>
        <v>0</v>
      </c>
      <c r="AD16" s="55" t="n">
        <f aca="false">'5.3 Cost Build - Productive'!AD141</f>
        <v>0</v>
      </c>
      <c r="AE16" s="55" t="n">
        <f aca="false">'5.3 Cost Build - Productive'!AE141</f>
        <v>0</v>
      </c>
      <c r="AF16" s="55" t="n">
        <f aca="false">'5.3 Cost Build - Productive'!AF141</f>
        <v>0</v>
      </c>
      <c r="AG16" s="55" t="n">
        <f aca="false">'5.3 Cost Build - Productive'!AG141</f>
        <v>0</v>
      </c>
      <c r="AH16" s="55" t="n">
        <f aca="false">'5.3 Cost Build - Productive'!AH141</f>
        <v>0</v>
      </c>
      <c r="AI16" s="55" t="n">
        <f aca="false">'5.3 Cost Build - Productive'!AI141</f>
        <v>0</v>
      </c>
      <c r="AJ16" s="55" t="n">
        <f aca="false">'5.3 Cost Build - Productive'!AJ141</f>
        <v>0</v>
      </c>
      <c r="AK16" s="55" t="n">
        <f aca="false">'5.3 Cost Build - Productive'!AK141</f>
        <v>0</v>
      </c>
      <c r="AL16" s="55" t="n">
        <f aca="false">'5.3 Cost Build - Productive'!AL141</f>
        <v>0</v>
      </c>
    </row>
    <row r="17" customFormat="false" ht="15" hidden="false" customHeight="false" outlineLevel="1" collapsed="false">
      <c r="B17" s="13" t="n">
        <v>10</v>
      </c>
      <c r="C17" s="19" t="s">
        <v>768</v>
      </c>
      <c r="D17" s="30"/>
      <c r="E17" s="455" t="n">
        <v>10</v>
      </c>
      <c r="H17" s="55" t="n">
        <f aca="false">'5.3 Cost Build - Productive'!H142</f>
        <v>0</v>
      </c>
      <c r="I17" s="55" t="n">
        <f aca="false">'5.3 Cost Build - Productive'!I142</f>
        <v>228843.72</v>
      </c>
      <c r="J17" s="55" t="n">
        <f aca="false">'5.3 Cost Build - Productive'!J142</f>
        <v>240285.906</v>
      </c>
      <c r="K17" s="55" t="n">
        <f aca="false">'5.3 Cost Build - Productive'!K142</f>
        <v>252300.2013</v>
      </c>
      <c r="L17" s="55" t="n">
        <f aca="false">'5.3 Cost Build - Productive'!L142</f>
        <v>264915.211365</v>
      </c>
      <c r="M17" s="55" t="n">
        <f aca="false">'5.3 Cost Build - Productive'!M142</f>
        <v>278160.97193325</v>
      </c>
      <c r="N17" s="55" t="n">
        <f aca="false">'5.3 Cost Build - Productive'!N142</f>
        <v>292069.020529913</v>
      </c>
      <c r="O17" s="55" t="n">
        <f aca="false">'5.3 Cost Build - Productive'!O142</f>
        <v>306672.471556408</v>
      </c>
      <c r="P17" s="55" t="n">
        <f aca="false">'5.3 Cost Build - Productive'!P142</f>
        <v>322006.095134229</v>
      </c>
      <c r="Q17" s="55" t="n">
        <f aca="false">'5.3 Cost Build - Productive'!Q142</f>
        <v>338106.39989094</v>
      </c>
      <c r="R17" s="55" t="n">
        <f aca="false">'5.3 Cost Build - Productive'!R142</f>
        <v>0</v>
      </c>
      <c r="S17" s="55" t="n">
        <f aca="false">'5.3 Cost Build - Productive'!S142</f>
        <v>0</v>
      </c>
      <c r="T17" s="55" t="n">
        <f aca="false">'5.3 Cost Build - Productive'!T142</f>
        <v>0</v>
      </c>
      <c r="U17" s="55" t="n">
        <f aca="false">'5.3 Cost Build - Productive'!U142</f>
        <v>0</v>
      </c>
      <c r="V17" s="55" t="n">
        <f aca="false">'5.3 Cost Build - Productive'!V142</f>
        <v>0</v>
      </c>
      <c r="W17" s="55" t="n">
        <f aca="false">'5.3 Cost Build - Productive'!W142</f>
        <v>0</v>
      </c>
      <c r="X17" s="55" t="n">
        <f aca="false">'5.3 Cost Build - Productive'!X142</f>
        <v>0</v>
      </c>
      <c r="Y17" s="55" t="n">
        <f aca="false">'5.3 Cost Build - Productive'!Y142</f>
        <v>0</v>
      </c>
      <c r="Z17" s="55" t="n">
        <f aca="false">'5.3 Cost Build - Productive'!Z142</f>
        <v>0</v>
      </c>
      <c r="AA17" s="55" t="n">
        <f aca="false">'5.3 Cost Build - Productive'!AA142</f>
        <v>0</v>
      </c>
      <c r="AB17" s="55" t="n">
        <f aca="false">'5.3 Cost Build - Productive'!AB142</f>
        <v>0</v>
      </c>
      <c r="AC17" s="55" t="n">
        <f aca="false">'5.3 Cost Build - Productive'!AC142</f>
        <v>0</v>
      </c>
      <c r="AD17" s="55" t="n">
        <f aca="false">'5.3 Cost Build - Productive'!AD142</f>
        <v>0</v>
      </c>
      <c r="AE17" s="55" t="n">
        <f aca="false">'5.3 Cost Build - Productive'!AE142</f>
        <v>0</v>
      </c>
      <c r="AF17" s="55" t="n">
        <f aca="false">'5.3 Cost Build - Productive'!AF142</f>
        <v>0</v>
      </c>
      <c r="AG17" s="55" t="n">
        <f aca="false">'5.3 Cost Build - Productive'!AG142</f>
        <v>0</v>
      </c>
      <c r="AH17" s="55" t="n">
        <f aca="false">'5.3 Cost Build - Productive'!AH142</f>
        <v>0</v>
      </c>
      <c r="AI17" s="55" t="n">
        <f aca="false">'5.3 Cost Build - Productive'!AI142</f>
        <v>0</v>
      </c>
      <c r="AJ17" s="55" t="n">
        <f aca="false">'5.3 Cost Build - Productive'!AJ142</f>
        <v>0</v>
      </c>
      <c r="AK17" s="55" t="n">
        <f aca="false">'5.3 Cost Build - Productive'!AK142</f>
        <v>0</v>
      </c>
      <c r="AL17" s="55" t="n">
        <f aca="false">'5.3 Cost Build - Productive'!AL142</f>
        <v>0</v>
      </c>
    </row>
    <row r="18" customFormat="false" ht="15" hidden="false" customHeight="false" outlineLevel="1" collapsed="false">
      <c r="B18" s="13" t="n">
        <v>11</v>
      </c>
      <c r="C18" s="19" t="s">
        <v>769</v>
      </c>
      <c r="D18" s="30"/>
      <c r="E18" s="455" t="n">
        <v>5</v>
      </c>
      <c r="H18" s="55" t="n">
        <f aca="false">'5.3 Cost Build - Productive'!H143</f>
        <v>0</v>
      </c>
      <c r="I18" s="55" t="n">
        <f aca="false">'5.3 Cost Build - Productive'!I143</f>
        <v>99225</v>
      </c>
      <c r="J18" s="55" t="n">
        <f aca="false">'5.3 Cost Build - Productive'!J143</f>
        <v>104186.25</v>
      </c>
      <c r="K18" s="55" t="n">
        <f aca="false">'5.3 Cost Build - Productive'!K143</f>
        <v>109395.5625</v>
      </c>
      <c r="L18" s="55" t="n">
        <f aca="false">'5.3 Cost Build - Productive'!L143</f>
        <v>114865.340625</v>
      </c>
      <c r="M18" s="55" t="n">
        <f aca="false">'5.3 Cost Build - Productive'!M143</f>
        <v>120608.60765625</v>
      </c>
      <c r="N18" s="55" t="n">
        <f aca="false">'5.3 Cost Build - Productive'!N143</f>
        <v>126639.038039063</v>
      </c>
      <c r="O18" s="55" t="n">
        <f aca="false">'5.3 Cost Build - Productive'!O143</f>
        <v>132970.989941016</v>
      </c>
      <c r="P18" s="55" t="n">
        <f aca="false">'5.3 Cost Build - Productive'!P143</f>
        <v>139619.539438066</v>
      </c>
      <c r="Q18" s="55" t="n">
        <f aca="false">'5.3 Cost Build - Productive'!Q143</f>
        <v>146600.51640997</v>
      </c>
      <c r="R18" s="55" t="n">
        <f aca="false">'5.3 Cost Build - Productive'!R143</f>
        <v>0</v>
      </c>
      <c r="S18" s="55" t="n">
        <f aca="false">'5.3 Cost Build - Productive'!S143</f>
        <v>0</v>
      </c>
      <c r="T18" s="55" t="n">
        <f aca="false">'5.3 Cost Build - Productive'!T143</f>
        <v>0</v>
      </c>
      <c r="U18" s="55" t="n">
        <f aca="false">'5.3 Cost Build - Productive'!U143</f>
        <v>0</v>
      </c>
      <c r="V18" s="55" t="n">
        <f aca="false">'5.3 Cost Build - Productive'!V143</f>
        <v>0</v>
      </c>
      <c r="W18" s="55" t="n">
        <f aca="false">'5.3 Cost Build - Productive'!W143</f>
        <v>0</v>
      </c>
      <c r="X18" s="55" t="n">
        <f aca="false">'5.3 Cost Build - Productive'!X143</f>
        <v>0</v>
      </c>
      <c r="Y18" s="55" t="n">
        <f aca="false">'5.3 Cost Build - Productive'!Y143</f>
        <v>0</v>
      </c>
      <c r="Z18" s="55" t="n">
        <f aca="false">'5.3 Cost Build - Productive'!Z143</f>
        <v>0</v>
      </c>
      <c r="AA18" s="55" t="n">
        <f aca="false">'5.3 Cost Build - Productive'!AA143</f>
        <v>0</v>
      </c>
      <c r="AB18" s="55" t="n">
        <f aca="false">'5.3 Cost Build - Productive'!AB143</f>
        <v>0</v>
      </c>
      <c r="AC18" s="55" t="n">
        <f aca="false">'5.3 Cost Build - Productive'!AC143</f>
        <v>0</v>
      </c>
      <c r="AD18" s="55" t="n">
        <f aca="false">'5.3 Cost Build - Productive'!AD143</f>
        <v>0</v>
      </c>
      <c r="AE18" s="55" t="n">
        <f aca="false">'5.3 Cost Build - Productive'!AE143</f>
        <v>0</v>
      </c>
      <c r="AF18" s="55" t="n">
        <f aca="false">'5.3 Cost Build - Productive'!AF143</f>
        <v>0</v>
      </c>
      <c r="AG18" s="55" t="n">
        <f aca="false">'5.3 Cost Build - Productive'!AG143</f>
        <v>0</v>
      </c>
      <c r="AH18" s="55" t="n">
        <f aca="false">'5.3 Cost Build - Productive'!AH143</f>
        <v>0</v>
      </c>
      <c r="AI18" s="55" t="n">
        <f aca="false">'5.3 Cost Build - Productive'!AI143</f>
        <v>0</v>
      </c>
      <c r="AJ18" s="55" t="n">
        <f aca="false">'5.3 Cost Build - Productive'!AJ143</f>
        <v>0</v>
      </c>
      <c r="AK18" s="55" t="n">
        <f aca="false">'5.3 Cost Build - Productive'!AK143</f>
        <v>0</v>
      </c>
      <c r="AL18" s="55" t="n">
        <f aca="false">'5.3 Cost Build - Productive'!AL143</f>
        <v>0</v>
      </c>
    </row>
    <row r="19" customFormat="false" ht="15" hidden="false" customHeight="false" outlineLevel="1" collapsed="false">
      <c r="B19" s="13" t="n">
        <v>12</v>
      </c>
      <c r="C19" s="19" t="s">
        <v>770</v>
      </c>
      <c r="D19" s="30"/>
      <c r="E19" s="455" t="n">
        <v>5</v>
      </c>
      <c r="H19" s="55" t="n">
        <f aca="false">'5.3 Cost Build - Productive'!H120</f>
        <v>129662</v>
      </c>
      <c r="I19" s="55" t="n">
        <f aca="false">'5.3 Cost Build - Productive'!I120</f>
        <v>118717.2</v>
      </c>
      <c r="J19" s="55" t="n">
        <f aca="false">'5.3 Cost Build - Productive'!J120</f>
        <v>140072.625</v>
      </c>
      <c r="K19" s="55" t="n">
        <f aca="false">'5.3 Cost Build - Productive'!K120</f>
        <v>130885.713</v>
      </c>
      <c r="L19" s="55" t="n">
        <f aca="false">'5.3 Cost Build - Productive'!L120</f>
        <v>148763.378925</v>
      </c>
      <c r="M19" s="55" t="n">
        <f aca="false">'5.3 Cost Build - Productive'!M120</f>
        <v>144301.4985825</v>
      </c>
      <c r="N19" s="55" t="n">
        <f aca="false">'5.3 Cost Build - Productive'!N120</f>
        <v>157764.099388219</v>
      </c>
      <c r="O19" s="55" t="n">
        <f aca="false">'5.3 Cost Build - Productive'!O120</f>
        <v>164340.323923545</v>
      </c>
      <c r="P19" s="55" t="n">
        <f aca="false">'5.3 Cost Build - Productive'!P120</f>
        <v>172557.340119722</v>
      </c>
      <c r="Q19" s="55" t="n">
        <f aca="false">'5.3 Cost Build - Productive'!Q120</f>
        <v>181185.207125708</v>
      </c>
      <c r="R19" s="55" t="n">
        <f aca="false">'5.3 Cost Build - Productive'!R120</f>
        <v>190244.467481994</v>
      </c>
      <c r="S19" s="55" t="n">
        <f aca="false">'5.3 Cost Build - Productive'!S120</f>
        <v>199756.690856094</v>
      </c>
      <c r="T19" s="55" t="n">
        <f aca="false">'5.3 Cost Build - Productive'!T120</f>
        <v>209744.525398898</v>
      </c>
      <c r="U19" s="55" t="n">
        <f aca="false">'5.3 Cost Build - Productive'!U120</f>
        <v>220231.751668843</v>
      </c>
      <c r="V19" s="55" t="n">
        <f aca="false">'5.3 Cost Build - Productive'!V120</f>
        <v>231243.339252285</v>
      </c>
      <c r="W19" s="55" t="n">
        <f aca="false">'5.3 Cost Build - Productive'!W120</f>
        <v>242805.5062149</v>
      </c>
      <c r="X19" s="55" t="n">
        <f aca="false">'5.3 Cost Build - Productive'!X120</f>
        <v>254945.781525645</v>
      </c>
      <c r="Y19" s="55" t="n">
        <f aca="false">'5.3 Cost Build - Productive'!Y120</f>
        <v>267693.070601927</v>
      </c>
      <c r="Z19" s="55" t="n">
        <f aca="false">'5.3 Cost Build - Productive'!Z120</f>
        <v>281077.724132023</v>
      </c>
      <c r="AA19" s="55" t="n">
        <f aca="false">'5.3 Cost Build - Productive'!AA120</f>
        <v>295131.610338624</v>
      </c>
      <c r="AB19" s="55" t="n">
        <f aca="false">'5.3 Cost Build - Productive'!AB120</f>
        <v>309888.190855556</v>
      </c>
      <c r="AC19" s="55" t="n">
        <f aca="false">'5.3 Cost Build - Productive'!AC120</f>
        <v>325382.600398333</v>
      </c>
      <c r="AD19" s="55" t="n">
        <f aca="false">'5.3 Cost Build - Productive'!AD120</f>
        <v>341651.73041825</v>
      </c>
      <c r="AE19" s="55" t="n">
        <f aca="false">'5.3 Cost Build - Productive'!AE120</f>
        <v>358734.316939163</v>
      </c>
      <c r="AF19" s="55" t="n">
        <f aca="false">'5.3 Cost Build - Productive'!AF120</f>
        <v>376671.032786121</v>
      </c>
      <c r="AG19" s="55" t="n">
        <f aca="false">'5.3 Cost Build - Productive'!AG120</f>
        <v>395504.584425427</v>
      </c>
      <c r="AH19" s="55" t="n">
        <f aca="false">'5.3 Cost Build - Productive'!AH120</f>
        <v>415279.813646698</v>
      </c>
      <c r="AI19" s="55" t="n">
        <f aca="false">'5.3 Cost Build - Productive'!AI120</f>
        <v>436043.804329033</v>
      </c>
      <c r="AJ19" s="55" t="n">
        <f aca="false">'5.3 Cost Build - Productive'!AJ120</f>
        <v>457845.994545485</v>
      </c>
      <c r="AK19" s="55" t="n">
        <f aca="false">'5.3 Cost Build - Productive'!AK120</f>
        <v>480738.294272759</v>
      </c>
      <c r="AL19" s="55" t="n">
        <f aca="false">'5.3 Cost Build - Productive'!AL120</f>
        <v>504775.208986397</v>
      </c>
    </row>
    <row r="20" customFormat="false" ht="15" hidden="false" customHeight="false" outlineLevel="1" collapsed="false">
      <c r="B20" s="13" t="n">
        <v>13</v>
      </c>
      <c r="C20" s="19" t="s">
        <v>771</v>
      </c>
      <c r="D20" s="30"/>
      <c r="E20" s="455" t="n">
        <v>5</v>
      </c>
      <c r="H20" s="55" t="n">
        <f aca="false">'5.3 Cost Build - Productive'!H125</f>
        <v>76500</v>
      </c>
      <c r="I20" s="55" t="n">
        <f aca="false">'5.3 Cost Build - Productive'!I125</f>
        <v>78030</v>
      </c>
      <c r="J20" s="55" t="n">
        <f aca="false">'5.3 Cost Build - Productive'!J125</f>
        <v>79590.6</v>
      </c>
      <c r="K20" s="55" t="n">
        <f aca="false">'5.3 Cost Build - Productive'!K125</f>
        <v>81182.412</v>
      </c>
      <c r="L20" s="55" t="n">
        <f aca="false">'5.3 Cost Build - Productive'!L125</f>
        <v>82806.06024</v>
      </c>
      <c r="M20" s="55" t="n">
        <f aca="false">'5.3 Cost Build - Productive'!M125</f>
        <v>84462.1814448</v>
      </c>
      <c r="N20" s="55" t="n">
        <f aca="false">'5.3 Cost Build - Productive'!N125</f>
        <v>86151.425073696</v>
      </c>
      <c r="O20" s="55" t="n">
        <f aca="false">'5.3 Cost Build - Productive'!O125</f>
        <v>87874.4535751699</v>
      </c>
      <c r="P20" s="55" t="n">
        <f aca="false">'5.3 Cost Build - Productive'!P125</f>
        <v>89631.9426466733</v>
      </c>
      <c r="Q20" s="55" t="n">
        <f aca="false">'5.3 Cost Build - Productive'!Q125</f>
        <v>91424.5814996068</v>
      </c>
      <c r="R20" s="55" t="n">
        <f aca="false">'5.3 Cost Build - Productive'!R125</f>
        <v>93253.0731295989</v>
      </c>
      <c r="S20" s="55" t="n">
        <f aca="false">'5.3 Cost Build - Productive'!S125</f>
        <v>95118.1345921909</v>
      </c>
      <c r="T20" s="55" t="n">
        <f aca="false">'5.3 Cost Build - Productive'!T125</f>
        <v>97020.4972840347</v>
      </c>
      <c r="U20" s="55" t="n">
        <f aca="false">'5.3 Cost Build - Productive'!U125</f>
        <v>98960.9072297154</v>
      </c>
      <c r="V20" s="55" t="n">
        <f aca="false">'5.3 Cost Build - Productive'!V125</f>
        <v>100940.12537431</v>
      </c>
      <c r="W20" s="55" t="n">
        <f aca="false">'5.3 Cost Build - Productive'!W125</f>
        <v>102958.927881796</v>
      </c>
      <c r="X20" s="55" t="n">
        <f aca="false">'5.3 Cost Build - Productive'!X125</f>
        <v>105018.106439432</v>
      </c>
      <c r="Y20" s="55" t="n">
        <f aca="false">'5.3 Cost Build - Productive'!Y125</f>
        <v>107118.46856822</v>
      </c>
      <c r="Z20" s="55" t="n">
        <f aca="false">'5.3 Cost Build - Productive'!Z125</f>
        <v>109260.837939585</v>
      </c>
      <c r="AA20" s="55" t="n">
        <f aca="false">'5.3 Cost Build - Productive'!AA125</f>
        <v>111446.054698377</v>
      </c>
      <c r="AB20" s="55" t="n">
        <f aca="false">'5.3 Cost Build - Productive'!AB125</f>
        <v>113674.975792344</v>
      </c>
      <c r="AC20" s="55" t="n">
        <f aca="false">'5.3 Cost Build - Productive'!AC125</f>
        <v>115948.475308191</v>
      </c>
      <c r="AD20" s="55" t="n">
        <f aca="false">'5.3 Cost Build - Productive'!AD125</f>
        <v>118267.444814355</v>
      </c>
      <c r="AE20" s="55" t="n">
        <f aca="false">'5.3 Cost Build - Productive'!AE125</f>
        <v>120632.793710642</v>
      </c>
      <c r="AF20" s="55" t="n">
        <f aca="false">'5.3 Cost Build - Productive'!AF125</f>
        <v>123045.449584855</v>
      </c>
      <c r="AG20" s="55" t="n">
        <f aca="false">'5.3 Cost Build - Productive'!AG125</f>
        <v>125506.358576552</v>
      </c>
      <c r="AH20" s="55" t="n">
        <f aca="false">'5.3 Cost Build - Productive'!AH125</f>
        <v>128016.485748083</v>
      </c>
      <c r="AI20" s="55" t="n">
        <f aca="false">'5.3 Cost Build - Productive'!AI125</f>
        <v>130576.815463045</v>
      </c>
      <c r="AJ20" s="55" t="n">
        <f aca="false">'5.3 Cost Build - Productive'!AJ125</f>
        <v>133188.351772305</v>
      </c>
      <c r="AK20" s="55" t="n">
        <f aca="false">'5.3 Cost Build - Productive'!AK125</f>
        <v>135852.118807752</v>
      </c>
      <c r="AL20" s="55" t="n">
        <f aca="false">'5.3 Cost Build - Productive'!AL125</f>
        <v>138569.161183907</v>
      </c>
    </row>
    <row r="21" customFormat="false" ht="15" hidden="false" customHeight="false" outlineLevel="1" collapsed="false">
      <c r="B21" s="13"/>
      <c r="C21" s="13" t="str">
        <f aca="false">"Total "&amp;C7</f>
        <v>Total Equipment CAPEX</v>
      </c>
      <c r="D21" s="30"/>
      <c r="E21" s="30"/>
      <c r="H21" s="61" t="n">
        <f aca="false">SUM(H8:H20)</f>
        <v>1116372.625</v>
      </c>
      <c r="I21" s="61" t="n">
        <f aca="false">SUM(I8:I20)</f>
        <v>1539086.5575</v>
      </c>
      <c r="J21" s="61" t="n">
        <f aca="false">SUM(J8:J20)</f>
        <v>1083623.481</v>
      </c>
      <c r="K21" s="61" t="n">
        <f aca="false">SUM(K8:K20)</f>
        <v>1116838.6758</v>
      </c>
      <c r="L21" s="61" t="n">
        <f aca="false">SUM(L8:L20)</f>
        <v>1235809.94652</v>
      </c>
      <c r="M21" s="61" t="n">
        <f aca="false">SUM(M8:M20)</f>
        <v>1221231.7844991</v>
      </c>
      <c r="N21" s="61" t="n">
        <f aca="false">SUM(N8:N20)</f>
        <v>1345948.4274799</v>
      </c>
      <c r="O21" s="61" t="n">
        <f aca="false">SUM(O8:O20)</f>
        <v>1406764.78291539</v>
      </c>
      <c r="P21" s="61" t="n">
        <f aca="false">SUM(P8:P20)</f>
        <v>1471830.55484665</v>
      </c>
      <c r="Q21" s="61" t="n">
        <f aca="false">SUM(Q8:Q20)</f>
        <v>1540044.16603018</v>
      </c>
      <c r="R21" s="61" t="n">
        <f aca="false">SUM(R8:R20)</f>
        <v>469793.074822719</v>
      </c>
      <c r="S21" s="61" t="n">
        <f aca="false">SUM(S8:S20)</f>
        <v>487687.544176079</v>
      </c>
      <c r="T21" s="61" t="n">
        <f aca="false">SUM(T8:T20)</f>
        <v>506364.833309352</v>
      </c>
      <c r="U21" s="61" t="n">
        <f aca="false">SUM(U8:U20)</f>
        <v>525861.845137777</v>
      </c>
      <c r="V21" s="61" t="n">
        <f aca="false">SUM(V8:V20)</f>
        <v>546217.282960883</v>
      </c>
      <c r="W21" s="61" t="n">
        <f aca="false">SUM(W8:W20)</f>
        <v>567471.739586469</v>
      </c>
      <c r="X21" s="61" t="n">
        <f aca="false">SUM(X8:X20)</f>
        <v>589667.790892885</v>
      </c>
      <c r="Y21" s="61" t="n">
        <f aca="false">SUM(Y8:Y20)</f>
        <v>612850.094051163</v>
      </c>
      <c r="Z21" s="61" t="n">
        <f aca="false">SUM(Z8:Z20)</f>
        <v>637065.490639628</v>
      </c>
      <c r="AA21" s="61" t="n">
        <f aca="false">SUM(AA8:AA20)</f>
        <v>662363.114895234</v>
      </c>
      <c r="AB21" s="61" t="n">
        <f aca="false">SUM(AB8:AB20)</f>
        <v>688794.507358093</v>
      </c>
      <c r="AC21" s="61" t="n">
        <f aca="false">SUM(AC8:AC20)</f>
        <v>716413.734178457</v>
      </c>
      <c r="AD21" s="61" t="n">
        <f aca="false">SUM(AD8:AD20)</f>
        <v>745277.512368889</v>
      </c>
      <c r="AE21" s="61" t="n">
        <f aca="false">SUM(AE8:AE20)</f>
        <v>775445.341298472</v>
      </c>
      <c r="AF21" s="61" t="n">
        <f aca="false">SUM(AF8:AF20)</f>
        <v>806979.640740757</v>
      </c>
      <c r="AG21" s="61" t="n">
        <f aca="false">SUM(AG8:AG20)</f>
        <v>839945.895802704</v>
      </c>
      <c r="AH21" s="61" t="n">
        <f aca="false">SUM(AH8:AH20)</f>
        <v>874412.809078246</v>
      </c>
      <c r="AI21" s="61" t="n">
        <f aca="false">SUM(AI8:AI20)</f>
        <v>910452.460387273</v>
      </c>
      <c r="AJ21" s="61" t="n">
        <f aca="false">SUM(AJ8:AJ20)</f>
        <v>948140.474478854</v>
      </c>
      <c r="AK21" s="61" t="n">
        <f aca="false">SUM(AK8:AK20)</f>
        <v>987556.197096458</v>
      </c>
      <c r="AL21" s="61" t="n">
        <f aca="false">SUM(AL8:AL20)</f>
        <v>1028782.87982282</v>
      </c>
    </row>
    <row r="22" customFormat="false" ht="15" hidden="false" customHeight="false" outlineLevel="1" collapsed="false">
      <c r="B22" s="13"/>
      <c r="C22" s="19"/>
      <c r="D22" s="370"/>
      <c r="E22" s="30"/>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row>
    <row r="23" customFormat="false" ht="15" hidden="false" customHeight="false" outlineLevel="1" collapsed="false">
      <c r="B23" s="13" t="s">
        <v>772</v>
      </c>
      <c r="C23" s="19"/>
      <c r="D23" s="370"/>
      <c r="E23" s="30"/>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row>
    <row r="24" customFormat="false" ht="15" hidden="false" customHeight="false" outlineLevel="1" collapsed="false">
      <c r="B24" s="13" t="n">
        <v>1</v>
      </c>
      <c r="C24" s="456" t="str">
        <f aca="false">C8</f>
        <v>Nursery - Land</v>
      </c>
      <c r="D24" s="457"/>
      <c r="E24" s="30"/>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row>
    <row r="25" customFormat="false" ht="15" hidden="false" customHeight="false" outlineLevel="1" collapsed="false">
      <c r="B25" s="13"/>
      <c r="C25" s="19" t="s">
        <v>773</v>
      </c>
      <c r="D25" s="370"/>
      <c r="E25" s="30"/>
      <c r="H25" s="55" t="n">
        <f aca="false">0</f>
        <v>0</v>
      </c>
      <c r="I25" s="55" t="n">
        <f aca="false">H28</f>
        <v>76500</v>
      </c>
      <c r="J25" s="55" t="n">
        <f aca="false">I28</f>
        <v>154530</v>
      </c>
      <c r="K25" s="55" t="n">
        <f aca="false">J28</f>
        <v>154530</v>
      </c>
      <c r="L25" s="55" t="n">
        <f aca="false">K28</f>
        <v>154530</v>
      </c>
      <c r="M25" s="55" t="n">
        <f aca="false">L28</f>
        <v>154530</v>
      </c>
      <c r="N25" s="55" t="n">
        <f aca="false">M28</f>
        <v>154530</v>
      </c>
      <c r="O25" s="55" t="n">
        <f aca="false">N28</f>
        <v>154530</v>
      </c>
      <c r="P25" s="55" t="n">
        <f aca="false">O28</f>
        <v>154530</v>
      </c>
      <c r="Q25" s="55" t="n">
        <f aca="false">P28</f>
        <v>154530</v>
      </c>
      <c r="R25" s="55" t="n">
        <f aca="false">Q28</f>
        <v>154530</v>
      </c>
      <c r="S25" s="55" t="n">
        <f aca="false">R28</f>
        <v>154530</v>
      </c>
      <c r="T25" s="55" t="n">
        <f aca="false">S28</f>
        <v>154530</v>
      </c>
      <c r="U25" s="55" t="n">
        <f aca="false">T28</f>
        <v>154530</v>
      </c>
      <c r="V25" s="55" t="n">
        <f aca="false">U28</f>
        <v>154530</v>
      </c>
      <c r="W25" s="55" t="n">
        <f aca="false">V28</f>
        <v>154530</v>
      </c>
      <c r="X25" s="55" t="n">
        <f aca="false">W28</f>
        <v>154530</v>
      </c>
      <c r="Y25" s="55" t="n">
        <f aca="false">X28</f>
        <v>154530</v>
      </c>
      <c r="Z25" s="55" t="n">
        <f aca="false">Y28</f>
        <v>154530</v>
      </c>
      <c r="AA25" s="55" t="n">
        <f aca="false">Z28</f>
        <v>154530</v>
      </c>
      <c r="AB25" s="55" t="n">
        <f aca="false">AA28</f>
        <v>154530</v>
      </c>
      <c r="AC25" s="55" t="n">
        <f aca="false">AB28</f>
        <v>154530</v>
      </c>
      <c r="AD25" s="55" t="n">
        <f aca="false">AC28</f>
        <v>154530</v>
      </c>
      <c r="AE25" s="55" t="n">
        <f aca="false">AD28</f>
        <v>154530</v>
      </c>
      <c r="AF25" s="55" t="n">
        <f aca="false">AE28</f>
        <v>154530</v>
      </c>
      <c r="AG25" s="55" t="n">
        <f aca="false">AF28</f>
        <v>154530</v>
      </c>
      <c r="AH25" s="55" t="n">
        <f aca="false">AG28</f>
        <v>154530</v>
      </c>
      <c r="AI25" s="55" t="n">
        <f aca="false">AH28</f>
        <v>154530</v>
      </c>
      <c r="AJ25" s="55" t="n">
        <f aca="false">AI28</f>
        <v>154530</v>
      </c>
      <c r="AK25" s="55" t="n">
        <f aca="false">AJ28</f>
        <v>154530</v>
      </c>
      <c r="AL25" s="55" t="n">
        <f aca="false">AK28</f>
        <v>154530</v>
      </c>
    </row>
    <row r="26" customFormat="false" ht="15" hidden="false" customHeight="false" outlineLevel="1" collapsed="false">
      <c r="B26" s="13"/>
      <c r="C26" s="19" t="s">
        <v>774</v>
      </c>
      <c r="D26" s="370"/>
      <c r="E26" s="30"/>
      <c r="H26" s="55" t="n">
        <f aca="false">H8</f>
        <v>76500</v>
      </c>
      <c r="I26" s="55" t="n">
        <f aca="false">I8</f>
        <v>78030</v>
      </c>
      <c r="J26" s="55" t="n">
        <f aca="false">J8</f>
        <v>0</v>
      </c>
      <c r="K26" s="55" t="n">
        <f aca="false">K8</f>
        <v>0</v>
      </c>
      <c r="L26" s="55" t="n">
        <f aca="false">L8</f>
        <v>0</v>
      </c>
      <c r="M26" s="55" t="n">
        <f aca="false">M8</f>
        <v>0</v>
      </c>
      <c r="N26" s="55" t="n">
        <f aca="false">N8</f>
        <v>0</v>
      </c>
      <c r="O26" s="55" t="n">
        <f aca="false">O8</f>
        <v>0</v>
      </c>
      <c r="P26" s="55" t="n">
        <f aca="false">P8</f>
        <v>0</v>
      </c>
      <c r="Q26" s="55" t="n">
        <f aca="false">Q8</f>
        <v>0</v>
      </c>
      <c r="R26" s="55" t="n">
        <f aca="false">R8</f>
        <v>0</v>
      </c>
      <c r="S26" s="55" t="n">
        <f aca="false">S8</f>
        <v>0</v>
      </c>
      <c r="T26" s="55" t="n">
        <f aca="false">T8</f>
        <v>0</v>
      </c>
      <c r="U26" s="55" t="n">
        <f aca="false">U8</f>
        <v>0</v>
      </c>
      <c r="V26" s="55" t="n">
        <f aca="false">V8</f>
        <v>0</v>
      </c>
      <c r="W26" s="55" t="n">
        <f aca="false">W8</f>
        <v>0</v>
      </c>
      <c r="X26" s="55" t="n">
        <f aca="false">X8</f>
        <v>0</v>
      </c>
      <c r="Y26" s="55" t="n">
        <f aca="false">Y8</f>
        <v>0</v>
      </c>
      <c r="Z26" s="55" t="n">
        <f aca="false">Z8</f>
        <v>0</v>
      </c>
      <c r="AA26" s="55" t="n">
        <f aca="false">AA8</f>
        <v>0</v>
      </c>
      <c r="AB26" s="55" t="n">
        <f aca="false">AB8</f>
        <v>0</v>
      </c>
      <c r="AC26" s="55" t="n">
        <f aca="false">AC8</f>
        <v>0</v>
      </c>
      <c r="AD26" s="55" t="n">
        <f aca="false">AD8</f>
        <v>0</v>
      </c>
      <c r="AE26" s="55" t="n">
        <f aca="false">AE8</f>
        <v>0</v>
      </c>
      <c r="AF26" s="55" t="n">
        <f aca="false">AF8</f>
        <v>0</v>
      </c>
      <c r="AG26" s="55" t="n">
        <f aca="false">AG8</f>
        <v>0</v>
      </c>
      <c r="AH26" s="55" t="n">
        <f aca="false">AH8</f>
        <v>0</v>
      </c>
      <c r="AI26" s="55" t="n">
        <f aca="false">AI8</f>
        <v>0</v>
      </c>
      <c r="AJ26" s="55" t="n">
        <f aca="false">AJ8</f>
        <v>0</v>
      </c>
      <c r="AK26" s="55" t="n">
        <f aca="false">AK8</f>
        <v>0</v>
      </c>
      <c r="AL26" s="55" t="n">
        <f aca="false">AL8</f>
        <v>0</v>
      </c>
    </row>
    <row r="27" customFormat="false" ht="15" hidden="false" customHeight="false" outlineLevel="1" collapsed="false">
      <c r="B27" s="13"/>
      <c r="C27" s="19" t="s">
        <v>775</v>
      </c>
      <c r="D27" s="370"/>
      <c r="E27" s="188" t="str">
        <f aca="false">E8</f>
        <v>n/a</v>
      </c>
      <c r="H27" s="55" t="n">
        <f aca="false">0</f>
        <v>0</v>
      </c>
      <c r="I27" s="55" t="n">
        <f aca="false">0</f>
        <v>0</v>
      </c>
      <c r="J27" s="55" t="n">
        <f aca="false">0</f>
        <v>0</v>
      </c>
      <c r="K27" s="55" t="n">
        <f aca="false">0</f>
        <v>0</v>
      </c>
      <c r="L27" s="55" t="n">
        <f aca="false">0</f>
        <v>0</v>
      </c>
      <c r="M27" s="55" t="n">
        <f aca="false">0</f>
        <v>0</v>
      </c>
      <c r="N27" s="55" t="n">
        <f aca="false">0</f>
        <v>0</v>
      </c>
      <c r="O27" s="55" t="n">
        <f aca="false">0</f>
        <v>0</v>
      </c>
      <c r="P27" s="55" t="n">
        <f aca="false">0</f>
        <v>0</v>
      </c>
      <c r="Q27" s="55" t="n">
        <f aca="false">0</f>
        <v>0</v>
      </c>
      <c r="R27" s="55" t="n">
        <f aca="false">0</f>
        <v>0</v>
      </c>
      <c r="S27" s="55" t="n">
        <f aca="false">0</f>
        <v>0</v>
      </c>
      <c r="T27" s="55" t="n">
        <f aca="false">0</f>
        <v>0</v>
      </c>
      <c r="U27" s="55" t="n">
        <f aca="false">0</f>
        <v>0</v>
      </c>
      <c r="V27" s="55" t="n">
        <f aca="false">0</f>
        <v>0</v>
      </c>
      <c r="W27" s="55" t="n">
        <f aca="false">0</f>
        <v>0</v>
      </c>
      <c r="X27" s="55" t="n">
        <f aca="false">0</f>
        <v>0</v>
      </c>
      <c r="Y27" s="55" t="n">
        <f aca="false">0</f>
        <v>0</v>
      </c>
      <c r="Z27" s="55" t="n">
        <f aca="false">0</f>
        <v>0</v>
      </c>
      <c r="AA27" s="55" t="n">
        <f aca="false">0</f>
        <v>0</v>
      </c>
      <c r="AB27" s="55" t="n">
        <f aca="false">0</f>
        <v>0</v>
      </c>
      <c r="AC27" s="55" t="n">
        <f aca="false">0</f>
        <v>0</v>
      </c>
      <c r="AD27" s="55" t="n">
        <f aca="false">0</f>
        <v>0</v>
      </c>
      <c r="AE27" s="55" t="n">
        <f aca="false">0</f>
        <v>0</v>
      </c>
      <c r="AF27" s="55" t="n">
        <f aca="false">0</f>
        <v>0</v>
      </c>
      <c r="AG27" s="55" t="n">
        <f aca="false">0</f>
        <v>0</v>
      </c>
      <c r="AH27" s="55" t="n">
        <f aca="false">0</f>
        <v>0</v>
      </c>
      <c r="AI27" s="55" t="n">
        <f aca="false">0</f>
        <v>0</v>
      </c>
      <c r="AJ27" s="55" t="n">
        <f aca="false">0</f>
        <v>0</v>
      </c>
      <c r="AK27" s="55" t="n">
        <f aca="false">0</f>
        <v>0</v>
      </c>
      <c r="AL27" s="55" t="n">
        <f aca="false">0</f>
        <v>0</v>
      </c>
    </row>
    <row r="28" customFormat="false" ht="15" hidden="false" customHeight="false" outlineLevel="1" collapsed="false">
      <c r="B28" s="13"/>
      <c r="C28" s="458" t="s">
        <v>776</v>
      </c>
      <c r="D28" s="459"/>
      <c r="E28" s="228"/>
      <c r="F28" s="227"/>
      <c r="G28" s="460"/>
      <c r="H28" s="461" t="n">
        <f aca="false">SUM(H25:H27)</f>
        <v>76500</v>
      </c>
      <c r="I28" s="461" t="n">
        <f aca="false">SUM(I25:I27)</f>
        <v>154530</v>
      </c>
      <c r="J28" s="461" t="n">
        <f aca="false">SUM(J25:J27)</f>
        <v>154530</v>
      </c>
      <c r="K28" s="461" t="n">
        <f aca="false">SUM(K25:K27)</f>
        <v>154530</v>
      </c>
      <c r="L28" s="461" t="n">
        <f aca="false">SUM(L25:L27)</f>
        <v>154530</v>
      </c>
      <c r="M28" s="461" t="n">
        <f aca="false">SUM(M25:M27)</f>
        <v>154530</v>
      </c>
      <c r="N28" s="461" t="n">
        <f aca="false">SUM(N25:N27)</f>
        <v>154530</v>
      </c>
      <c r="O28" s="461" t="n">
        <f aca="false">SUM(O25:O27)</f>
        <v>154530</v>
      </c>
      <c r="P28" s="461" t="n">
        <f aca="false">SUM(P25:P27)</f>
        <v>154530</v>
      </c>
      <c r="Q28" s="461" t="n">
        <f aca="false">SUM(Q25:Q27)</f>
        <v>154530</v>
      </c>
      <c r="R28" s="461" t="n">
        <f aca="false">SUM(R25:R27)</f>
        <v>154530</v>
      </c>
      <c r="S28" s="461" t="n">
        <f aca="false">SUM(S25:S27)</f>
        <v>154530</v>
      </c>
      <c r="T28" s="461" t="n">
        <f aca="false">SUM(T25:T27)</f>
        <v>154530</v>
      </c>
      <c r="U28" s="461" t="n">
        <f aca="false">SUM(U25:U27)</f>
        <v>154530</v>
      </c>
      <c r="V28" s="461" t="n">
        <f aca="false">SUM(V25:V27)</f>
        <v>154530</v>
      </c>
      <c r="W28" s="461" t="n">
        <f aca="false">SUM(W25:W27)</f>
        <v>154530</v>
      </c>
      <c r="X28" s="461" t="n">
        <f aca="false">SUM(X25:X27)</f>
        <v>154530</v>
      </c>
      <c r="Y28" s="461" t="n">
        <f aca="false">SUM(Y25:Y27)</f>
        <v>154530</v>
      </c>
      <c r="Z28" s="461" t="n">
        <f aca="false">SUM(Z25:Z27)</f>
        <v>154530</v>
      </c>
      <c r="AA28" s="461" t="n">
        <f aca="false">SUM(AA25:AA27)</f>
        <v>154530</v>
      </c>
      <c r="AB28" s="461" t="n">
        <f aca="false">SUM(AB25:AB27)</f>
        <v>154530</v>
      </c>
      <c r="AC28" s="461" t="n">
        <f aca="false">SUM(AC25:AC27)</f>
        <v>154530</v>
      </c>
      <c r="AD28" s="461" t="n">
        <f aca="false">SUM(AD25:AD27)</f>
        <v>154530</v>
      </c>
      <c r="AE28" s="461" t="n">
        <f aca="false">SUM(AE25:AE27)</f>
        <v>154530</v>
      </c>
      <c r="AF28" s="461" t="n">
        <f aca="false">SUM(AF25:AF27)</f>
        <v>154530</v>
      </c>
      <c r="AG28" s="461" t="n">
        <f aca="false">SUM(AG25:AG27)</f>
        <v>154530</v>
      </c>
      <c r="AH28" s="461" t="n">
        <f aca="false">SUM(AH25:AH27)</f>
        <v>154530</v>
      </c>
      <c r="AI28" s="461" t="n">
        <f aca="false">SUM(AI25:AI27)</f>
        <v>154530</v>
      </c>
      <c r="AJ28" s="461" t="n">
        <f aca="false">SUM(AJ25:AJ27)</f>
        <v>154530</v>
      </c>
      <c r="AK28" s="461" t="n">
        <f aca="false">SUM(AK25:AK27)</f>
        <v>154530</v>
      </c>
      <c r="AL28" s="461" t="n">
        <f aca="false">SUM(AL25:AL27)</f>
        <v>154530</v>
      </c>
    </row>
    <row r="29" customFormat="false" ht="15" hidden="false" customHeight="false" outlineLevel="1" collapsed="false">
      <c r="B29" s="13"/>
      <c r="C29" s="19"/>
      <c r="D29" s="370"/>
      <c r="E29" s="30"/>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row>
    <row r="30" customFormat="false" ht="15" hidden="false" customHeight="false" outlineLevel="1" collapsed="false">
      <c r="B30" s="13" t="n">
        <f aca="false">B24+1</f>
        <v>2</v>
      </c>
      <c r="C30" s="456" t="str">
        <f aca="false">C9</f>
        <v>Nursery - Buildings</v>
      </c>
      <c r="D30" s="456"/>
    </row>
    <row r="31" customFormat="false" ht="15" hidden="false" customHeight="false" outlineLevel="1" collapsed="false">
      <c r="C31" s="19" t="s">
        <v>773</v>
      </c>
      <c r="D31" s="370"/>
      <c r="H31" s="55" t="n">
        <f aca="false">0</f>
        <v>0</v>
      </c>
      <c r="I31" s="55" t="e">
        <f aca="false">H34</f>
        <v>#VALUE!</v>
      </c>
      <c r="J31" s="55" t="e">
        <f aca="false">I34</f>
        <v>#VALUE!</v>
      </c>
      <c r="K31" s="55" t="e">
        <f aca="false">J34</f>
        <v>#VALUE!</v>
      </c>
      <c r="L31" s="55" t="e">
        <f aca="false">K34</f>
        <v>#VALUE!</v>
      </c>
      <c r="M31" s="55" t="e">
        <f aca="false">L34</f>
        <v>#VALUE!</v>
      </c>
      <c r="N31" s="55" t="e">
        <f aca="false">M34</f>
        <v>#VALUE!</v>
      </c>
      <c r="O31" s="55" t="e">
        <f aca="false">N34</f>
        <v>#VALUE!</v>
      </c>
      <c r="P31" s="55" t="e">
        <f aca="false">O34</f>
        <v>#VALUE!</v>
      </c>
      <c r="Q31" s="55" t="e">
        <f aca="false">P34</f>
        <v>#VALUE!</v>
      </c>
      <c r="R31" s="55" t="e">
        <f aca="false">Q34</f>
        <v>#VALUE!</v>
      </c>
      <c r="S31" s="55" t="e">
        <f aca="false">R34</f>
        <v>#VALUE!</v>
      </c>
      <c r="T31" s="55" t="e">
        <f aca="false">S34</f>
        <v>#VALUE!</v>
      </c>
      <c r="U31" s="55" t="e">
        <f aca="false">T34</f>
        <v>#VALUE!</v>
      </c>
      <c r="V31" s="55" t="e">
        <f aca="false">U34</f>
        <v>#VALUE!</v>
      </c>
      <c r="W31" s="55" t="e">
        <f aca="false">V34</f>
        <v>#VALUE!</v>
      </c>
      <c r="X31" s="55" t="e">
        <f aca="false">W34</f>
        <v>#VALUE!</v>
      </c>
      <c r="Y31" s="55" t="e">
        <f aca="false">X34</f>
        <v>#VALUE!</v>
      </c>
      <c r="Z31" s="55" t="e">
        <f aca="false">Y34</f>
        <v>#VALUE!</v>
      </c>
      <c r="AA31" s="55" t="e">
        <f aca="false">Z34</f>
        <v>#VALUE!</v>
      </c>
      <c r="AB31" s="55" t="e">
        <f aca="false">AA34</f>
        <v>#VALUE!</v>
      </c>
      <c r="AC31" s="55" t="e">
        <f aca="false">AB34</f>
        <v>#VALUE!</v>
      </c>
      <c r="AD31" s="55" t="e">
        <f aca="false">AC34</f>
        <v>#VALUE!</v>
      </c>
      <c r="AE31" s="55" t="e">
        <f aca="false">AD34</f>
        <v>#VALUE!</v>
      </c>
      <c r="AF31" s="55" t="e">
        <f aca="false">AE34</f>
        <v>#VALUE!</v>
      </c>
      <c r="AG31" s="55" t="e">
        <f aca="false">AF34</f>
        <v>#VALUE!</v>
      </c>
      <c r="AH31" s="55" t="e">
        <f aca="false">AG34</f>
        <v>#VALUE!</v>
      </c>
      <c r="AI31" s="55" t="e">
        <f aca="false">AH34</f>
        <v>#VALUE!</v>
      </c>
      <c r="AJ31" s="55" t="e">
        <f aca="false">AI34</f>
        <v>#VALUE!</v>
      </c>
      <c r="AK31" s="55" t="e">
        <f aca="false">AJ34</f>
        <v>#VALUE!</v>
      </c>
      <c r="AL31" s="55" t="e">
        <f aca="false">AK34</f>
        <v>#VALUE!</v>
      </c>
    </row>
    <row r="32" customFormat="false" ht="15" hidden="false" customHeight="false" outlineLevel="1" collapsed="false">
      <c r="C32" s="19" t="s">
        <v>774</v>
      </c>
      <c r="D32" s="370"/>
      <c r="H32" s="55" t="n">
        <f aca="false">H9</f>
        <v>139740</v>
      </c>
      <c r="I32" s="55" t="n">
        <f aca="false">I9</f>
        <v>142534.8</v>
      </c>
      <c r="J32" s="55" t="n">
        <f aca="false">J9</f>
        <v>0</v>
      </c>
      <c r="K32" s="55" t="n">
        <f aca="false">K9</f>
        <v>0</v>
      </c>
      <c r="L32" s="55" t="n">
        <f aca="false">L9</f>
        <v>0</v>
      </c>
      <c r="M32" s="55" t="n">
        <f aca="false">M9</f>
        <v>0</v>
      </c>
      <c r="N32" s="55" t="n">
        <f aca="false">N9</f>
        <v>0</v>
      </c>
      <c r="O32" s="55" t="n">
        <f aca="false">O9</f>
        <v>0</v>
      </c>
      <c r="P32" s="55" t="n">
        <f aca="false">P9</f>
        <v>0</v>
      </c>
      <c r="Q32" s="55" t="n">
        <f aca="false">Q9</f>
        <v>0</v>
      </c>
      <c r="R32" s="55" t="n">
        <f aca="false">R9</f>
        <v>0</v>
      </c>
      <c r="S32" s="55" t="n">
        <f aca="false">S9</f>
        <v>0</v>
      </c>
      <c r="T32" s="55" t="n">
        <f aca="false">T9</f>
        <v>0</v>
      </c>
      <c r="U32" s="55" t="n">
        <f aca="false">U9</f>
        <v>0</v>
      </c>
      <c r="V32" s="55" t="n">
        <f aca="false">V9</f>
        <v>0</v>
      </c>
      <c r="W32" s="55" t="n">
        <f aca="false">W9</f>
        <v>0</v>
      </c>
      <c r="X32" s="55" t="n">
        <f aca="false">X9</f>
        <v>0</v>
      </c>
      <c r="Y32" s="55" t="n">
        <f aca="false">Y9</f>
        <v>0</v>
      </c>
      <c r="Z32" s="55" t="n">
        <f aca="false">Z9</f>
        <v>0</v>
      </c>
      <c r="AA32" s="55" t="n">
        <f aca="false">AA9</f>
        <v>0</v>
      </c>
      <c r="AB32" s="55" t="n">
        <f aca="false">AB9</f>
        <v>0</v>
      </c>
      <c r="AC32" s="55" t="n">
        <f aca="false">AC9</f>
        <v>0</v>
      </c>
      <c r="AD32" s="55" t="n">
        <f aca="false">AD9</f>
        <v>0</v>
      </c>
      <c r="AE32" s="55" t="n">
        <f aca="false">AE9</f>
        <v>0</v>
      </c>
      <c r="AF32" s="55" t="n">
        <f aca="false">AF9</f>
        <v>0</v>
      </c>
      <c r="AG32" s="55" t="n">
        <f aca="false">AG9</f>
        <v>0</v>
      </c>
      <c r="AH32" s="55" t="n">
        <f aca="false">AH9</f>
        <v>0</v>
      </c>
      <c r="AI32" s="55" t="n">
        <f aca="false">AI9</f>
        <v>0</v>
      </c>
      <c r="AJ32" s="55" t="n">
        <f aca="false">AJ9</f>
        <v>0</v>
      </c>
      <c r="AK32" s="55" t="n">
        <f aca="false">AK9</f>
        <v>0</v>
      </c>
      <c r="AL32" s="55" t="n">
        <f aca="false">AL9</f>
        <v>0</v>
      </c>
    </row>
    <row r="33" customFormat="false" ht="15" hidden="false" customHeight="false" outlineLevel="1" collapsed="false">
      <c r="C33" s="19" t="s">
        <v>775</v>
      </c>
      <c r="D33" s="370"/>
      <c r="E33" s="188" t="n">
        <f aca="false">E9</f>
        <v>8</v>
      </c>
      <c r="F33" s="56"/>
      <c r="G33" s="393"/>
      <c r="H33" s="59" t="e">
        <f aca="true">-MIN(SUM(H31:H32),SUM(OFFSET(H32,0,0,1,-MIN(H$5,$E33)))/MAX(1,$E33))</f>
        <v>#VALUE!</v>
      </c>
      <c r="I33" s="59" t="e">
        <f aca="true">-MIN(I31,SUM(OFFSET(I32,0,-1,1,-MIN(I$5,$E33)))/MAX(1,$E33))</f>
        <v>#VALUE!</v>
      </c>
      <c r="J33" s="55" t="e">
        <f aca="true">-MIN(J31,SUM(OFFSET(J32,0,-1,1,-MIN(J$5,$E33)))/MAX(1,$E33))</f>
        <v>#VALUE!</v>
      </c>
      <c r="K33" s="55" t="e">
        <f aca="true">-MIN(K31,SUM(OFFSET(K32,0,-1,1,-MIN(K$5,$E33)))/MAX(1,$E33))</f>
        <v>#VALUE!</v>
      </c>
      <c r="L33" s="55" t="e">
        <f aca="true">-MIN(L31,SUM(OFFSET(L32,0,-1,1,-MIN(L$5,$E33)))/MAX(1,$E33))</f>
        <v>#VALUE!</v>
      </c>
      <c r="M33" s="55" t="e">
        <f aca="true">-MIN(M31,SUM(OFFSET(M32,0,-1,1,-MIN(M$5,$E33)))/MAX(1,$E33))</f>
        <v>#VALUE!</v>
      </c>
      <c r="N33" s="55" t="e">
        <f aca="true">-MIN(N31,SUM(OFFSET(N32,0,-1,1,-MIN(N$5,$E33)))/MAX(1,$E33))</f>
        <v>#VALUE!</v>
      </c>
      <c r="O33" s="55" t="e">
        <f aca="true">-MIN(O31,SUM(OFFSET(O32,0,-1,1,-MIN(O$5,$E33)))/MAX(1,$E33))</f>
        <v>#VALUE!</v>
      </c>
      <c r="P33" s="55" t="e">
        <f aca="true">-MIN(P31,SUM(OFFSET(P32,0,-1,1,-MIN(P$5,$E33)))/MAX(1,$E33))</f>
        <v>#VALUE!</v>
      </c>
      <c r="Q33" s="55" t="e">
        <f aca="true">-MIN(Q31,SUM(OFFSET(Q32,0,-1,1,-MIN(Q$5,$E33)))/MAX(1,$E33))</f>
        <v>#VALUE!</v>
      </c>
      <c r="R33" s="55" t="e">
        <f aca="true">-MIN(R31,SUM(OFFSET(R32,0,-1,1,-MIN(R$5,$E33)))/MAX(1,$E33))</f>
        <v>#VALUE!</v>
      </c>
      <c r="S33" s="55" t="e">
        <f aca="true">-MIN(S31,SUM(OFFSET(S32,0,-1,1,-MIN(S$5,$E33)))/MAX(1,$E33))</f>
        <v>#VALUE!</v>
      </c>
      <c r="T33" s="55" t="e">
        <f aca="true">-MIN(T31,SUM(OFFSET(T32,0,-1,1,-MIN(T$5,$E33)))/MAX(1,$E33))</f>
        <v>#VALUE!</v>
      </c>
      <c r="U33" s="55" t="e">
        <f aca="true">-MIN(U31,SUM(OFFSET(U32,0,-1,1,-MIN(U$5,$E33)))/MAX(1,$E33))</f>
        <v>#VALUE!</v>
      </c>
      <c r="V33" s="55" t="e">
        <f aca="true">-MIN(V31,SUM(OFFSET(V32,0,-1,1,-MIN(V$5,$E33)))/MAX(1,$E33))</f>
        <v>#VALUE!</v>
      </c>
      <c r="W33" s="55" t="e">
        <f aca="true">-MIN(W31,SUM(OFFSET(W32,0,-1,1,-MIN(W$5,$E33)))/MAX(1,$E33))</f>
        <v>#VALUE!</v>
      </c>
      <c r="X33" s="55" t="e">
        <f aca="true">-MIN(X31,SUM(OFFSET(X32,0,-1,1,-MIN(X$5,$E33)))/MAX(1,$E33))</f>
        <v>#VALUE!</v>
      </c>
      <c r="Y33" s="55" t="e">
        <f aca="true">-MIN(Y31,SUM(OFFSET(Y32,0,-1,1,-MIN(Y$5,$E33)))/MAX(1,$E33))</f>
        <v>#VALUE!</v>
      </c>
      <c r="Z33" s="55" t="e">
        <f aca="true">-MIN(Z31,SUM(OFFSET(Z32,0,-1,1,-MIN(Z$5,$E33)))/MAX(1,$E33))</f>
        <v>#VALUE!</v>
      </c>
      <c r="AA33" s="55" t="e">
        <f aca="true">-MIN(AA31,SUM(OFFSET(AA32,0,-1,1,-MIN(AA$5,$E33)))/MAX(1,$E33))</f>
        <v>#VALUE!</v>
      </c>
      <c r="AB33" s="55" t="e">
        <f aca="true">-MIN(AB31,SUM(OFFSET(AB32,0,-1,1,-MIN(AB$5,$E33)))/MAX(1,$E33))</f>
        <v>#VALUE!</v>
      </c>
      <c r="AC33" s="55" t="e">
        <f aca="true">-MIN(AC31,SUM(OFFSET(AC32,0,-1,1,-MIN(AC$5,$E33)))/MAX(1,$E33))</f>
        <v>#VALUE!</v>
      </c>
      <c r="AD33" s="55" t="e">
        <f aca="true">-MIN(AD31,SUM(OFFSET(AD32,0,-1,1,-MIN(AD$5,$E33)))/MAX(1,$E33))</f>
        <v>#VALUE!</v>
      </c>
      <c r="AE33" s="55" t="e">
        <f aca="true">-MIN(AE31,SUM(OFFSET(AE32,0,-1,1,-MIN(AE$5,$E33)))/MAX(1,$E33))</f>
        <v>#VALUE!</v>
      </c>
      <c r="AF33" s="55" t="e">
        <f aca="true">-MIN(AF31,SUM(OFFSET(AF32,0,-1,1,-MIN(AF$5,$E33)))/MAX(1,$E33))</f>
        <v>#VALUE!</v>
      </c>
      <c r="AG33" s="55" t="e">
        <f aca="true">-MIN(AG31,SUM(OFFSET(AG32,0,-1,1,-MIN(AG$5,$E33)))/MAX(1,$E33))</f>
        <v>#VALUE!</v>
      </c>
      <c r="AH33" s="55" t="e">
        <f aca="true">-MIN(AH31,SUM(OFFSET(AH32,0,-1,1,-MIN(AH$5,$E33)))/MAX(1,$E33))</f>
        <v>#VALUE!</v>
      </c>
      <c r="AI33" s="55" t="e">
        <f aca="true">-MIN(AI31,SUM(OFFSET(AI32,0,-1,1,-MIN(AI$5,$E33)))/MAX(1,$E33))</f>
        <v>#VALUE!</v>
      </c>
      <c r="AJ33" s="55" t="e">
        <f aca="true">-MIN(AJ31,SUM(OFFSET(AJ32,0,-1,1,-MIN(AJ$5,$E33)))/MAX(1,$E33))</f>
        <v>#VALUE!</v>
      </c>
      <c r="AK33" s="55" t="e">
        <f aca="true">-MIN(AK31,SUM(OFFSET(AK32,0,-1,1,-MIN(AK$5,$E33)))/MAX(1,$E33))</f>
        <v>#VALUE!</v>
      </c>
      <c r="AL33" s="55" t="e">
        <f aca="true">-MIN(AL31,SUM(OFFSET(AL32,0,-1,1,-MIN(AL$5,$E33)))/MAX(1,$E33))</f>
        <v>#VALUE!</v>
      </c>
    </row>
    <row r="34" customFormat="false" ht="15" hidden="false" customHeight="false" outlineLevel="1" collapsed="false">
      <c r="C34" s="458" t="s">
        <v>776</v>
      </c>
      <c r="D34" s="459"/>
      <c r="H34" s="55" t="e">
        <f aca="false">SUM(H31:H33)</f>
        <v>#VALUE!</v>
      </c>
      <c r="I34" s="55" t="e">
        <f aca="false">SUM(I31:I33)</f>
        <v>#VALUE!</v>
      </c>
      <c r="J34" s="461" t="e">
        <f aca="false">SUM(J31:J33)</f>
        <v>#VALUE!</v>
      </c>
      <c r="K34" s="461" t="e">
        <f aca="false">SUM(K31:K33)</f>
        <v>#VALUE!</v>
      </c>
      <c r="L34" s="461" t="e">
        <f aca="false">SUM(L31:L33)</f>
        <v>#VALUE!</v>
      </c>
      <c r="M34" s="461" t="e">
        <f aca="false">SUM(M31:M33)</f>
        <v>#VALUE!</v>
      </c>
      <c r="N34" s="461" t="e">
        <f aca="false">SUM(N31:N33)</f>
        <v>#VALUE!</v>
      </c>
      <c r="O34" s="461" t="e">
        <f aca="false">SUM(O31:O33)</f>
        <v>#VALUE!</v>
      </c>
      <c r="P34" s="461" t="e">
        <f aca="false">SUM(P31:P33)</f>
        <v>#VALUE!</v>
      </c>
      <c r="Q34" s="461" t="e">
        <f aca="false">SUM(Q31:Q33)</f>
        <v>#VALUE!</v>
      </c>
      <c r="R34" s="461" t="e">
        <f aca="false">SUM(R31:R33)</f>
        <v>#VALUE!</v>
      </c>
      <c r="S34" s="461" t="e">
        <f aca="false">SUM(S31:S33)</f>
        <v>#VALUE!</v>
      </c>
      <c r="T34" s="461" t="e">
        <f aca="false">SUM(T31:T33)</f>
        <v>#VALUE!</v>
      </c>
      <c r="U34" s="461" t="e">
        <f aca="false">SUM(U31:U33)</f>
        <v>#VALUE!</v>
      </c>
      <c r="V34" s="461" t="e">
        <f aca="false">SUM(V31:V33)</f>
        <v>#VALUE!</v>
      </c>
      <c r="W34" s="461" t="e">
        <f aca="false">SUM(W31:W33)</f>
        <v>#VALUE!</v>
      </c>
      <c r="X34" s="461" t="e">
        <f aca="false">SUM(X31:X33)</f>
        <v>#VALUE!</v>
      </c>
      <c r="Y34" s="461" t="e">
        <f aca="false">SUM(Y31:Y33)</f>
        <v>#VALUE!</v>
      </c>
      <c r="Z34" s="461" t="e">
        <f aca="false">SUM(Z31:Z33)</f>
        <v>#VALUE!</v>
      </c>
      <c r="AA34" s="461" t="e">
        <f aca="false">SUM(AA31:AA33)</f>
        <v>#VALUE!</v>
      </c>
      <c r="AB34" s="461" t="e">
        <f aca="false">SUM(AB31:AB33)</f>
        <v>#VALUE!</v>
      </c>
      <c r="AC34" s="461" t="e">
        <f aca="false">SUM(AC31:AC33)</f>
        <v>#VALUE!</v>
      </c>
      <c r="AD34" s="461" t="e">
        <f aca="false">SUM(AD31:AD33)</f>
        <v>#VALUE!</v>
      </c>
      <c r="AE34" s="461" t="e">
        <f aca="false">SUM(AE31:AE33)</f>
        <v>#VALUE!</v>
      </c>
      <c r="AF34" s="461" t="e">
        <f aca="false">SUM(AF31:AF33)</f>
        <v>#VALUE!</v>
      </c>
      <c r="AG34" s="461" t="e">
        <f aca="false">SUM(AG31:AG33)</f>
        <v>#VALUE!</v>
      </c>
      <c r="AH34" s="461" t="e">
        <f aca="false">SUM(AH31:AH33)</f>
        <v>#VALUE!</v>
      </c>
      <c r="AI34" s="461" t="e">
        <f aca="false">SUM(AI31:AI33)</f>
        <v>#VALUE!</v>
      </c>
      <c r="AJ34" s="461" t="e">
        <f aca="false">SUM(AJ31:AJ33)</f>
        <v>#VALUE!</v>
      </c>
      <c r="AK34" s="461" t="e">
        <f aca="false">SUM(AK31:AK33)</f>
        <v>#VALUE!</v>
      </c>
      <c r="AL34" s="461" t="e">
        <f aca="false">SUM(AL31:AL33)</f>
        <v>#VALUE!</v>
      </c>
    </row>
    <row r="35" customFormat="false" ht="15" hidden="false" customHeight="false" outlineLevel="1" collapsed="false">
      <c r="N35" s="42"/>
    </row>
    <row r="36" customFormat="false" ht="15" hidden="false" customHeight="false" outlineLevel="1" collapsed="false">
      <c r="B36" s="13" t="n">
        <f aca="false">B30+1</f>
        <v>3</v>
      </c>
      <c r="C36" s="456" t="str">
        <f aca="false">C10</f>
        <v>Nursery - Vehicles</v>
      </c>
      <c r="D36" s="457"/>
      <c r="E36" s="30"/>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row>
    <row r="37" customFormat="false" ht="15" hidden="false" customHeight="false" outlineLevel="1" collapsed="false">
      <c r="B37" s="13"/>
      <c r="C37" s="19" t="s">
        <v>773</v>
      </c>
      <c r="D37" s="370"/>
      <c r="E37" s="30"/>
      <c r="H37" s="55" t="n">
        <f aca="false">0</f>
        <v>0</v>
      </c>
      <c r="I37" s="55" t="e">
        <f aca="false">H40</f>
        <v>#VALUE!</v>
      </c>
      <c r="J37" s="55" t="e">
        <f aca="false">I40</f>
        <v>#VALUE!</v>
      </c>
      <c r="K37" s="55" t="e">
        <f aca="false">J40</f>
        <v>#VALUE!</v>
      </c>
      <c r="L37" s="55" t="e">
        <f aca="false">K40</f>
        <v>#VALUE!</v>
      </c>
      <c r="M37" s="55" t="e">
        <f aca="false">L40</f>
        <v>#VALUE!</v>
      </c>
      <c r="N37" s="55" t="e">
        <f aca="false">M40</f>
        <v>#VALUE!</v>
      </c>
      <c r="O37" s="55" t="e">
        <f aca="false">N40</f>
        <v>#VALUE!</v>
      </c>
      <c r="P37" s="55" t="e">
        <f aca="false">O40</f>
        <v>#VALUE!</v>
      </c>
      <c r="Q37" s="55" t="e">
        <f aca="false">P40</f>
        <v>#VALUE!</v>
      </c>
      <c r="R37" s="55" t="e">
        <f aca="false">Q40</f>
        <v>#VALUE!</v>
      </c>
      <c r="S37" s="55" t="e">
        <f aca="false">R40</f>
        <v>#VALUE!</v>
      </c>
      <c r="T37" s="55" t="e">
        <f aca="false">S40</f>
        <v>#VALUE!</v>
      </c>
      <c r="U37" s="55" t="e">
        <f aca="false">T40</f>
        <v>#VALUE!</v>
      </c>
      <c r="V37" s="55" t="e">
        <f aca="false">U40</f>
        <v>#VALUE!</v>
      </c>
      <c r="W37" s="55" t="e">
        <f aca="false">V40</f>
        <v>#VALUE!</v>
      </c>
      <c r="X37" s="55" t="e">
        <f aca="false">W40</f>
        <v>#VALUE!</v>
      </c>
      <c r="Y37" s="55" t="e">
        <f aca="false">X40</f>
        <v>#VALUE!</v>
      </c>
      <c r="Z37" s="55" t="e">
        <f aca="false">Y40</f>
        <v>#VALUE!</v>
      </c>
      <c r="AA37" s="55" t="e">
        <f aca="false">Z40</f>
        <v>#VALUE!</v>
      </c>
      <c r="AB37" s="55" t="e">
        <f aca="false">AA40</f>
        <v>#VALUE!</v>
      </c>
      <c r="AC37" s="55" t="e">
        <f aca="false">AB40</f>
        <v>#VALUE!</v>
      </c>
      <c r="AD37" s="55" t="e">
        <f aca="false">AC40</f>
        <v>#VALUE!</v>
      </c>
      <c r="AE37" s="55" t="e">
        <f aca="false">AD40</f>
        <v>#VALUE!</v>
      </c>
      <c r="AF37" s="55" t="e">
        <f aca="false">AE40</f>
        <v>#VALUE!</v>
      </c>
      <c r="AG37" s="55" t="e">
        <f aca="false">AF40</f>
        <v>#VALUE!</v>
      </c>
      <c r="AH37" s="55" t="e">
        <f aca="false">AG40</f>
        <v>#VALUE!</v>
      </c>
      <c r="AI37" s="55" t="e">
        <f aca="false">AH40</f>
        <v>#VALUE!</v>
      </c>
      <c r="AJ37" s="55" t="e">
        <f aca="false">AI40</f>
        <v>#VALUE!</v>
      </c>
      <c r="AK37" s="55" t="e">
        <f aca="false">AJ40</f>
        <v>#VALUE!</v>
      </c>
      <c r="AL37" s="55" t="e">
        <f aca="false">AK40</f>
        <v>#VALUE!</v>
      </c>
    </row>
    <row r="38" customFormat="false" ht="15" hidden="false" customHeight="false" outlineLevel="1" collapsed="false">
      <c r="B38" s="13"/>
      <c r="C38" s="19" t="s">
        <v>774</v>
      </c>
      <c r="D38" s="370"/>
      <c r="E38" s="30"/>
      <c r="H38" s="55" t="n">
        <f aca="false">H10</f>
        <v>86955</v>
      </c>
      <c r="I38" s="55" t="n">
        <f aca="false">I10</f>
        <v>88694.1</v>
      </c>
      <c r="J38" s="55" t="n">
        <f aca="false">J10</f>
        <v>0</v>
      </c>
      <c r="K38" s="55" t="n">
        <f aca="false">K10</f>
        <v>0</v>
      </c>
      <c r="L38" s="55" t="n">
        <f aca="false">L10</f>
        <v>0</v>
      </c>
      <c r="M38" s="55" t="n">
        <f aca="false">M10</f>
        <v>0</v>
      </c>
      <c r="N38" s="55" t="n">
        <f aca="false">N10</f>
        <v>0</v>
      </c>
      <c r="O38" s="55" t="n">
        <f aca="false">O10</f>
        <v>0</v>
      </c>
      <c r="P38" s="55" t="n">
        <f aca="false">P10</f>
        <v>0</v>
      </c>
      <c r="Q38" s="55" t="n">
        <f aca="false">Q10</f>
        <v>0</v>
      </c>
      <c r="R38" s="55" t="n">
        <f aca="false">R10</f>
        <v>0</v>
      </c>
      <c r="S38" s="55" t="n">
        <f aca="false">S10</f>
        <v>0</v>
      </c>
      <c r="T38" s="55" t="n">
        <f aca="false">T10</f>
        <v>0</v>
      </c>
      <c r="U38" s="55" t="n">
        <f aca="false">U10</f>
        <v>0</v>
      </c>
      <c r="V38" s="55" t="n">
        <f aca="false">V10</f>
        <v>0</v>
      </c>
      <c r="W38" s="55" t="n">
        <f aca="false">W10</f>
        <v>0</v>
      </c>
      <c r="X38" s="55" t="n">
        <f aca="false">X10</f>
        <v>0</v>
      </c>
      <c r="Y38" s="55" t="n">
        <f aca="false">Y10</f>
        <v>0</v>
      </c>
      <c r="Z38" s="55" t="n">
        <f aca="false">Z10</f>
        <v>0</v>
      </c>
      <c r="AA38" s="55" t="n">
        <f aca="false">AA10</f>
        <v>0</v>
      </c>
      <c r="AB38" s="55" t="n">
        <f aca="false">AB10</f>
        <v>0</v>
      </c>
      <c r="AC38" s="55" t="n">
        <f aca="false">AC10</f>
        <v>0</v>
      </c>
      <c r="AD38" s="55" t="n">
        <f aca="false">AD10</f>
        <v>0</v>
      </c>
      <c r="AE38" s="55" t="n">
        <f aca="false">AE10</f>
        <v>0</v>
      </c>
      <c r="AF38" s="55" t="n">
        <f aca="false">AF10</f>
        <v>0</v>
      </c>
      <c r="AG38" s="55" t="n">
        <f aca="false">AG10</f>
        <v>0</v>
      </c>
      <c r="AH38" s="55" t="n">
        <f aca="false">AH10</f>
        <v>0</v>
      </c>
      <c r="AI38" s="55" t="n">
        <f aca="false">AI10</f>
        <v>0</v>
      </c>
      <c r="AJ38" s="55" t="n">
        <f aca="false">AJ10</f>
        <v>0</v>
      </c>
      <c r="AK38" s="55" t="n">
        <f aca="false">AK10</f>
        <v>0</v>
      </c>
      <c r="AL38" s="55" t="n">
        <f aca="false">AL10</f>
        <v>0</v>
      </c>
    </row>
    <row r="39" customFormat="false" ht="15" hidden="false" customHeight="false" outlineLevel="1" collapsed="false">
      <c r="B39" s="13"/>
      <c r="C39" s="19" t="s">
        <v>775</v>
      </c>
      <c r="D39" s="370"/>
      <c r="E39" s="188" t="n">
        <f aca="false">E10</f>
        <v>10</v>
      </c>
      <c r="H39" s="55" t="e">
        <f aca="true">-MIN(SUM(H37:H38),SUM(OFFSET(H38,0,0,1,-MIN(H$5,$E39)))/MAX(1,$E39))</f>
        <v>#VALUE!</v>
      </c>
      <c r="I39" s="55" t="e">
        <f aca="true">-MIN(I37,SUM(OFFSET(I38,0,-1,1,-MIN(I$5,$E39)))/MAX(1,$E39))</f>
        <v>#VALUE!</v>
      </c>
      <c r="J39" s="55" t="e">
        <f aca="true">-MIN(J37,SUM(OFFSET(J38,0,-1,1,-MIN(J$5,$E39)))/MAX(1,$E39))</f>
        <v>#VALUE!</v>
      </c>
      <c r="K39" s="55" t="e">
        <f aca="true">-MIN(K37,SUM(OFFSET(K38,0,-1,1,-MIN(K$5,$E39)))/MAX(1,$E39))</f>
        <v>#VALUE!</v>
      </c>
      <c r="L39" s="55" t="e">
        <f aca="true">-MIN(L37,SUM(OFFSET(L38,0,-1,1,-MIN(L$5,$E39)))/MAX(1,$E39))</f>
        <v>#VALUE!</v>
      </c>
      <c r="M39" s="55" t="e">
        <f aca="true">-MIN(M37,SUM(OFFSET(M38,0,-1,1,-MIN(M$5,$E39)))/MAX(1,$E39))</f>
        <v>#VALUE!</v>
      </c>
      <c r="N39" s="55" t="e">
        <f aca="true">-MIN(N37,SUM(OFFSET(N38,0,-1,1,-MIN(N$5,$E39)))/MAX(1,$E39))</f>
        <v>#VALUE!</v>
      </c>
      <c r="O39" s="55" t="e">
        <f aca="true">-MIN(O37,SUM(OFFSET(O38,0,-1,1,-MIN(O$5,$E39)))/MAX(1,$E39))</f>
        <v>#VALUE!</v>
      </c>
      <c r="P39" s="55" t="e">
        <f aca="true">-MIN(P37,SUM(OFFSET(P38,0,-1,1,-MIN(P$5,$E39)))/MAX(1,$E39))</f>
        <v>#VALUE!</v>
      </c>
      <c r="Q39" s="55" t="e">
        <f aca="true">-MIN(Q37,SUM(OFFSET(Q38,0,-1,1,-MIN(Q$5,$E39)))/MAX(1,$E39))</f>
        <v>#VALUE!</v>
      </c>
      <c r="R39" s="55" t="e">
        <f aca="true">-MIN(R37,SUM(OFFSET(R38,0,-1,1,-MIN(R$5,$E39)))/MAX(1,$E39))</f>
        <v>#VALUE!</v>
      </c>
      <c r="S39" s="55" t="e">
        <f aca="true">-MIN(S37,SUM(OFFSET(S38,0,-1,1,-MIN(S$5,$E39)))/MAX(1,$E39))</f>
        <v>#VALUE!</v>
      </c>
      <c r="T39" s="55" t="e">
        <f aca="true">-MIN(T37,SUM(OFFSET(T38,0,-1,1,-MIN(T$5,$E39)))/MAX(1,$E39))</f>
        <v>#VALUE!</v>
      </c>
      <c r="U39" s="55" t="e">
        <f aca="true">-MIN(U37,SUM(OFFSET(U38,0,-1,1,-MIN(U$5,$E39)))/MAX(1,$E39))</f>
        <v>#VALUE!</v>
      </c>
      <c r="V39" s="55" t="e">
        <f aca="true">-MIN(V37,SUM(OFFSET(V38,0,-1,1,-MIN(V$5,$E39)))/MAX(1,$E39))</f>
        <v>#VALUE!</v>
      </c>
      <c r="W39" s="55" t="e">
        <f aca="true">-MIN(W37,SUM(OFFSET(W38,0,-1,1,-MIN(W$5,$E39)))/MAX(1,$E39))</f>
        <v>#VALUE!</v>
      </c>
      <c r="X39" s="55" t="e">
        <f aca="true">-MIN(X37,SUM(OFFSET(X38,0,-1,1,-MIN(X$5,$E39)))/MAX(1,$E39))</f>
        <v>#VALUE!</v>
      </c>
      <c r="Y39" s="55" t="e">
        <f aca="true">-MIN(Y37,SUM(OFFSET(Y38,0,-1,1,-MIN(Y$5,$E39)))/MAX(1,$E39))</f>
        <v>#VALUE!</v>
      </c>
      <c r="Z39" s="55" t="e">
        <f aca="true">-MIN(Z37,SUM(OFFSET(Z38,0,-1,1,-MIN(Z$5,$E39)))/MAX(1,$E39))</f>
        <v>#VALUE!</v>
      </c>
      <c r="AA39" s="55" t="e">
        <f aca="true">-MIN(AA37,SUM(OFFSET(AA38,0,-1,1,-MIN(AA$5,$E39)))/MAX(1,$E39))</f>
        <v>#VALUE!</v>
      </c>
      <c r="AB39" s="55" t="e">
        <f aca="true">-MIN(AB37,SUM(OFFSET(AB38,0,-1,1,-MIN(AB$5,$E39)))/MAX(1,$E39))</f>
        <v>#VALUE!</v>
      </c>
      <c r="AC39" s="55" t="e">
        <f aca="true">-MIN(AC37,SUM(OFFSET(AC38,0,-1,1,-MIN(AC$5,$E39)))/MAX(1,$E39))</f>
        <v>#VALUE!</v>
      </c>
      <c r="AD39" s="55" t="e">
        <f aca="true">-MIN(AD37,SUM(OFFSET(AD38,0,-1,1,-MIN(AD$5,$E39)))/MAX(1,$E39))</f>
        <v>#VALUE!</v>
      </c>
      <c r="AE39" s="55" t="e">
        <f aca="true">-MIN(AE37,SUM(OFFSET(AE38,0,-1,1,-MIN(AE$5,$E39)))/MAX(1,$E39))</f>
        <v>#VALUE!</v>
      </c>
      <c r="AF39" s="55" t="e">
        <f aca="true">-MIN(AF37,SUM(OFFSET(AF38,0,-1,1,-MIN(AF$5,$E39)))/MAX(1,$E39))</f>
        <v>#VALUE!</v>
      </c>
      <c r="AG39" s="55" t="e">
        <f aca="true">-MIN(AG37,SUM(OFFSET(AG38,0,-1,1,-MIN(AG$5,$E39)))/MAX(1,$E39))</f>
        <v>#VALUE!</v>
      </c>
      <c r="AH39" s="55" t="e">
        <f aca="true">-MIN(AH37,SUM(OFFSET(AH38,0,-1,1,-MIN(AH$5,$E39)))/MAX(1,$E39))</f>
        <v>#VALUE!</v>
      </c>
      <c r="AI39" s="55" t="e">
        <f aca="true">-MIN(AI37,SUM(OFFSET(AI38,0,-1,1,-MIN(AI$5,$E39)))/MAX(1,$E39))</f>
        <v>#VALUE!</v>
      </c>
      <c r="AJ39" s="55" t="e">
        <f aca="true">-MIN(AJ37,SUM(OFFSET(AJ38,0,-1,1,-MIN(AJ$5,$E39)))/MAX(1,$E39))</f>
        <v>#VALUE!</v>
      </c>
      <c r="AK39" s="55" t="e">
        <f aca="true">-MIN(AK37,SUM(OFFSET(AK38,0,-1,1,-MIN(AK$5,$E39)))/MAX(1,$E39))</f>
        <v>#VALUE!</v>
      </c>
      <c r="AL39" s="55" t="e">
        <f aca="true">-MIN(AL37,SUM(OFFSET(AL38,0,-1,1,-MIN(AL$5,$E39)))/MAX(1,$E39))</f>
        <v>#VALUE!</v>
      </c>
    </row>
    <row r="40" customFormat="false" ht="15" hidden="false" customHeight="false" outlineLevel="1" collapsed="false">
      <c r="B40" s="13"/>
      <c r="C40" s="458" t="s">
        <v>776</v>
      </c>
      <c r="D40" s="459"/>
      <c r="E40" s="228"/>
      <c r="F40" s="227"/>
      <c r="G40" s="460"/>
      <c r="H40" s="461" t="e">
        <f aca="false">SUM(H37:H39)</f>
        <v>#VALUE!</v>
      </c>
      <c r="I40" s="461" t="e">
        <f aca="false">SUM(I37:I39)</f>
        <v>#VALUE!</v>
      </c>
      <c r="J40" s="461" t="e">
        <f aca="false">SUM(J37:J39)</f>
        <v>#VALUE!</v>
      </c>
      <c r="K40" s="461" t="e">
        <f aca="false">SUM(K37:K39)</f>
        <v>#VALUE!</v>
      </c>
      <c r="L40" s="461" t="e">
        <f aca="false">SUM(L37:L39)</f>
        <v>#VALUE!</v>
      </c>
      <c r="M40" s="461" t="e">
        <f aca="false">SUM(M37:M39)</f>
        <v>#VALUE!</v>
      </c>
      <c r="N40" s="461" t="e">
        <f aca="false">SUM(N37:N39)</f>
        <v>#VALUE!</v>
      </c>
      <c r="O40" s="461" t="e">
        <f aca="false">SUM(O37:O39)</f>
        <v>#VALUE!</v>
      </c>
      <c r="P40" s="461" t="e">
        <f aca="false">SUM(P37:P39)</f>
        <v>#VALUE!</v>
      </c>
      <c r="Q40" s="461" t="e">
        <f aca="false">SUM(Q37:Q39)</f>
        <v>#VALUE!</v>
      </c>
      <c r="R40" s="461" t="e">
        <f aca="false">SUM(R37:R39)</f>
        <v>#VALUE!</v>
      </c>
      <c r="S40" s="461" t="e">
        <f aca="false">SUM(S37:S39)</f>
        <v>#VALUE!</v>
      </c>
      <c r="T40" s="461" t="e">
        <f aca="false">SUM(T37:T39)</f>
        <v>#VALUE!</v>
      </c>
      <c r="U40" s="461" t="e">
        <f aca="false">SUM(U37:U39)</f>
        <v>#VALUE!</v>
      </c>
      <c r="V40" s="461" t="e">
        <f aca="false">SUM(V37:V39)</f>
        <v>#VALUE!</v>
      </c>
      <c r="W40" s="461" t="e">
        <f aca="false">SUM(W37:W39)</f>
        <v>#VALUE!</v>
      </c>
      <c r="X40" s="461" t="e">
        <f aca="false">SUM(X37:X39)</f>
        <v>#VALUE!</v>
      </c>
      <c r="Y40" s="461" t="e">
        <f aca="false">SUM(Y37:Y39)</f>
        <v>#VALUE!</v>
      </c>
      <c r="Z40" s="461" t="e">
        <f aca="false">SUM(Z37:Z39)</f>
        <v>#VALUE!</v>
      </c>
      <c r="AA40" s="461" t="e">
        <f aca="false">SUM(AA37:AA39)</f>
        <v>#VALUE!</v>
      </c>
      <c r="AB40" s="461" t="e">
        <f aca="false">SUM(AB37:AB39)</f>
        <v>#VALUE!</v>
      </c>
      <c r="AC40" s="461" t="e">
        <f aca="false">SUM(AC37:AC39)</f>
        <v>#VALUE!</v>
      </c>
      <c r="AD40" s="461" t="e">
        <f aca="false">SUM(AD37:AD39)</f>
        <v>#VALUE!</v>
      </c>
      <c r="AE40" s="461" t="e">
        <f aca="false">SUM(AE37:AE39)</f>
        <v>#VALUE!</v>
      </c>
      <c r="AF40" s="461" t="e">
        <f aca="false">SUM(AF37:AF39)</f>
        <v>#VALUE!</v>
      </c>
      <c r="AG40" s="461" t="e">
        <f aca="false">SUM(AG37:AG39)</f>
        <v>#VALUE!</v>
      </c>
      <c r="AH40" s="461" t="e">
        <f aca="false">SUM(AH37:AH39)</f>
        <v>#VALUE!</v>
      </c>
      <c r="AI40" s="461" t="e">
        <f aca="false">SUM(AI37:AI39)</f>
        <v>#VALUE!</v>
      </c>
      <c r="AJ40" s="461" t="e">
        <f aca="false">SUM(AJ37:AJ39)</f>
        <v>#VALUE!</v>
      </c>
      <c r="AK40" s="461" t="e">
        <f aca="false">SUM(AK37:AK39)</f>
        <v>#VALUE!</v>
      </c>
      <c r="AL40" s="461" t="e">
        <f aca="false">SUM(AL37:AL39)</f>
        <v>#VALUE!</v>
      </c>
    </row>
    <row r="41" customFormat="false" ht="15" hidden="false" customHeight="false" outlineLevel="1" collapsed="false">
      <c r="B41" s="13"/>
      <c r="C41" s="19"/>
      <c r="D41" s="370"/>
      <c r="E41" s="30"/>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row>
    <row r="42" customFormat="false" ht="15" hidden="false" customHeight="false" outlineLevel="1" collapsed="false">
      <c r="B42" s="13" t="n">
        <f aca="false">B36+1</f>
        <v>4</v>
      </c>
      <c r="C42" s="456" t="str">
        <f aca="false">C11</f>
        <v>Nursery - Irrigation</v>
      </c>
      <c r="D42" s="456"/>
    </row>
    <row r="43" customFormat="false" ht="15" hidden="false" customHeight="false" outlineLevel="1" collapsed="false">
      <c r="C43" s="19" t="s">
        <v>773</v>
      </c>
      <c r="D43" s="370"/>
      <c r="H43" s="55" t="n">
        <f aca="false">0</f>
        <v>0</v>
      </c>
      <c r="I43" s="55" t="e">
        <f aca="false">H46</f>
        <v>#VALUE!</v>
      </c>
      <c r="J43" s="55" t="e">
        <f aca="false">I46</f>
        <v>#VALUE!</v>
      </c>
      <c r="K43" s="55" t="e">
        <f aca="false">J46</f>
        <v>#VALUE!</v>
      </c>
      <c r="L43" s="55" t="e">
        <f aca="false">K46</f>
        <v>#VALUE!</v>
      </c>
      <c r="M43" s="55" t="e">
        <f aca="false">L46</f>
        <v>#VALUE!</v>
      </c>
      <c r="N43" s="55" t="e">
        <f aca="false">M46</f>
        <v>#VALUE!</v>
      </c>
      <c r="O43" s="55" t="e">
        <f aca="false">N46</f>
        <v>#VALUE!</v>
      </c>
      <c r="P43" s="55" t="e">
        <f aca="false">O46</f>
        <v>#VALUE!</v>
      </c>
      <c r="Q43" s="55" t="e">
        <f aca="false">P46</f>
        <v>#VALUE!</v>
      </c>
      <c r="R43" s="55" t="e">
        <f aca="false">Q46</f>
        <v>#VALUE!</v>
      </c>
      <c r="S43" s="55" t="e">
        <f aca="false">R46</f>
        <v>#VALUE!</v>
      </c>
      <c r="T43" s="55" t="e">
        <f aca="false">S46</f>
        <v>#VALUE!</v>
      </c>
      <c r="U43" s="55" t="e">
        <f aca="false">T46</f>
        <v>#VALUE!</v>
      </c>
      <c r="V43" s="55" t="e">
        <f aca="false">U46</f>
        <v>#VALUE!</v>
      </c>
      <c r="W43" s="55" t="e">
        <f aca="false">V46</f>
        <v>#VALUE!</v>
      </c>
      <c r="X43" s="55" t="e">
        <f aca="false">W46</f>
        <v>#VALUE!</v>
      </c>
      <c r="Y43" s="55" t="e">
        <f aca="false">X46</f>
        <v>#VALUE!</v>
      </c>
      <c r="Z43" s="55" t="e">
        <f aca="false">Y46</f>
        <v>#VALUE!</v>
      </c>
      <c r="AA43" s="55" t="e">
        <f aca="false">Z46</f>
        <v>#VALUE!</v>
      </c>
      <c r="AB43" s="55" t="e">
        <f aca="false">AA46</f>
        <v>#VALUE!</v>
      </c>
      <c r="AC43" s="55" t="e">
        <f aca="false">AB46</f>
        <v>#VALUE!</v>
      </c>
      <c r="AD43" s="55" t="e">
        <f aca="false">AC46</f>
        <v>#VALUE!</v>
      </c>
      <c r="AE43" s="55" t="e">
        <f aca="false">AD46</f>
        <v>#VALUE!</v>
      </c>
      <c r="AF43" s="55" t="e">
        <f aca="false">AE46</f>
        <v>#VALUE!</v>
      </c>
      <c r="AG43" s="55" t="e">
        <f aca="false">AF46</f>
        <v>#VALUE!</v>
      </c>
      <c r="AH43" s="55" t="e">
        <f aca="false">AG46</f>
        <v>#VALUE!</v>
      </c>
      <c r="AI43" s="55" t="e">
        <f aca="false">AH46</f>
        <v>#VALUE!</v>
      </c>
      <c r="AJ43" s="55" t="e">
        <f aca="false">AI46</f>
        <v>#VALUE!</v>
      </c>
      <c r="AK43" s="55" t="e">
        <f aca="false">AJ46</f>
        <v>#VALUE!</v>
      </c>
      <c r="AL43" s="55" t="e">
        <f aca="false">AK46</f>
        <v>#VALUE!</v>
      </c>
    </row>
    <row r="44" customFormat="false" ht="15" hidden="false" customHeight="false" outlineLevel="1" collapsed="false">
      <c r="C44" s="19" t="s">
        <v>774</v>
      </c>
      <c r="D44" s="370"/>
      <c r="H44" s="55" t="n">
        <f aca="false">H11</f>
        <v>140345.625</v>
      </c>
      <c r="I44" s="55" t="n">
        <f aca="false">I11</f>
        <v>143152.5375</v>
      </c>
      <c r="J44" s="55" t="n">
        <f aca="false">J11</f>
        <v>0</v>
      </c>
      <c r="K44" s="55" t="n">
        <f aca="false">K11</f>
        <v>0</v>
      </c>
      <c r="L44" s="55" t="n">
        <f aca="false">L11</f>
        <v>0</v>
      </c>
      <c r="M44" s="55" t="n">
        <f aca="false">M11</f>
        <v>0</v>
      </c>
      <c r="N44" s="55" t="n">
        <f aca="false">N11</f>
        <v>0</v>
      </c>
      <c r="O44" s="55" t="n">
        <f aca="false">O11</f>
        <v>0</v>
      </c>
      <c r="P44" s="55" t="n">
        <f aca="false">P11</f>
        <v>0</v>
      </c>
      <c r="Q44" s="55" t="n">
        <f aca="false">Q11</f>
        <v>0</v>
      </c>
      <c r="R44" s="55" t="n">
        <f aca="false">R11</f>
        <v>0</v>
      </c>
      <c r="S44" s="55" t="n">
        <f aca="false">S11</f>
        <v>0</v>
      </c>
      <c r="T44" s="55" t="n">
        <f aca="false">T11</f>
        <v>0</v>
      </c>
      <c r="U44" s="55" t="n">
        <f aca="false">U11</f>
        <v>0</v>
      </c>
      <c r="V44" s="55" t="n">
        <f aca="false">V11</f>
        <v>0</v>
      </c>
      <c r="W44" s="55" t="n">
        <f aca="false">W11</f>
        <v>0</v>
      </c>
      <c r="X44" s="55" t="n">
        <f aca="false">X11</f>
        <v>0</v>
      </c>
      <c r="Y44" s="55" t="n">
        <f aca="false">Y11</f>
        <v>0</v>
      </c>
      <c r="Z44" s="55" t="n">
        <f aca="false">Z11</f>
        <v>0</v>
      </c>
      <c r="AA44" s="55" t="n">
        <f aca="false">AA11</f>
        <v>0</v>
      </c>
      <c r="AB44" s="55" t="n">
        <f aca="false">AB11</f>
        <v>0</v>
      </c>
      <c r="AC44" s="55" t="n">
        <f aca="false">AC11</f>
        <v>0</v>
      </c>
      <c r="AD44" s="55" t="n">
        <f aca="false">AD11</f>
        <v>0</v>
      </c>
      <c r="AE44" s="55" t="n">
        <f aca="false">AE11</f>
        <v>0</v>
      </c>
      <c r="AF44" s="55" t="n">
        <f aca="false">AF11</f>
        <v>0</v>
      </c>
      <c r="AG44" s="55" t="n">
        <f aca="false">AG11</f>
        <v>0</v>
      </c>
      <c r="AH44" s="55" t="n">
        <f aca="false">AH11</f>
        <v>0</v>
      </c>
      <c r="AI44" s="55" t="n">
        <f aca="false">AI11</f>
        <v>0</v>
      </c>
      <c r="AJ44" s="55" t="n">
        <f aca="false">AJ11</f>
        <v>0</v>
      </c>
      <c r="AK44" s="55" t="n">
        <f aca="false">AK11</f>
        <v>0</v>
      </c>
      <c r="AL44" s="55" t="n">
        <f aca="false">AL11</f>
        <v>0</v>
      </c>
    </row>
    <row r="45" customFormat="false" ht="15" hidden="false" customHeight="false" outlineLevel="1" collapsed="false">
      <c r="C45" s="19" t="s">
        <v>775</v>
      </c>
      <c r="D45" s="370"/>
      <c r="E45" s="188" t="n">
        <f aca="false">E11</f>
        <v>10</v>
      </c>
      <c r="F45" s="56"/>
      <c r="G45" s="393"/>
      <c r="H45" s="59" t="e">
        <f aca="true">-MIN(SUM(H43:H44),SUM(OFFSET(H44,0,0,1,-MIN(H$5,$E45)))/MAX(1,$E45))</f>
        <v>#VALUE!</v>
      </c>
      <c r="I45" s="55" t="e">
        <f aca="true">-MIN(I43,SUM(OFFSET(I44,0,-1,1,-MIN(I$5,$E45)))/MAX(1,$E45))</f>
        <v>#VALUE!</v>
      </c>
      <c r="J45" s="55" t="e">
        <f aca="true">-MIN(J43,SUM(OFFSET(J44,0,-1,1,-MIN(J$5,$E45)))/MAX(1,$E45))</f>
        <v>#VALUE!</v>
      </c>
      <c r="K45" s="55" t="e">
        <f aca="true">-MIN(K43,SUM(OFFSET(K44,0,-1,1,-MIN(K$5,$E45)))/MAX(1,$E45))</f>
        <v>#VALUE!</v>
      </c>
      <c r="L45" s="55" t="e">
        <f aca="true">-MIN(L43,SUM(OFFSET(L44,0,-1,1,-MIN(L$5,$E45)))/MAX(1,$E45))</f>
        <v>#VALUE!</v>
      </c>
      <c r="M45" s="55" t="e">
        <f aca="true">-MIN(M43,SUM(OFFSET(M44,0,-1,1,-MIN(M$5,$E45)))/MAX(1,$E45))</f>
        <v>#VALUE!</v>
      </c>
      <c r="N45" s="55" t="e">
        <f aca="true">-MIN(N43,SUM(OFFSET(N44,0,-1,1,-MIN(N$5,$E45)))/MAX(1,$E45))</f>
        <v>#VALUE!</v>
      </c>
      <c r="O45" s="55" t="e">
        <f aca="true">-MIN(O43,SUM(OFFSET(O44,0,-1,1,-MIN(O$5,$E45)))/MAX(1,$E45))</f>
        <v>#VALUE!</v>
      </c>
      <c r="P45" s="55" t="e">
        <f aca="true">-MIN(P43,SUM(OFFSET(P44,0,-1,1,-MIN(P$5,$E45)))/MAX(1,$E45))</f>
        <v>#VALUE!</v>
      </c>
      <c r="Q45" s="55" t="e">
        <f aca="true">-MIN(Q43,SUM(OFFSET(Q44,0,-1,1,-MIN(Q$5,$E45)))/MAX(1,$E45))</f>
        <v>#VALUE!</v>
      </c>
      <c r="R45" s="55" t="e">
        <f aca="true">-MIN(R43,SUM(OFFSET(R44,0,-1,1,-MIN(R$5,$E45)))/MAX(1,$E45))</f>
        <v>#VALUE!</v>
      </c>
      <c r="S45" s="55" t="e">
        <f aca="true">-MIN(S43,SUM(OFFSET(S44,0,-1,1,-MIN(S$5,$E45)))/MAX(1,$E45))</f>
        <v>#VALUE!</v>
      </c>
      <c r="T45" s="55" t="e">
        <f aca="true">-MIN(T43,SUM(OFFSET(T44,0,-1,1,-MIN(T$5,$E45)))/MAX(1,$E45))</f>
        <v>#VALUE!</v>
      </c>
      <c r="U45" s="55" t="e">
        <f aca="true">-MIN(U43,SUM(OFFSET(U44,0,-1,1,-MIN(U$5,$E45)))/MAX(1,$E45))</f>
        <v>#VALUE!</v>
      </c>
      <c r="V45" s="55" t="e">
        <f aca="true">-MIN(V43,SUM(OFFSET(V44,0,-1,1,-MIN(V$5,$E45)))/MAX(1,$E45))</f>
        <v>#VALUE!</v>
      </c>
      <c r="W45" s="55" t="e">
        <f aca="true">-MIN(W43,SUM(OFFSET(W44,0,-1,1,-MIN(W$5,$E45)))/MAX(1,$E45))</f>
        <v>#VALUE!</v>
      </c>
      <c r="X45" s="55" t="e">
        <f aca="true">-MIN(X43,SUM(OFFSET(X44,0,-1,1,-MIN(X$5,$E45)))/MAX(1,$E45))</f>
        <v>#VALUE!</v>
      </c>
      <c r="Y45" s="55" t="e">
        <f aca="true">-MIN(Y43,SUM(OFFSET(Y44,0,-1,1,-MIN(Y$5,$E45)))/MAX(1,$E45))</f>
        <v>#VALUE!</v>
      </c>
      <c r="Z45" s="55" t="e">
        <f aca="true">-MIN(Z43,SUM(OFFSET(Z44,0,-1,1,-MIN(Z$5,$E45)))/MAX(1,$E45))</f>
        <v>#VALUE!</v>
      </c>
      <c r="AA45" s="55" t="e">
        <f aca="true">-MIN(AA43,SUM(OFFSET(AA44,0,-1,1,-MIN(AA$5,$E45)))/MAX(1,$E45))</f>
        <v>#VALUE!</v>
      </c>
      <c r="AB45" s="55" t="e">
        <f aca="true">-MIN(AB43,SUM(OFFSET(AB44,0,-1,1,-MIN(AB$5,$E45)))/MAX(1,$E45))</f>
        <v>#VALUE!</v>
      </c>
      <c r="AC45" s="55" t="e">
        <f aca="true">-MIN(AC43,SUM(OFFSET(AC44,0,-1,1,-MIN(AC$5,$E45)))/MAX(1,$E45))</f>
        <v>#VALUE!</v>
      </c>
      <c r="AD45" s="55" t="e">
        <f aca="true">-MIN(AD43,SUM(OFFSET(AD44,0,-1,1,-MIN(AD$5,$E45)))/MAX(1,$E45))</f>
        <v>#VALUE!</v>
      </c>
      <c r="AE45" s="55" t="e">
        <f aca="true">-MIN(AE43,SUM(OFFSET(AE44,0,-1,1,-MIN(AE$5,$E45)))/MAX(1,$E45))</f>
        <v>#VALUE!</v>
      </c>
      <c r="AF45" s="55" t="e">
        <f aca="true">-MIN(AF43,SUM(OFFSET(AF44,0,-1,1,-MIN(AF$5,$E45)))/MAX(1,$E45))</f>
        <v>#VALUE!</v>
      </c>
      <c r="AG45" s="55" t="e">
        <f aca="true">-MIN(AG43,SUM(OFFSET(AG44,0,-1,1,-MIN(AG$5,$E45)))/MAX(1,$E45))</f>
        <v>#VALUE!</v>
      </c>
      <c r="AH45" s="55" t="e">
        <f aca="true">-MIN(AH43,SUM(OFFSET(AH44,0,-1,1,-MIN(AH$5,$E45)))/MAX(1,$E45))</f>
        <v>#VALUE!</v>
      </c>
      <c r="AI45" s="55" t="e">
        <f aca="true">-MIN(AI43,SUM(OFFSET(AI44,0,-1,1,-MIN(AI$5,$E45)))/MAX(1,$E45))</f>
        <v>#VALUE!</v>
      </c>
      <c r="AJ45" s="55" t="e">
        <f aca="true">-MIN(AJ43,SUM(OFFSET(AJ44,0,-1,1,-MIN(AJ$5,$E45)))/MAX(1,$E45))</f>
        <v>#VALUE!</v>
      </c>
      <c r="AK45" s="55" t="e">
        <f aca="true">-MIN(AK43,SUM(OFFSET(AK44,0,-1,1,-MIN(AK$5,$E45)))/MAX(1,$E45))</f>
        <v>#VALUE!</v>
      </c>
      <c r="AL45" s="55" t="e">
        <f aca="true">-MIN(AL43,SUM(OFFSET(AL44,0,-1,1,-MIN(AL$5,$E45)))/MAX(1,$E45))</f>
        <v>#VALUE!</v>
      </c>
    </row>
    <row r="46" customFormat="false" ht="15" hidden="false" customHeight="false" outlineLevel="1" collapsed="false">
      <c r="C46" s="458" t="s">
        <v>776</v>
      </c>
      <c r="D46" s="459"/>
      <c r="H46" s="55" t="e">
        <f aca="false">SUM(H43:H45)</f>
        <v>#VALUE!</v>
      </c>
      <c r="I46" s="461" t="e">
        <f aca="false">SUM(I43:I45)</f>
        <v>#VALUE!</v>
      </c>
      <c r="J46" s="461" t="e">
        <f aca="false">SUM(J43:J45)</f>
        <v>#VALUE!</v>
      </c>
      <c r="K46" s="461" t="e">
        <f aca="false">SUM(K43:K45)</f>
        <v>#VALUE!</v>
      </c>
      <c r="L46" s="461" t="e">
        <f aca="false">SUM(L43:L45)</f>
        <v>#VALUE!</v>
      </c>
      <c r="M46" s="461" t="e">
        <f aca="false">SUM(M43:M45)</f>
        <v>#VALUE!</v>
      </c>
      <c r="N46" s="461" t="e">
        <f aca="false">SUM(N43:N45)</f>
        <v>#VALUE!</v>
      </c>
      <c r="O46" s="461" t="e">
        <f aca="false">SUM(O43:O45)</f>
        <v>#VALUE!</v>
      </c>
      <c r="P46" s="461" t="e">
        <f aca="false">SUM(P43:P45)</f>
        <v>#VALUE!</v>
      </c>
      <c r="Q46" s="461" t="e">
        <f aca="false">SUM(Q43:Q45)</f>
        <v>#VALUE!</v>
      </c>
      <c r="R46" s="461" t="e">
        <f aca="false">SUM(R43:R45)</f>
        <v>#VALUE!</v>
      </c>
      <c r="S46" s="461" t="e">
        <f aca="false">SUM(S43:S45)</f>
        <v>#VALUE!</v>
      </c>
      <c r="T46" s="461" t="e">
        <f aca="false">SUM(T43:T45)</f>
        <v>#VALUE!</v>
      </c>
      <c r="U46" s="461" t="e">
        <f aca="false">SUM(U43:U45)</f>
        <v>#VALUE!</v>
      </c>
      <c r="V46" s="461" t="e">
        <f aca="false">SUM(V43:V45)</f>
        <v>#VALUE!</v>
      </c>
      <c r="W46" s="461" t="e">
        <f aca="false">SUM(W43:W45)</f>
        <v>#VALUE!</v>
      </c>
      <c r="X46" s="461" t="e">
        <f aca="false">SUM(X43:X45)</f>
        <v>#VALUE!</v>
      </c>
      <c r="Y46" s="461" t="e">
        <f aca="false">SUM(Y43:Y45)</f>
        <v>#VALUE!</v>
      </c>
      <c r="Z46" s="461" t="e">
        <f aca="false">SUM(Z43:Z45)</f>
        <v>#VALUE!</v>
      </c>
      <c r="AA46" s="461" t="e">
        <f aca="false">SUM(AA43:AA45)</f>
        <v>#VALUE!</v>
      </c>
      <c r="AB46" s="461" t="e">
        <f aca="false">SUM(AB43:AB45)</f>
        <v>#VALUE!</v>
      </c>
      <c r="AC46" s="461" t="e">
        <f aca="false">SUM(AC43:AC45)</f>
        <v>#VALUE!</v>
      </c>
      <c r="AD46" s="461" t="e">
        <f aca="false">SUM(AD43:AD45)</f>
        <v>#VALUE!</v>
      </c>
      <c r="AE46" s="461" t="e">
        <f aca="false">SUM(AE43:AE45)</f>
        <v>#VALUE!</v>
      </c>
      <c r="AF46" s="461" t="e">
        <f aca="false">SUM(AF43:AF45)</f>
        <v>#VALUE!</v>
      </c>
      <c r="AG46" s="461" t="e">
        <f aca="false">SUM(AG43:AG45)</f>
        <v>#VALUE!</v>
      </c>
      <c r="AH46" s="461" t="e">
        <f aca="false">SUM(AH43:AH45)</f>
        <v>#VALUE!</v>
      </c>
      <c r="AI46" s="461" t="e">
        <f aca="false">SUM(AI43:AI45)</f>
        <v>#VALUE!</v>
      </c>
      <c r="AJ46" s="461" t="e">
        <f aca="false">SUM(AJ43:AJ45)</f>
        <v>#VALUE!</v>
      </c>
      <c r="AK46" s="461" t="e">
        <f aca="false">SUM(AK43:AK45)</f>
        <v>#VALUE!</v>
      </c>
      <c r="AL46" s="461" t="e">
        <f aca="false">SUM(AL43:AL45)</f>
        <v>#VALUE!</v>
      </c>
    </row>
    <row r="47" customFormat="false" ht="15" hidden="false" customHeight="false" outlineLevel="1" collapsed="false">
      <c r="B47" s="13"/>
      <c r="C47" s="13"/>
      <c r="D47" s="30"/>
      <c r="E47" s="30"/>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row>
    <row r="48" customFormat="false" ht="15" hidden="false" customHeight="false" outlineLevel="1" collapsed="false">
      <c r="B48" s="13" t="n">
        <f aca="false">B42+1</f>
        <v>5</v>
      </c>
      <c r="C48" s="456" t="str">
        <f aca="false">C12</f>
        <v>Nursery trays</v>
      </c>
      <c r="D48" s="456"/>
    </row>
    <row r="49" customFormat="false" ht="15" hidden="false" customHeight="false" outlineLevel="1" collapsed="false">
      <c r="C49" s="19" t="s">
        <v>773</v>
      </c>
      <c r="D49" s="370"/>
      <c r="H49" s="55" t="n">
        <f aca="false">0</f>
        <v>0</v>
      </c>
      <c r="I49" s="55" t="e">
        <f aca="false">H52</f>
        <v>#VALUE!</v>
      </c>
      <c r="J49" s="55" t="e">
        <f aca="false">I52</f>
        <v>#VALUE!</v>
      </c>
      <c r="K49" s="55" t="e">
        <f aca="false">J52</f>
        <v>#VALUE!</v>
      </c>
      <c r="L49" s="55" t="e">
        <f aca="false">K52</f>
        <v>#VALUE!</v>
      </c>
      <c r="M49" s="55" t="e">
        <f aca="false">L52</f>
        <v>#VALUE!</v>
      </c>
      <c r="N49" s="55" t="e">
        <f aca="false">M52</f>
        <v>#VALUE!</v>
      </c>
      <c r="O49" s="55" t="e">
        <f aca="false">N52</f>
        <v>#VALUE!</v>
      </c>
      <c r="P49" s="55" t="e">
        <f aca="false">O52</f>
        <v>#VALUE!</v>
      </c>
      <c r="Q49" s="55" t="e">
        <f aca="false">P52</f>
        <v>#VALUE!</v>
      </c>
      <c r="R49" s="55" t="e">
        <f aca="false">Q52</f>
        <v>#VALUE!</v>
      </c>
      <c r="S49" s="55" t="e">
        <f aca="false">R52</f>
        <v>#VALUE!</v>
      </c>
      <c r="T49" s="55" t="e">
        <f aca="false">S52</f>
        <v>#VALUE!</v>
      </c>
      <c r="U49" s="55" t="e">
        <f aca="false">T52</f>
        <v>#VALUE!</v>
      </c>
      <c r="V49" s="55" t="e">
        <f aca="false">U52</f>
        <v>#VALUE!</v>
      </c>
      <c r="W49" s="55" t="e">
        <f aca="false">V52</f>
        <v>#VALUE!</v>
      </c>
      <c r="X49" s="55" t="e">
        <f aca="false">W52</f>
        <v>#VALUE!</v>
      </c>
      <c r="Y49" s="55" t="e">
        <f aca="false">X52</f>
        <v>#VALUE!</v>
      </c>
      <c r="Z49" s="55" t="e">
        <f aca="false">Y52</f>
        <v>#VALUE!</v>
      </c>
      <c r="AA49" s="55" t="e">
        <f aca="false">Z52</f>
        <v>#VALUE!</v>
      </c>
      <c r="AB49" s="55" t="e">
        <f aca="false">AA52</f>
        <v>#VALUE!</v>
      </c>
      <c r="AC49" s="55" t="e">
        <f aca="false">AB52</f>
        <v>#VALUE!</v>
      </c>
      <c r="AD49" s="55" t="e">
        <f aca="false">AC52</f>
        <v>#VALUE!</v>
      </c>
      <c r="AE49" s="55" t="e">
        <f aca="false">AD52</f>
        <v>#VALUE!</v>
      </c>
      <c r="AF49" s="55" t="e">
        <f aca="false">AE52</f>
        <v>#VALUE!</v>
      </c>
      <c r="AG49" s="55" t="e">
        <f aca="false">AF52</f>
        <v>#VALUE!</v>
      </c>
      <c r="AH49" s="55" t="e">
        <f aca="false">AG52</f>
        <v>#VALUE!</v>
      </c>
      <c r="AI49" s="55" t="e">
        <f aca="false">AH52</f>
        <v>#VALUE!</v>
      </c>
      <c r="AJ49" s="55" t="e">
        <f aca="false">AI52</f>
        <v>#VALUE!</v>
      </c>
      <c r="AK49" s="55" t="e">
        <f aca="false">AJ52</f>
        <v>#VALUE!</v>
      </c>
      <c r="AL49" s="55" t="e">
        <f aca="false">AK52</f>
        <v>#VALUE!</v>
      </c>
    </row>
    <row r="50" customFormat="false" ht="15" hidden="false" customHeight="false" outlineLevel="1" collapsed="false">
      <c r="C50" s="19" t="s">
        <v>774</v>
      </c>
      <c r="D50" s="370"/>
      <c r="H50" s="55" t="n">
        <f aca="false">H12</f>
        <v>102000</v>
      </c>
      <c r="I50" s="55" t="n">
        <f aca="false">I12</f>
        <v>104040</v>
      </c>
      <c r="J50" s="55" t="n">
        <f aca="false">J12</f>
        <v>0</v>
      </c>
      <c r="K50" s="55" t="n">
        <f aca="false">K12</f>
        <v>0</v>
      </c>
      <c r="L50" s="55" t="n">
        <f aca="false">L12</f>
        <v>0</v>
      </c>
      <c r="M50" s="55" t="n">
        <f aca="false">M12</f>
        <v>0</v>
      </c>
      <c r="N50" s="55" t="n">
        <f aca="false">N12</f>
        <v>0</v>
      </c>
      <c r="O50" s="55" t="n">
        <f aca="false">O12</f>
        <v>0</v>
      </c>
      <c r="P50" s="55" t="n">
        <f aca="false">P12</f>
        <v>0</v>
      </c>
      <c r="Q50" s="55" t="n">
        <f aca="false">Q12</f>
        <v>0</v>
      </c>
      <c r="R50" s="55" t="n">
        <f aca="false">R12</f>
        <v>0</v>
      </c>
      <c r="S50" s="55" t="n">
        <f aca="false">S12</f>
        <v>0</v>
      </c>
      <c r="T50" s="55" t="n">
        <f aca="false">T12</f>
        <v>0</v>
      </c>
      <c r="U50" s="55" t="n">
        <f aca="false">U12</f>
        <v>0</v>
      </c>
      <c r="V50" s="55" t="n">
        <f aca="false">V12</f>
        <v>0</v>
      </c>
      <c r="W50" s="55" t="n">
        <f aca="false">W12</f>
        <v>0</v>
      </c>
      <c r="X50" s="55" t="n">
        <f aca="false">X12</f>
        <v>0</v>
      </c>
      <c r="Y50" s="55" t="n">
        <f aca="false">Y12</f>
        <v>0</v>
      </c>
      <c r="Z50" s="55" t="n">
        <f aca="false">Z12</f>
        <v>0</v>
      </c>
      <c r="AA50" s="55" t="n">
        <f aca="false">AA12</f>
        <v>0</v>
      </c>
      <c r="AB50" s="55" t="n">
        <f aca="false">AB12</f>
        <v>0</v>
      </c>
      <c r="AC50" s="55" t="n">
        <f aca="false">AC12</f>
        <v>0</v>
      </c>
      <c r="AD50" s="55" t="n">
        <f aca="false">AD12</f>
        <v>0</v>
      </c>
      <c r="AE50" s="55" t="n">
        <f aca="false">AE12</f>
        <v>0</v>
      </c>
      <c r="AF50" s="55" t="n">
        <f aca="false">AF12</f>
        <v>0</v>
      </c>
      <c r="AG50" s="55" t="n">
        <f aca="false">AG12</f>
        <v>0</v>
      </c>
      <c r="AH50" s="55" t="n">
        <f aca="false">AH12</f>
        <v>0</v>
      </c>
      <c r="AI50" s="55" t="n">
        <f aca="false">AI12</f>
        <v>0</v>
      </c>
      <c r="AJ50" s="55" t="n">
        <f aca="false">AJ12</f>
        <v>0</v>
      </c>
      <c r="AK50" s="55" t="n">
        <f aca="false">AK12</f>
        <v>0</v>
      </c>
      <c r="AL50" s="55" t="n">
        <f aca="false">AL12</f>
        <v>0</v>
      </c>
    </row>
    <row r="51" customFormat="false" ht="15" hidden="false" customHeight="false" outlineLevel="1" collapsed="false">
      <c r="C51" s="19" t="s">
        <v>775</v>
      </c>
      <c r="D51" s="370"/>
      <c r="E51" s="188" t="n">
        <f aca="false">E12</f>
        <v>1</v>
      </c>
      <c r="F51" s="56"/>
      <c r="G51" s="393"/>
      <c r="H51" s="59" t="e">
        <f aca="true">-MIN(SUM(H49:H50),SUM(OFFSET(H50,0,0,1,-MIN(H$5,$E51)))/MAX(1,$E51))</f>
        <v>#VALUE!</v>
      </c>
      <c r="I51" s="59" t="e">
        <f aca="true">-MIN(SUM(I49:I50),SUM(OFFSET(I50,0,0,1,-MIN(I$5,$E51)))/MAX(1,$E51))</f>
        <v>#VALUE!</v>
      </c>
      <c r="J51" s="59" t="e">
        <f aca="true">-MIN(SUM(J49:J50),SUM(OFFSET(J50,0,0,1,-MIN(J$5,$E51)))/MAX(1,$E51))</f>
        <v>#VALUE!</v>
      </c>
      <c r="K51" s="59" t="e">
        <f aca="true">-MIN(SUM(K49:K50),SUM(OFFSET(K50,0,0,1,-MIN(K$5,$E51)))/MAX(1,$E51))</f>
        <v>#VALUE!</v>
      </c>
      <c r="L51" s="59" t="e">
        <f aca="true">-MIN(SUM(L49:L50),SUM(OFFSET(L50,0,0,1,-MIN(L$5,$E51)))/MAX(1,$E51))</f>
        <v>#VALUE!</v>
      </c>
      <c r="M51" s="59" t="e">
        <f aca="true">-MIN(SUM(M49:M50),SUM(OFFSET(M50,0,0,1,-MIN(M$5,$E51)))/MAX(1,$E51))</f>
        <v>#VALUE!</v>
      </c>
      <c r="N51" s="59" t="e">
        <f aca="true">-MIN(SUM(N49:N50),SUM(OFFSET(N50,0,0,1,-MIN(N$5,$E51)))/MAX(1,$E51))</f>
        <v>#VALUE!</v>
      </c>
      <c r="O51" s="59" t="e">
        <f aca="true">-MIN(SUM(O49:O50),SUM(OFFSET(O50,0,0,1,-MIN(O$5,$E51)))/MAX(1,$E51))</f>
        <v>#VALUE!</v>
      </c>
      <c r="P51" s="59" t="e">
        <f aca="true">-MIN(SUM(P49:P50),SUM(OFFSET(P50,0,0,1,-MIN(P$5,$E51)))/MAX(1,$E51))</f>
        <v>#VALUE!</v>
      </c>
      <c r="Q51" s="59" t="e">
        <f aca="true">-MIN(SUM(Q49:Q50),SUM(OFFSET(Q50,0,0,1,-MIN(Q$5,$E51)))/MAX(1,$E51))</f>
        <v>#VALUE!</v>
      </c>
      <c r="R51" s="59" t="e">
        <f aca="true">-MIN(SUM(R49:R50),SUM(OFFSET(R50,0,0,1,-MIN(R$5,$E51)))/MAX(1,$E51))</f>
        <v>#VALUE!</v>
      </c>
      <c r="S51" s="59" t="e">
        <f aca="true">-MIN(SUM(S49:S50),SUM(OFFSET(S50,0,0,1,-MIN(S$5,$E51)))/MAX(1,$E51))</f>
        <v>#VALUE!</v>
      </c>
      <c r="T51" s="59" t="e">
        <f aca="true">-MIN(SUM(T49:T50),SUM(OFFSET(T50,0,0,1,-MIN(T$5,$E51)))/MAX(1,$E51))</f>
        <v>#VALUE!</v>
      </c>
      <c r="U51" s="59" t="e">
        <f aca="true">-MIN(SUM(U49:U50),SUM(OFFSET(U50,0,0,1,-MIN(U$5,$E51)))/MAX(1,$E51))</f>
        <v>#VALUE!</v>
      </c>
      <c r="V51" s="59" t="e">
        <f aca="true">-MIN(SUM(V49:V50),SUM(OFFSET(V50,0,0,1,-MIN(V$5,$E51)))/MAX(1,$E51))</f>
        <v>#VALUE!</v>
      </c>
      <c r="W51" s="59" t="e">
        <f aca="true">-MIN(SUM(W49:W50),SUM(OFFSET(W50,0,0,1,-MIN(W$5,$E51)))/MAX(1,$E51))</f>
        <v>#VALUE!</v>
      </c>
      <c r="X51" s="59" t="e">
        <f aca="true">-MIN(SUM(X49:X50),SUM(OFFSET(X50,0,0,1,-MIN(X$5,$E51)))/MAX(1,$E51))</f>
        <v>#VALUE!</v>
      </c>
      <c r="Y51" s="59" t="e">
        <f aca="true">-MIN(SUM(Y49:Y50),SUM(OFFSET(Y50,0,0,1,-MIN(Y$5,$E51)))/MAX(1,$E51))</f>
        <v>#VALUE!</v>
      </c>
      <c r="Z51" s="59" t="e">
        <f aca="true">-MIN(SUM(Z49:Z50),SUM(OFFSET(Z50,0,0,1,-MIN(Z$5,$E51)))/MAX(1,$E51))</f>
        <v>#VALUE!</v>
      </c>
      <c r="AA51" s="59" t="e">
        <f aca="true">-MIN(SUM(AA49:AA50),SUM(OFFSET(AA50,0,0,1,-MIN(AA$5,$E51)))/MAX(1,$E51))</f>
        <v>#VALUE!</v>
      </c>
      <c r="AB51" s="59" t="e">
        <f aca="true">-MIN(SUM(AB49:AB50),SUM(OFFSET(AB50,0,0,1,-MIN(AB$5,$E51)))/MAX(1,$E51))</f>
        <v>#VALUE!</v>
      </c>
      <c r="AC51" s="59" t="e">
        <f aca="true">-MIN(SUM(AC49:AC50),SUM(OFFSET(AC50,0,0,1,-MIN(AC$5,$E51)))/MAX(1,$E51))</f>
        <v>#VALUE!</v>
      </c>
      <c r="AD51" s="59" t="e">
        <f aca="true">-MIN(SUM(AD49:AD50),SUM(OFFSET(AD50,0,0,1,-MIN(AD$5,$E51)))/MAX(1,$E51))</f>
        <v>#VALUE!</v>
      </c>
      <c r="AE51" s="59" t="e">
        <f aca="true">-MIN(SUM(AE49:AE50),SUM(OFFSET(AE50,0,0,1,-MIN(AE$5,$E51)))/MAX(1,$E51))</f>
        <v>#VALUE!</v>
      </c>
      <c r="AF51" s="59" t="e">
        <f aca="true">-MIN(SUM(AF49:AF50),SUM(OFFSET(AF50,0,0,1,-MIN(AF$5,$E51)))/MAX(1,$E51))</f>
        <v>#VALUE!</v>
      </c>
      <c r="AG51" s="59" t="e">
        <f aca="true">-MIN(SUM(AG49:AG50),SUM(OFFSET(AG50,0,0,1,-MIN(AG$5,$E51)))/MAX(1,$E51))</f>
        <v>#VALUE!</v>
      </c>
      <c r="AH51" s="59" t="e">
        <f aca="true">-MIN(SUM(AH49:AH50),SUM(OFFSET(AH50,0,0,1,-MIN(AH$5,$E51)))/MAX(1,$E51))</f>
        <v>#VALUE!</v>
      </c>
      <c r="AI51" s="59" t="e">
        <f aca="true">-MIN(SUM(AI49:AI50),SUM(OFFSET(AI50,0,0,1,-MIN(AI$5,$E51)))/MAX(1,$E51))</f>
        <v>#VALUE!</v>
      </c>
      <c r="AJ51" s="59" t="e">
        <f aca="true">-MIN(SUM(AJ49:AJ50),SUM(OFFSET(AJ50,0,0,1,-MIN(AJ$5,$E51)))/MAX(1,$E51))</f>
        <v>#VALUE!</v>
      </c>
      <c r="AK51" s="59" t="e">
        <f aca="true">-MIN(SUM(AK49:AK50),SUM(OFFSET(AK50,0,0,1,-MIN(AK$5,$E51)))/MAX(1,$E51))</f>
        <v>#VALUE!</v>
      </c>
      <c r="AL51" s="59" t="e">
        <f aca="true">-MIN(SUM(AL49:AL50),SUM(OFFSET(AL50,0,0,1,-MIN(AL$5,$E51)))/MAX(1,$E51))</f>
        <v>#VALUE!</v>
      </c>
    </row>
    <row r="52" customFormat="false" ht="15" hidden="false" customHeight="false" outlineLevel="1" collapsed="false">
      <c r="C52" s="458" t="s">
        <v>776</v>
      </c>
      <c r="D52" s="459"/>
      <c r="H52" s="55" t="e">
        <f aca="false">SUM(H49:H51)</f>
        <v>#VALUE!</v>
      </c>
      <c r="I52" s="461" t="e">
        <f aca="false">SUM(I49:I51)</f>
        <v>#VALUE!</v>
      </c>
      <c r="J52" s="461" t="e">
        <f aca="false">SUM(J49:J51)</f>
        <v>#VALUE!</v>
      </c>
      <c r="K52" s="461" t="e">
        <f aca="false">SUM(K49:K51)</f>
        <v>#VALUE!</v>
      </c>
      <c r="L52" s="461" t="e">
        <f aca="false">SUM(L49:L51)</f>
        <v>#VALUE!</v>
      </c>
      <c r="M52" s="461" t="e">
        <f aca="false">SUM(M49:M51)</f>
        <v>#VALUE!</v>
      </c>
      <c r="N52" s="461" t="e">
        <f aca="false">SUM(N49:N51)</f>
        <v>#VALUE!</v>
      </c>
      <c r="O52" s="461" t="e">
        <f aca="false">SUM(O49:O51)</f>
        <v>#VALUE!</v>
      </c>
      <c r="P52" s="461" t="e">
        <f aca="false">SUM(P49:P51)</f>
        <v>#VALUE!</v>
      </c>
      <c r="Q52" s="461" t="e">
        <f aca="false">SUM(Q49:Q51)</f>
        <v>#VALUE!</v>
      </c>
      <c r="R52" s="461" t="e">
        <f aca="false">SUM(R49:R51)</f>
        <v>#VALUE!</v>
      </c>
      <c r="S52" s="461" t="e">
        <f aca="false">SUM(S49:S51)</f>
        <v>#VALUE!</v>
      </c>
      <c r="T52" s="461" t="e">
        <f aca="false">SUM(T49:T51)</f>
        <v>#VALUE!</v>
      </c>
      <c r="U52" s="461" t="e">
        <f aca="false">SUM(U49:U51)</f>
        <v>#VALUE!</v>
      </c>
      <c r="V52" s="461" t="e">
        <f aca="false">SUM(V49:V51)</f>
        <v>#VALUE!</v>
      </c>
      <c r="W52" s="461" t="e">
        <f aca="false">SUM(W49:W51)</f>
        <v>#VALUE!</v>
      </c>
      <c r="X52" s="461" t="e">
        <f aca="false">SUM(X49:X51)</f>
        <v>#VALUE!</v>
      </c>
      <c r="Y52" s="461" t="e">
        <f aca="false">SUM(Y49:Y51)</f>
        <v>#VALUE!</v>
      </c>
      <c r="Z52" s="461" t="e">
        <f aca="false">SUM(Z49:Z51)</f>
        <v>#VALUE!</v>
      </c>
      <c r="AA52" s="461" t="e">
        <f aca="false">SUM(AA49:AA51)</f>
        <v>#VALUE!</v>
      </c>
      <c r="AB52" s="461" t="e">
        <f aca="false">SUM(AB49:AB51)</f>
        <v>#VALUE!</v>
      </c>
      <c r="AC52" s="461" t="e">
        <f aca="false">SUM(AC49:AC51)</f>
        <v>#VALUE!</v>
      </c>
      <c r="AD52" s="461" t="e">
        <f aca="false">SUM(AD49:AD51)</f>
        <v>#VALUE!</v>
      </c>
      <c r="AE52" s="461" t="e">
        <f aca="false">SUM(AE49:AE51)</f>
        <v>#VALUE!</v>
      </c>
      <c r="AF52" s="461" t="e">
        <f aca="false">SUM(AF49:AF51)</f>
        <v>#VALUE!</v>
      </c>
      <c r="AG52" s="461" t="e">
        <f aca="false">SUM(AG49:AG51)</f>
        <v>#VALUE!</v>
      </c>
      <c r="AH52" s="461" t="e">
        <f aca="false">SUM(AH49:AH51)</f>
        <v>#VALUE!</v>
      </c>
      <c r="AI52" s="461" t="e">
        <f aca="false">SUM(AI49:AI51)</f>
        <v>#VALUE!</v>
      </c>
      <c r="AJ52" s="461" t="e">
        <f aca="false">SUM(AJ49:AJ51)</f>
        <v>#VALUE!</v>
      </c>
      <c r="AK52" s="461" t="e">
        <f aca="false">SUM(AK49:AK51)</f>
        <v>#VALUE!</v>
      </c>
      <c r="AL52" s="461" t="e">
        <f aca="false">SUM(AL49:AL51)</f>
        <v>#VALUE!</v>
      </c>
    </row>
    <row r="53" customFormat="false" ht="15" hidden="false" customHeight="false" outlineLevel="1" collapsed="false">
      <c r="B53" s="13"/>
      <c r="C53" s="13"/>
      <c r="D53" s="30"/>
      <c r="E53" s="30"/>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row>
    <row r="54" customFormat="false" ht="15" hidden="false" customHeight="false" outlineLevel="1" collapsed="false">
      <c r="B54" s="13" t="n">
        <f aca="false">B48+1</f>
        <v>6</v>
      </c>
      <c r="C54" s="456" t="str">
        <f aca="false">C13</f>
        <v>Plantation - Vehicles</v>
      </c>
      <c r="D54" s="456"/>
    </row>
    <row r="55" customFormat="false" ht="15" hidden="false" customHeight="false" outlineLevel="1" collapsed="false">
      <c r="C55" s="19" t="s">
        <v>773</v>
      </c>
      <c r="D55" s="370"/>
      <c r="H55" s="55" t="n">
        <f aca="false">0</f>
        <v>0</v>
      </c>
      <c r="I55" s="55" t="e">
        <f aca="false">H58</f>
        <v>#VALUE!</v>
      </c>
      <c r="J55" s="55" t="e">
        <f aca="false">I58</f>
        <v>#VALUE!</v>
      </c>
      <c r="K55" s="55" t="e">
        <f aca="false">J58</f>
        <v>#VALUE!</v>
      </c>
      <c r="L55" s="55" t="e">
        <f aca="false">K58</f>
        <v>#VALUE!</v>
      </c>
      <c r="M55" s="55" t="e">
        <f aca="false">L58</f>
        <v>#VALUE!</v>
      </c>
      <c r="N55" s="55" t="e">
        <f aca="false">M58</f>
        <v>#VALUE!</v>
      </c>
      <c r="O55" s="55" t="e">
        <f aca="false">N58</f>
        <v>#VALUE!</v>
      </c>
      <c r="P55" s="55" t="e">
        <f aca="false">O58</f>
        <v>#VALUE!</v>
      </c>
      <c r="Q55" s="55" t="e">
        <f aca="false">P58</f>
        <v>#VALUE!</v>
      </c>
      <c r="R55" s="55" t="e">
        <f aca="false">Q58</f>
        <v>#VALUE!</v>
      </c>
      <c r="S55" s="55" t="e">
        <f aca="false">R58</f>
        <v>#VALUE!</v>
      </c>
      <c r="T55" s="55" t="e">
        <f aca="false">S58</f>
        <v>#VALUE!</v>
      </c>
      <c r="U55" s="55" t="e">
        <f aca="false">T58</f>
        <v>#VALUE!</v>
      </c>
      <c r="V55" s="55" t="e">
        <f aca="false">U58</f>
        <v>#VALUE!</v>
      </c>
      <c r="W55" s="55" t="e">
        <f aca="false">V58</f>
        <v>#VALUE!</v>
      </c>
      <c r="X55" s="55" t="e">
        <f aca="false">W58</f>
        <v>#VALUE!</v>
      </c>
      <c r="Y55" s="55" t="e">
        <f aca="false">X58</f>
        <v>#VALUE!</v>
      </c>
      <c r="Z55" s="55" t="e">
        <f aca="false">Y58</f>
        <v>#VALUE!</v>
      </c>
      <c r="AA55" s="55" t="e">
        <f aca="false">Z58</f>
        <v>#VALUE!</v>
      </c>
      <c r="AB55" s="55" t="e">
        <f aca="false">AA58</f>
        <v>#VALUE!</v>
      </c>
      <c r="AC55" s="55" t="e">
        <f aca="false">AB58</f>
        <v>#VALUE!</v>
      </c>
      <c r="AD55" s="55" t="e">
        <f aca="false">AC58</f>
        <v>#VALUE!</v>
      </c>
      <c r="AE55" s="55" t="e">
        <f aca="false">AD58</f>
        <v>#VALUE!</v>
      </c>
      <c r="AF55" s="55" t="e">
        <f aca="false">AE58</f>
        <v>#VALUE!</v>
      </c>
      <c r="AG55" s="55" t="e">
        <f aca="false">AF58</f>
        <v>#VALUE!</v>
      </c>
      <c r="AH55" s="55" t="e">
        <f aca="false">AG58</f>
        <v>#VALUE!</v>
      </c>
      <c r="AI55" s="55" t="e">
        <f aca="false">AH58</f>
        <v>#VALUE!</v>
      </c>
      <c r="AJ55" s="55" t="e">
        <f aca="false">AI58</f>
        <v>#VALUE!</v>
      </c>
      <c r="AK55" s="55" t="e">
        <f aca="false">AJ58</f>
        <v>#VALUE!</v>
      </c>
      <c r="AL55" s="55" t="e">
        <f aca="false">AK58</f>
        <v>#VALUE!</v>
      </c>
    </row>
    <row r="56" customFormat="false" ht="15" hidden="false" customHeight="false" outlineLevel="1" collapsed="false">
      <c r="C56" s="19" t="s">
        <v>774</v>
      </c>
      <c r="D56" s="370"/>
      <c r="H56" s="55" t="n">
        <f aca="false">H13</f>
        <v>76500</v>
      </c>
      <c r="I56" s="55" t="n">
        <f aca="false">I13</f>
        <v>78030</v>
      </c>
      <c r="J56" s="55" t="n">
        <f aca="false">J13</f>
        <v>79590.6</v>
      </c>
      <c r="K56" s="55" t="n">
        <f aca="false">K13</f>
        <v>81182.412</v>
      </c>
      <c r="L56" s="55" t="n">
        <f aca="false">L13</f>
        <v>82806.06024</v>
      </c>
      <c r="M56" s="55" t="n">
        <f aca="false">M13</f>
        <v>84462.1814448</v>
      </c>
      <c r="N56" s="55" t="n">
        <f aca="false">N13</f>
        <v>86151.425073696</v>
      </c>
      <c r="O56" s="55" t="n">
        <f aca="false">O13</f>
        <v>87874.4535751699</v>
      </c>
      <c r="P56" s="55" t="n">
        <f aca="false">P13</f>
        <v>89631.9426466733</v>
      </c>
      <c r="Q56" s="55" t="n">
        <f aca="false">Q13</f>
        <v>91424.5814996068</v>
      </c>
      <c r="R56" s="55" t="n">
        <f aca="false">R13</f>
        <v>93253.0731295989</v>
      </c>
      <c r="S56" s="55" t="n">
        <f aca="false">S13</f>
        <v>95118.1345921909</v>
      </c>
      <c r="T56" s="55" t="n">
        <f aca="false">T13</f>
        <v>97020.4972840347</v>
      </c>
      <c r="U56" s="55" t="n">
        <f aca="false">U13</f>
        <v>98960.9072297154</v>
      </c>
      <c r="V56" s="55" t="n">
        <f aca="false">V13</f>
        <v>100940.12537431</v>
      </c>
      <c r="W56" s="55" t="n">
        <f aca="false">W13</f>
        <v>102958.927881796</v>
      </c>
      <c r="X56" s="55" t="n">
        <f aca="false">X13</f>
        <v>105018.106439432</v>
      </c>
      <c r="Y56" s="55" t="n">
        <f aca="false">Y13</f>
        <v>107118.46856822</v>
      </c>
      <c r="Z56" s="55" t="n">
        <f aca="false">Z13</f>
        <v>109260.837939585</v>
      </c>
      <c r="AA56" s="55" t="n">
        <f aca="false">AA13</f>
        <v>111446.054698377</v>
      </c>
      <c r="AB56" s="55" t="n">
        <f aca="false">AB13</f>
        <v>113674.975792344</v>
      </c>
      <c r="AC56" s="55" t="n">
        <f aca="false">AC13</f>
        <v>115948.475308191</v>
      </c>
      <c r="AD56" s="55" t="n">
        <f aca="false">AD13</f>
        <v>118267.444814355</v>
      </c>
      <c r="AE56" s="55" t="n">
        <f aca="false">AE13</f>
        <v>120632.793710642</v>
      </c>
      <c r="AF56" s="55" t="n">
        <f aca="false">AF13</f>
        <v>123045.449584855</v>
      </c>
      <c r="AG56" s="55" t="n">
        <f aca="false">AG13</f>
        <v>125506.358576552</v>
      </c>
      <c r="AH56" s="55" t="n">
        <f aca="false">AH13</f>
        <v>128016.485748083</v>
      </c>
      <c r="AI56" s="55" t="n">
        <f aca="false">AI13</f>
        <v>130576.815463045</v>
      </c>
      <c r="AJ56" s="55" t="n">
        <f aca="false">AJ13</f>
        <v>133188.351772305</v>
      </c>
      <c r="AK56" s="55" t="n">
        <f aca="false">AK13</f>
        <v>135852.118807752</v>
      </c>
      <c r="AL56" s="55" t="n">
        <f aca="false">AL13</f>
        <v>138569.161183907</v>
      </c>
    </row>
    <row r="57" customFormat="false" ht="15" hidden="false" customHeight="false" outlineLevel="1" collapsed="false">
      <c r="C57" s="19" t="s">
        <v>775</v>
      </c>
      <c r="D57" s="370"/>
      <c r="E57" s="188" t="n">
        <f aca="false">E13</f>
        <v>10</v>
      </c>
      <c r="F57" s="56"/>
      <c r="G57" s="393"/>
      <c r="H57" s="59" t="e">
        <f aca="true">-MIN(SUM(H55:H56),SUM(OFFSET(H56,0,0,1,-MIN(H$5,$E57)))/MAX(1,$E57))</f>
        <v>#VALUE!</v>
      </c>
      <c r="I57" s="55" t="e">
        <f aca="true">-MIN(I55,SUM(OFFSET(I56,0,-1,1,-MIN(I$5,$E57)))/MAX(1,$E57))</f>
        <v>#VALUE!</v>
      </c>
      <c r="J57" s="55" t="e">
        <f aca="true">-MIN(J55,SUM(OFFSET(J56,0,-1,1,-MIN(J$5,$E57)))/MAX(1,$E57))</f>
        <v>#VALUE!</v>
      </c>
      <c r="K57" s="55" t="e">
        <f aca="true">-MIN(K55,SUM(OFFSET(K56,0,-1,1,-MIN(K$5,$E57)))/MAX(1,$E57))</f>
        <v>#VALUE!</v>
      </c>
      <c r="L57" s="55" t="e">
        <f aca="true">-MIN(L55,SUM(OFFSET(L56,0,-1,1,-MIN(L$5,$E57)))/MAX(1,$E57))</f>
        <v>#VALUE!</v>
      </c>
      <c r="M57" s="55" t="e">
        <f aca="true">-MIN(M55,SUM(OFFSET(M56,0,-1,1,-MIN(M$5,$E57)))/MAX(1,$E57))</f>
        <v>#VALUE!</v>
      </c>
      <c r="N57" s="55" t="e">
        <f aca="true">-MIN(N55,SUM(OFFSET(N56,0,-1,1,-MIN(N$5,$E57)))/MAX(1,$E57))</f>
        <v>#VALUE!</v>
      </c>
      <c r="O57" s="55" t="e">
        <f aca="true">-MIN(O55,SUM(OFFSET(O56,0,-1,1,-MIN(O$5,$E57)))/MAX(1,$E57))</f>
        <v>#VALUE!</v>
      </c>
      <c r="P57" s="55" t="e">
        <f aca="true">-MIN(P55,SUM(OFFSET(P56,0,-1,1,-MIN(P$5,$E57)))/MAX(1,$E57))</f>
        <v>#VALUE!</v>
      </c>
      <c r="Q57" s="55" t="e">
        <f aca="true">-MIN(Q55,SUM(OFFSET(Q56,0,-1,1,-MIN(Q$5,$E57)))/MAX(1,$E57))</f>
        <v>#VALUE!</v>
      </c>
      <c r="R57" s="55" t="e">
        <f aca="true">-MIN(R55,SUM(OFFSET(R56,0,-1,1,-MIN(R$5,$E57)))/MAX(1,$E57))</f>
        <v>#VALUE!</v>
      </c>
      <c r="S57" s="55" t="e">
        <f aca="true">-MIN(S55,SUM(OFFSET(S56,0,-1,1,-MIN(S$5,$E57)))/MAX(1,$E57))</f>
        <v>#VALUE!</v>
      </c>
      <c r="T57" s="55" t="e">
        <f aca="true">-MIN(T55,SUM(OFFSET(T56,0,-1,1,-MIN(T$5,$E57)))/MAX(1,$E57))</f>
        <v>#VALUE!</v>
      </c>
      <c r="U57" s="55" t="e">
        <f aca="true">-MIN(U55,SUM(OFFSET(U56,0,-1,1,-MIN(U$5,$E57)))/MAX(1,$E57))</f>
        <v>#VALUE!</v>
      </c>
      <c r="V57" s="55" t="e">
        <f aca="true">-MIN(V55,SUM(OFFSET(V56,0,-1,1,-MIN(V$5,$E57)))/MAX(1,$E57))</f>
        <v>#VALUE!</v>
      </c>
      <c r="W57" s="55" t="e">
        <f aca="true">-MIN(W55,SUM(OFFSET(W56,0,-1,1,-MIN(W$5,$E57)))/MAX(1,$E57))</f>
        <v>#VALUE!</v>
      </c>
      <c r="X57" s="55" t="e">
        <f aca="true">-MIN(X55,SUM(OFFSET(X56,0,-1,1,-MIN(X$5,$E57)))/MAX(1,$E57))</f>
        <v>#VALUE!</v>
      </c>
      <c r="Y57" s="55" t="e">
        <f aca="true">-MIN(Y55,SUM(OFFSET(Y56,0,-1,1,-MIN(Y$5,$E57)))/MAX(1,$E57))</f>
        <v>#VALUE!</v>
      </c>
      <c r="Z57" s="55" t="e">
        <f aca="true">-MIN(Z55,SUM(OFFSET(Z56,0,-1,1,-MIN(Z$5,$E57)))/MAX(1,$E57))</f>
        <v>#VALUE!</v>
      </c>
      <c r="AA57" s="55" t="e">
        <f aca="true">-MIN(AA55,SUM(OFFSET(AA56,0,-1,1,-MIN(AA$5,$E57)))/MAX(1,$E57))</f>
        <v>#VALUE!</v>
      </c>
      <c r="AB57" s="55" t="e">
        <f aca="true">-MIN(AB55,SUM(OFFSET(AB56,0,-1,1,-MIN(AB$5,$E57)))/MAX(1,$E57))</f>
        <v>#VALUE!</v>
      </c>
      <c r="AC57" s="55" t="e">
        <f aca="true">-MIN(AC55,SUM(OFFSET(AC56,0,-1,1,-MIN(AC$5,$E57)))/MAX(1,$E57))</f>
        <v>#VALUE!</v>
      </c>
      <c r="AD57" s="55" t="e">
        <f aca="true">-MIN(AD55,SUM(OFFSET(AD56,0,-1,1,-MIN(AD$5,$E57)))/MAX(1,$E57))</f>
        <v>#VALUE!</v>
      </c>
      <c r="AE57" s="55" t="e">
        <f aca="true">-MIN(AE55,SUM(OFFSET(AE56,0,-1,1,-MIN(AE$5,$E57)))/MAX(1,$E57))</f>
        <v>#VALUE!</v>
      </c>
      <c r="AF57" s="55" t="e">
        <f aca="true">-MIN(AF55,SUM(OFFSET(AF56,0,-1,1,-MIN(AF$5,$E57)))/MAX(1,$E57))</f>
        <v>#VALUE!</v>
      </c>
      <c r="AG57" s="55" t="e">
        <f aca="true">-MIN(AG55,SUM(OFFSET(AG56,0,-1,1,-MIN(AG$5,$E57)))/MAX(1,$E57))</f>
        <v>#VALUE!</v>
      </c>
      <c r="AH57" s="55" t="e">
        <f aca="true">-MIN(AH55,SUM(OFFSET(AH56,0,-1,1,-MIN(AH$5,$E57)))/MAX(1,$E57))</f>
        <v>#VALUE!</v>
      </c>
      <c r="AI57" s="55" t="e">
        <f aca="true">-MIN(AI55,SUM(OFFSET(AI56,0,-1,1,-MIN(AI$5,$E57)))/MAX(1,$E57))</f>
        <v>#VALUE!</v>
      </c>
      <c r="AJ57" s="55" t="e">
        <f aca="true">-MIN(AJ55,SUM(OFFSET(AJ56,0,-1,1,-MIN(AJ$5,$E57)))/MAX(1,$E57))</f>
        <v>#VALUE!</v>
      </c>
      <c r="AK57" s="55" t="e">
        <f aca="true">-MIN(AK55,SUM(OFFSET(AK56,0,-1,1,-MIN(AK$5,$E57)))/MAX(1,$E57))</f>
        <v>#VALUE!</v>
      </c>
      <c r="AL57" s="55" t="e">
        <f aca="true">-MIN(AL55,SUM(OFFSET(AL56,0,-1,1,-MIN(AL$5,$E57)))/MAX(1,$E57))</f>
        <v>#VALUE!</v>
      </c>
    </row>
    <row r="58" customFormat="false" ht="15" hidden="false" customHeight="false" outlineLevel="1" collapsed="false">
      <c r="C58" s="458" t="s">
        <v>776</v>
      </c>
      <c r="D58" s="459"/>
      <c r="H58" s="55" t="e">
        <f aca="false">SUM(H55:H57)</f>
        <v>#VALUE!</v>
      </c>
      <c r="I58" s="461" t="e">
        <f aca="false">SUM(I55:I57)</f>
        <v>#VALUE!</v>
      </c>
      <c r="J58" s="461" t="e">
        <f aca="false">SUM(J55:J57)</f>
        <v>#VALUE!</v>
      </c>
      <c r="K58" s="461" t="e">
        <f aca="false">SUM(K55:K57)</f>
        <v>#VALUE!</v>
      </c>
      <c r="L58" s="461" t="e">
        <f aca="false">SUM(L55:L57)</f>
        <v>#VALUE!</v>
      </c>
      <c r="M58" s="461" t="e">
        <f aca="false">SUM(M55:M57)</f>
        <v>#VALUE!</v>
      </c>
      <c r="N58" s="461" t="e">
        <f aca="false">SUM(N55:N57)</f>
        <v>#VALUE!</v>
      </c>
      <c r="O58" s="461" t="e">
        <f aca="false">SUM(O55:O57)</f>
        <v>#VALUE!</v>
      </c>
      <c r="P58" s="461" t="e">
        <f aca="false">SUM(P55:P57)</f>
        <v>#VALUE!</v>
      </c>
      <c r="Q58" s="461" t="e">
        <f aca="false">SUM(Q55:Q57)</f>
        <v>#VALUE!</v>
      </c>
      <c r="R58" s="461" t="e">
        <f aca="false">SUM(R55:R57)</f>
        <v>#VALUE!</v>
      </c>
      <c r="S58" s="461" t="e">
        <f aca="false">SUM(S55:S57)</f>
        <v>#VALUE!</v>
      </c>
      <c r="T58" s="461" t="e">
        <f aca="false">SUM(T55:T57)</f>
        <v>#VALUE!</v>
      </c>
      <c r="U58" s="461" t="e">
        <f aca="false">SUM(U55:U57)</f>
        <v>#VALUE!</v>
      </c>
      <c r="V58" s="461" t="e">
        <f aca="false">SUM(V55:V57)</f>
        <v>#VALUE!</v>
      </c>
      <c r="W58" s="461" t="e">
        <f aca="false">SUM(W55:W57)</f>
        <v>#VALUE!</v>
      </c>
      <c r="X58" s="461" t="e">
        <f aca="false">SUM(X55:X57)</f>
        <v>#VALUE!</v>
      </c>
      <c r="Y58" s="461" t="e">
        <f aca="false">SUM(Y55:Y57)</f>
        <v>#VALUE!</v>
      </c>
      <c r="Z58" s="461" t="e">
        <f aca="false">SUM(Z55:Z57)</f>
        <v>#VALUE!</v>
      </c>
      <c r="AA58" s="461" t="e">
        <f aca="false">SUM(AA55:AA57)</f>
        <v>#VALUE!</v>
      </c>
      <c r="AB58" s="461" t="e">
        <f aca="false">SUM(AB55:AB57)</f>
        <v>#VALUE!</v>
      </c>
      <c r="AC58" s="461" t="e">
        <f aca="false">SUM(AC55:AC57)</f>
        <v>#VALUE!</v>
      </c>
      <c r="AD58" s="461" t="e">
        <f aca="false">SUM(AD55:AD57)</f>
        <v>#VALUE!</v>
      </c>
      <c r="AE58" s="461" t="e">
        <f aca="false">SUM(AE55:AE57)</f>
        <v>#VALUE!</v>
      </c>
      <c r="AF58" s="461" t="e">
        <f aca="false">SUM(AF55:AF57)</f>
        <v>#VALUE!</v>
      </c>
      <c r="AG58" s="461" t="e">
        <f aca="false">SUM(AG55:AG57)</f>
        <v>#VALUE!</v>
      </c>
      <c r="AH58" s="461" t="e">
        <f aca="false">SUM(AH55:AH57)</f>
        <v>#VALUE!</v>
      </c>
      <c r="AI58" s="461" t="e">
        <f aca="false">SUM(AI55:AI57)</f>
        <v>#VALUE!</v>
      </c>
      <c r="AJ58" s="461" t="e">
        <f aca="false">SUM(AJ55:AJ57)</f>
        <v>#VALUE!</v>
      </c>
      <c r="AK58" s="461" t="e">
        <f aca="false">SUM(AK55:AK57)</f>
        <v>#VALUE!</v>
      </c>
      <c r="AL58" s="461" t="e">
        <f aca="false">SUM(AL55:AL57)</f>
        <v>#VALUE!</v>
      </c>
    </row>
    <row r="59" customFormat="false" ht="15" hidden="false" customHeight="false" outlineLevel="1" collapsed="false">
      <c r="B59" s="13"/>
      <c r="C59" s="13"/>
      <c r="D59" s="30"/>
      <c r="E59" s="30"/>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row>
    <row r="60" customFormat="false" ht="15" hidden="false" customHeight="false" outlineLevel="1" collapsed="false">
      <c r="B60" s="13" t="n">
        <f aca="false">B54+1</f>
        <v>7</v>
      </c>
      <c r="C60" s="456" t="str">
        <f aca="false">C14</f>
        <v>Plantation - Office Equipment</v>
      </c>
      <c r="D60" s="456"/>
    </row>
    <row r="61" customFormat="false" ht="15" hidden="false" customHeight="false" outlineLevel="1" collapsed="false">
      <c r="C61" s="19" t="s">
        <v>773</v>
      </c>
      <c r="D61" s="370"/>
      <c r="H61" s="55" t="n">
        <f aca="false">0</f>
        <v>0</v>
      </c>
      <c r="I61" s="55" t="e">
        <f aca="false">H64</f>
        <v>#VALUE!</v>
      </c>
      <c r="J61" s="55" t="e">
        <f aca="false">I64</f>
        <v>#VALUE!</v>
      </c>
      <c r="K61" s="55" t="e">
        <f aca="false">J64</f>
        <v>#VALUE!</v>
      </c>
      <c r="L61" s="55" t="e">
        <f aca="false">K64</f>
        <v>#VALUE!</v>
      </c>
      <c r="M61" s="55" t="e">
        <f aca="false">L64</f>
        <v>#VALUE!</v>
      </c>
      <c r="N61" s="55" t="e">
        <f aca="false">M64</f>
        <v>#VALUE!</v>
      </c>
      <c r="O61" s="55" t="e">
        <f aca="false">N64</f>
        <v>#VALUE!</v>
      </c>
      <c r="P61" s="55" t="e">
        <f aca="false">O64</f>
        <v>#VALUE!</v>
      </c>
      <c r="Q61" s="55" t="e">
        <f aca="false">P64</f>
        <v>#VALUE!</v>
      </c>
      <c r="R61" s="55" t="e">
        <f aca="false">Q64</f>
        <v>#VALUE!</v>
      </c>
      <c r="S61" s="55" t="e">
        <f aca="false">R64</f>
        <v>#VALUE!</v>
      </c>
      <c r="T61" s="55" t="e">
        <f aca="false">S64</f>
        <v>#VALUE!</v>
      </c>
      <c r="U61" s="55" t="e">
        <f aca="false">T64</f>
        <v>#VALUE!</v>
      </c>
      <c r="V61" s="55" t="e">
        <f aca="false">U64</f>
        <v>#VALUE!</v>
      </c>
      <c r="W61" s="55" t="e">
        <f aca="false">V64</f>
        <v>#VALUE!</v>
      </c>
      <c r="X61" s="55" t="e">
        <f aca="false">W64</f>
        <v>#VALUE!</v>
      </c>
      <c r="Y61" s="55" t="e">
        <f aca="false">X64</f>
        <v>#VALUE!</v>
      </c>
      <c r="Z61" s="55" t="e">
        <f aca="false">Y64</f>
        <v>#VALUE!</v>
      </c>
      <c r="AA61" s="55" t="e">
        <f aca="false">Z64</f>
        <v>#VALUE!</v>
      </c>
      <c r="AB61" s="55" t="e">
        <f aca="false">AA64</f>
        <v>#VALUE!</v>
      </c>
      <c r="AC61" s="55" t="e">
        <f aca="false">AB64</f>
        <v>#VALUE!</v>
      </c>
      <c r="AD61" s="55" t="e">
        <f aca="false">AC64</f>
        <v>#VALUE!</v>
      </c>
      <c r="AE61" s="55" t="e">
        <f aca="false">AD64</f>
        <v>#VALUE!</v>
      </c>
      <c r="AF61" s="55" t="e">
        <f aca="false">AE64</f>
        <v>#VALUE!</v>
      </c>
      <c r="AG61" s="55" t="e">
        <f aca="false">AF64</f>
        <v>#VALUE!</v>
      </c>
      <c r="AH61" s="55" t="e">
        <f aca="false">AG64</f>
        <v>#VALUE!</v>
      </c>
      <c r="AI61" s="55" t="e">
        <f aca="false">AH64</f>
        <v>#VALUE!</v>
      </c>
      <c r="AJ61" s="55" t="e">
        <f aca="false">AI64</f>
        <v>#VALUE!</v>
      </c>
      <c r="AK61" s="55" t="e">
        <f aca="false">AJ64</f>
        <v>#VALUE!</v>
      </c>
      <c r="AL61" s="55" t="e">
        <f aca="false">AK64</f>
        <v>#VALUE!</v>
      </c>
    </row>
    <row r="62" customFormat="false" ht="15" hidden="false" customHeight="false" outlineLevel="1" collapsed="false">
      <c r="C62" s="19" t="s">
        <v>774</v>
      </c>
      <c r="D62" s="370"/>
      <c r="H62" s="55" t="n">
        <f aca="false">H14</f>
        <v>288170</v>
      </c>
      <c r="I62" s="55" t="n">
        <f aca="false">I14</f>
        <v>-28135.8</v>
      </c>
      <c r="J62" s="55" t="n">
        <f aca="false">J14</f>
        <v>11576.25</v>
      </c>
      <c r="K62" s="55" t="n">
        <f aca="false">K14</f>
        <v>12155.0625</v>
      </c>
      <c r="L62" s="55" t="n">
        <f aca="false">L14</f>
        <v>69429.717</v>
      </c>
      <c r="M62" s="55" t="n">
        <f aca="false">M14</f>
        <v>13400.95640625</v>
      </c>
      <c r="N62" s="55" t="n">
        <f aca="false">N14</f>
        <v>76546.2629925</v>
      </c>
      <c r="O62" s="55" t="n">
        <f aca="false">O14</f>
        <v>80373.576142125</v>
      </c>
      <c r="P62" s="55" t="n">
        <f aca="false">P14</f>
        <v>84392.2549492313</v>
      </c>
      <c r="Q62" s="55" t="n">
        <f aca="false">Q14</f>
        <v>88611.8676966928</v>
      </c>
      <c r="R62" s="55" t="n">
        <f aca="false">R14</f>
        <v>93042.4610815275</v>
      </c>
      <c r="S62" s="55" t="n">
        <f aca="false">S14</f>
        <v>97694.5841356039</v>
      </c>
      <c r="T62" s="55" t="n">
        <f aca="false">T14</f>
        <v>102579.313342384</v>
      </c>
      <c r="U62" s="55" t="n">
        <f aca="false">U14</f>
        <v>107708.279009503</v>
      </c>
      <c r="V62" s="55" t="n">
        <f aca="false">V14</f>
        <v>113093.692959978</v>
      </c>
      <c r="W62" s="55" t="n">
        <f aca="false">W14</f>
        <v>118748.377607977</v>
      </c>
      <c r="X62" s="55" t="n">
        <f aca="false">X14</f>
        <v>124685.796488376</v>
      </c>
      <c r="Y62" s="55" t="n">
        <f aca="false">Y14</f>
        <v>130920.086312795</v>
      </c>
      <c r="Z62" s="55" t="n">
        <f aca="false">Z14</f>
        <v>137466.090628435</v>
      </c>
      <c r="AA62" s="55" t="n">
        <f aca="false">AA14</f>
        <v>144339.395159857</v>
      </c>
      <c r="AB62" s="55" t="n">
        <f aca="false">AB14</f>
        <v>151556.364917849</v>
      </c>
      <c r="AC62" s="55" t="n">
        <f aca="false">AC14</f>
        <v>159134.183163742</v>
      </c>
      <c r="AD62" s="55" t="n">
        <f aca="false">AD14</f>
        <v>167090.892321929</v>
      </c>
      <c r="AE62" s="55" t="n">
        <f aca="false">AE14</f>
        <v>175445.436938025</v>
      </c>
      <c r="AF62" s="55" t="n">
        <f aca="false">AF14</f>
        <v>184217.708784927</v>
      </c>
      <c r="AG62" s="55" t="n">
        <f aca="false">AG14</f>
        <v>193428.594224173</v>
      </c>
      <c r="AH62" s="55" t="n">
        <f aca="false">AH14</f>
        <v>203100.023935382</v>
      </c>
      <c r="AI62" s="55" t="n">
        <f aca="false">AI14</f>
        <v>213255.025132151</v>
      </c>
      <c r="AJ62" s="55" t="n">
        <f aca="false">AJ14</f>
        <v>223917.776388758</v>
      </c>
      <c r="AK62" s="55" t="n">
        <f aca="false">AK14</f>
        <v>235113.665208196</v>
      </c>
      <c r="AL62" s="55" t="n">
        <f aca="false">AL14</f>
        <v>246869.348468606</v>
      </c>
    </row>
    <row r="63" customFormat="false" ht="15" hidden="false" customHeight="false" outlineLevel="1" collapsed="false">
      <c r="C63" s="19" t="s">
        <v>775</v>
      </c>
      <c r="D63" s="370"/>
      <c r="E63" s="188" t="n">
        <f aca="false">E14</f>
        <v>10</v>
      </c>
      <c r="F63" s="56"/>
      <c r="G63" s="393"/>
      <c r="H63" s="59" t="e">
        <f aca="true">-MIN(SUM(H61:H62),SUM(OFFSET(H62,0,0,1,-MIN(H$5,$E63)))/MAX(1,$E63))</f>
        <v>#VALUE!</v>
      </c>
      <c r="I63" s="55" t="e">
        <f aca="true">-MIN(I61,SUM(OFFSET(I62,0,-1,1,-MIN(I$5,$E63)))/MAX(1,$E63))</f>
        <v>#VALUE!</v>
      </c>
      <c r="J63" s="55" t="e">
        <f aca="true">-MIN(J61,SUM(OFFSET(J62,0,-1,1,-MIN(J$5,$E63)))/MAX(1,$E63))</f>
        <v>#VALUE!</v>
      </c>
      <c r="K63" s="55" t="e">
        <f aca="true">-MIN(K61,SUM(OFFSET(K62,0,-1,1,-MIN(K$5,$E63)))/MAX(1,$E63))</f>
        <v>#VALUE!</v>
      </c>
      <c r="L63" s="55" t="e">
        <f aca="true">-MIN(L61,SUM(OFFSET(L62,0,-1,1,-MIN(L$5,$E63)))/MAX(1,$E63))</f>
        <v>#VALUE!</v>
      </c>
      <c r="M63" s="55" t="e">
        <f aca="true">-MIN(M61,SUM(OFFSET(M62,0,-1,1,-MIN(M$5,$E63)))/MAX(1,$E63))</f>
        <v>#VALUE!</v>
      </c>
      <c r="N63" s="55" t="e">
        <f aca="true">-MIN(N61,SUM(OFFSET(N62,0,-1,1,-MIN(N$5,$E63)))/MAX(1,$E63))</f>
        <v>#VALUE!</v>
      </c>
      <c r="O63" s="55" t="e">
        <f aca="true">-MIN(O61,SUM(OFFSET(O62,0,-1,1,-MIN(O$5,$E63)))/MAX(1,$E63))</f>
        <v>#VALUE!</v>
      </c>
      <c r="P63" s="55" t="e">
        <f aca="true">-MIN(P61,SUM(OFFSET(P62,0,-1,1,-MIN(P$5,$E63)))/MAX(1,$E63))</f>
        <v>#VALUE!</v>
      </c>
      <c r="Q63" s="55" t="e">
        <f aca="true">-MIN(Q61,SUM(OFFSET(Q62,0,-1,1,-MIN(Q$5,$E63)))/MAX(1,$E63))</f>
        <v>#VALUE!</v>
      </c>
      <c r="R63" s="55" t="e">
        <f aca="true">-MIN(R61,SUM(OFFSET(R62,0,-1,1,-MIN(R$5,$E63)))/MAX(1,$E63))</f>
        <v>#VALUE!</v>
      </c>
      <c r="S63" s="55" t="e">
        <f aca="true">-MIN(S61,SUM(OFFSET(S62,0,-1,1,-MIN(S$5,$E63)))/MAX(1,$E63))</f>
        <v>#VALUE!</v>
      </c>
      <c r="T63" s="55" t="e">
        <f aca="true">-MIN(T61,SUM(OFFSET(T62,0,-1,1,-MIN(T$5,$E63)))/MAX(1,$E63))</f>
        <v>#VALUE!</v>
      </c>
      <c r="U63" s="55" t="e">
        <f aca="true">-MIN(U61,SUM(OFFSET(U62,0,-1,1,-MIN(U$5,$E63)))/MAX(1,$E63))</f>
        <v>#VALUE!</v>
      </c>
      <c r="V63" s="55" t="e">
        <f aca="true">-MIN(V61,SUM(OFFSET(V62,0,-1,1,-MIN(V$5,$E63)))/MAX(1,$E63))</f>
        <v>#VALUE!</v>
      </c>
      <c r="W63" s="55" t="e">
        <f aca="true">-MIN(W61,SUM(OFFSET(W62,0,-1,1,-MIN(W$5,$E63)))/MAX(1,$E63))</f>
        <v>#VALUE!</v>
      </c>
      <c r="X63" s="55" t="e">
        <f aca="true">-MIN(X61,SUM(OFFSET(X62,0,-1,1,-MIN(X$5,$E63)))/MAX(1,$E63))</f>
        <v>#VALUE!</v>
      </c>
      <c r="Y63" s="55" t="e">
        <f aca="true">-MIN(Y61,SUM(OFFSET(Y62,0,-1,1,-MIN(Y$5,$E63)))/MAX(1,$E63))</f>
        <v>#VALUE!</v>
      </c>
      <c r="Z63" s="55" t="e">
        <f aca="true">-MIN(Z61,SUM(OFFSET(Z62,0,-1,1,-MIN(Z$5,$E63)))/MAX(1,$E63))</f>
        <v>#VALUE!</v>
      </c>
      <c r="AA63" s="55" t="e">
        <f aca="true">-MIN(AA61,SUM(OFFSET(AA62,0,-1,1,-MIN(AA$5,$E63)))/MAX(1,$E63))</f>
        <v>#VALUE!</v>
      </c>
      <c r="AB63" s="55" t="e">
        <f aca="true">-MIN(AB61,SUM(OFFSET(AB62,0,-1,1,-MIN(AB$5,$E63)))/MAX(1,$E63))</f>
        <v>#VALUE!</v>
      </c>
      <c r="AC63" s="55" t="e">
        <f aca="true">-MIN(AC61,SUM(OFFSET(AC62,0,-1,1,-MIN(AC$5,$E63)))/MAX(1,$E63))</f>
        <v>#VALUE!</v>
      </c>
      <c r="AD63" s="55" t="e">
        <f aca="true">-MIN(AD61,SUM(OFFSET(AD62,0,-1,1,-MIN(AD$5,$E63)))/MAX(1,$E63))</f>
        <v>#VALUE!</v>
      </c>
      <c r="AE63" s="55" t="e">
        <f aca="true">-MIN(AE61,SUM(OFFSET(AE62,0,-1,1,-MIN(AE$5,$E63)))/MAX(1,$E63))</f>
        <v>#VALUE!</v>
      </c>
      <c r="AF63" s="55" t="e">
        <f aca="true">-MIN(AF61,SUM(OFFSET(AF62,0,-1,1,-MIN(AF$5,$E63)))/MAX(1,$E63))</f>
        <v>#VALUE!</v>
      </c>
      <c r="AG63" s="55" t="e">
        <f aca="true">-MIN(AG61,SUM(OFFSET(AG62,0,-1,1,-MIN(AG$5,$E63)))/MAX(1,$E63))</f>
        <v>#VALUE!</v>
      </c>
      <c r="AH63" s="55" t="e">
        <f aca="true">-MIN(AH61,SUM(OFFSET(AH62,0,-1,1,-MIN(AH$5,$E63)))/MAX(1,$E63))</f>
        <v>#VALUE!</v>
      </c>
      <c r="AI63" s="55" t="e">
        <f aca="true">-MIN(AI61,SUM(OFFSET(AI62,0,-1,1,-MIN(AI$5,$E63)))/MAX(1,$E63))</f>
        <v>#VALUE!</v>
      </c>
      <c r="AJ63" s="55" t="e">
        <f aca="true">-MIN(AJ61,SUM(OFFSET(AJ62,0,-1,1,-MIN(AJ$5,$E63)))/MAX(1,$E63))</f>
        <v>#VALUE!</v>
      </c>
      <c r="AK63" s="55" t="e">
        <f aca="true">-MIN(AK61,SUM(OFFSET(AK62,0,-1,1,-MIN(AK$5,$E63)))/MAX(1,$E63))</f>
        <v>#VALUE!</v>
      </c>
      <c r="AL63" s="55" t="e">
        <f aca="true">-MIN(AL61,SUM(OFFSET(AL62,0,-1,1,-MIN(AL$5,$E63)))/MAX(1,$E63))</f>
        <v>#VALUE!</v>
      </c>
    </row>
    <row r="64" customFormat="false" ht="15" hidden="false" customHeight="false" outlineLevel="1" collapsed="false">
      <c r="C64" s="458" t="s">
        <v>776</v>
      </c>
      <c r="D64" s="459"/>
      <c r="H64" s="55" t="e">
        <f aca="false">SUM(H61:H63)</f>
        <v>#VALUE!</v>
      </c>
      <c r="I64" s="461" t="e">
        <f aca="false">SUM(I61:I63)</f>
        <v>#VALUE!</v>
      </c>
      <c r="J64" s="461" t="e">
        <f aca="false">SUM(J61:J63)</f>
        <v>#VALUE!</v>
      </c>
      <c r="K64" s="461" t="e">
        <f aca="false">SUM(K61:K63)</f>
        <v>#VALUE!</v>
      </c>
      <c r="L64" s="461" t="e">
        <f aca="false">SUM(L61:L63)</f>
        <v>#VALUE!</v>
      </c>
      <c r="M64" s="461" t="e">
        <f aca="false">SUM(M61:M63)</f>
        <v>#VALUE!</v>
      </c>
      <c r="N64" s="461" t="e">
        <f aca="false">SUM(N61:N63)</f>
        <v>#VALUE!</v>
      </c>
      <c r="O64" s="461" t="e">
        <f aca="false">SUM(O61:O63)</f>
        <v>#VALUE!</v>
      </c>
      <c r="P64" s="461" t="e">
        <f aca="false">SUM(P61:P63)</f>
        <v>#VALUE!</v>
      </c>
      <c r="Q64" s="461" t="e">
        <f aca="false">SUM(Q61:Q63)</f>
        <v>#VALUE!</v>
      </c>
      <c r="R64" s="461" t="e">
        <f aca="false">SUM(R61:R63)</f>
        <v>#VALUE!</v>
      </c>
      <c r="S64" s="461" t="e">
        <f aca="false">SUM(S61:S63)</f>
        <v>#VALUE!</v>
      </c>
      <c r="T64" s="461" t="e">
        <f aca="false">SUM(T61:T63)</f>
        <v>#VALUE!</v>
      </c>
      <c r="U64" s="461" t="e">
        <f aca="false">SUM(U61:U63)</f>
        <v>#VALUE!</v>
      </c>
      <c r="V64" s="461" t="e">
        <f aca="false">SUM(V61:V63)</f>
        <v>#VALUE!</v>
      </c>
      <c r="W64" s="461" t="e">
        <f aca="false">SUM(W61:W63)</f>
        <v>#VALUE!</v>
      </c>
      <c r="X64" s="461" t="e">
        <f aca="false">SUM(X61:X63)</f>
        <v>#VALUE!</v>
      </c>
      <c r="Y64" s="461" t="e">
        <f aca="false">SUM(Y61:Y63)</f>
        <v>#VALUE!</v>
      </c>
      <c r="Z64" s="461" t="e">
        <f aca="false">SUM(Z61:Z63)</f>
        <v>#VALUE!</v>
      </c>
      <c r="AA64" s="461" t="e">
        <f aca="false">SUM(AA61:AA63)</f>
        <v>#VALUE!</v>
      </c>
      <c r="AB64" s="461" t="e">
        <f aca="false">SUM(AB61:AB63)</f>
        <v>#VALUE!</v>
      </c>
      <c r="AC64" s="461" t="e">
        <f aca="false">SUM(AC61:AC63)</f>
        <v>#VALUE!</v>
      </c>
      <c r="AD64" s="461" t="e">
        <f aca="false">SUM(AD61:AD63)</f>
        <v>#VALUE!</v>
      </c>
      <c r="AE64" s="461" t="e">
        <f aca="false">SUM(AE61:AE63)</f>
        <v>#VALUE!</v>
      </c>
      <c r="AF64" s="461" t="e">
        <f aca="false">SUM(AF61:AF63)</f>
        <v>#VALUE!</v>
      </c>
      <c r="AG64" s="461" t="e">
        <f aca="false">SUM(AG61:AG63)</f>
        <v>#VALUE!</v>
      </c>
      <c r="AH64" s="461" t="e">
        <f aca="false">SUM(AH61:AH63)</f>
        <v>#VALUE!</v>
      </c>
      <c r="AI64" s="461" t="e">
        <f aca="false">SUM(AI61:AI63)</f>
        <v>#VALUE!</v>
      </c>
      <c r="AJ64" s="461" t="e">
        <f aca="false">SUM(AJ61:AJ63)</f>
        <v>#VALUE!</v>
      </c>
      <c r="AK64" s="461" t="e">
        <f aca="false">SUM(AK61:AK63)</f>
        <v>#VALUE!</v>
      </c>
      <c r="AL64" s="461" t="e">
        <f aca="false">SUM(AL61:AL63)</f>
        <v>#VALUE!</v>
      </c>
    </row>
    <row r="65" customFormat="false" ht="15" hidden="false" customHeight="false" outlineLevel="1" collapsed="false">
      <c r="B65" s="13"/>
      <c r="C65" s="13"/>
      <c r="D65" s="30"/>
      <c r="E65" s="30"/>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row>
    <row r="66" customFormat="false" ht="15" hidden="false" customHeight="false" outlineLevel="1" collapsed="false">
      <c r="B66" s="13" t="n">
        <f aca="false">B60+1</f>
        <v>8</v>
      </c>
      <c r="C66" s="456" t="str">
        <f aca="false">C15</f>
        <v>Processing Plants - Land</v>
      </c>
      <c r="D66" s="456"/>
    </row>
    <row r="67" customFormat="false" ht="15" hidden="false" customHeight="false" outlineLevel="1" collapsed="false">
      <c r="C67" s="19" t="s">
        <v>773</v>
      </c>
      <c r="D67" s="370"/>
      <c r="H67" s="55" t="n">
        <f aca="false">0</f>
        <v>0</v>
      </c>
      <c r="I67" s="55" t="n">
        <f aca="false">H70</f>
        <v>0</v>
      </c>
      <c r="J67" s="55" t="n">
        <f aca="false">I70</f>
        <v>22050</v>
      </c>
      <c r="K67" s="55" t="n">
        <f aca="false">J70</f>
        <v>45202.5</v>
      </c>
      <c r="L67" s="55" t="n">
        <f aca="false">K70</f>
        <v>69512.625</v>
      </c>
      <c r="M67" s="55" t="n">
        <f aca="false">L70</f>
        <v>95038.25625</v>
      </c>
      <c r="N67" s="55" t="n">
        <f aca="false">M70</f>
        <v>121840.1690625</v>
      </c>
      <c r="O67" s="55" t="n">
        <f aca="false">N70</f>
        <v>149982.177515625</v>
      </c>
      <c r="P67" s="55" t="n">
        <f aca="false">O70</f>
        <v>179531.286391406</v>
      </c>
      <c r="Q67" s="55" t="n">
        <f aca="false">P70</f>
        <v>210557.850710977</v>
      </c>
      <c r="R67" s="55" t="n">
        <f aca="false">Q70</f>
        <v>243135.743246525</v>
      </c>
      <c r="S67" s="55" t="n">
        <f aca="false">R70</f>
        <v>243135.743246525</v>
      </c>
      <c r="T67" s="55" t="n">
        <f aca="false">S70</f>
        <v>243135.743246525</v>
      </c>
      <c r="U67" s="55" t="n">
        <f aca="false">T70</f>
        <v>243135.743246525</v>
      </c>
      <c r="V67" s="55" t="n">
        <f aca="false">U70</f>
        <v>243135.743246525</v>
      </c>
      <c r="W67" s="55" t="n">
        <f aca="false">V70</f>
        <v>243135.743246525</v>
      </c>
      <c r="X67" s="55" t="n">
        <f aca="false">W70</f>
        <v>243135.743246525</v>
      </c>
      <c r="Y67" s="55" t="n">
        <f aca="false">X70</f>
        <v>243135.743246525</v>
      </c>
      <c r="Z67" s="55" t="n">
        <f aca="false">Y70</f>
        <v>243135.743246525</v>
      </c>
      <c r="AA67" s="55" t="n">
        <f aca="false">Z70</f>
        <v>243135.743246525</v>
      </c>
      <c r="AB67" s="55" t="n">
        <f aca="false">AA70</f>
        <v>243135.743246525</v>
      </c>
      <c r="AC67" s="55" t="n">
        <f aca="false">AB70</f>
        <v>243135.743246525</v>
      </c>
      <c r="AD67" s="55" t="n">
        <f aca="false">AC70</f>
        <v>243135.743246525</v>
      </c>
      <c r="AE67" s="55" t="n">
        <f aca="false">AD70</f>
        <v>243135.743246525</v>
      </c>
      <c r="AF67" s="55" t="n">
        <f aca="false">AE70</f>
        <v>243135.743246525</v>
      </c>
      <c r="AG67" s="55" t="n">
        <f aca="false">AF70</f>
        <v>243135.743246525</v>
      </c>
      <c r="AH67" s="55" t="n">
        <f aca="false">AG70</f>
        <v>243135.743246525</v>
      </c>
      <c r="AI67" s="55" t="n">
        <f aca="false">AH70</f>
        <v>243135.743246525</v>
      </c>
      <c r="AJ67" s="55" t="n">
        <f aca="false">AI70</f>
        <v>243135.743246525</v>
      </c>
      <c r="AK67" s="55" t="n">
        <f aca="false">AJ70</f>
        <v>243135.743246525</v>
      </c>
      <c r="AL67" s="55" t="n">
        <f aca="false">AK70</f>
        <v>243135.743246525</v>
      </c>
    </row>
    <row r="68" customFormat="false" ht="15" hidden="false" customHeight="false" outlineLevel="1" collapsed="false">
      <c r="C68" s="19" t="s">
        <v>774</v>
      </c>
      <c r="D68" s="370"/>
      <c r="H68" s="55" t="n">
        <f aca="false">H15</f>
        <v>0</v>
      </c>
      <c r="I68" s="55" t="n">
        <f aca="false">I15</f>
        <v>22050</v>
      </c>
      <c r="J68" s="55" t="n">
        <f aca="false">J15</f>
        <v>23152.5</v>
      </c>
      <c r="K68" s="55" t="n">
        <f aca="false">K15</f>
        <v>24310.125</v>
      </c>
      <c r="L68" s="55" t="n">
        <f aca="false">L15</f>
        <v>25525.63125</v>
      </c>
      <c r="M68" s="55" t="n">
        <f aca="false">M15</f>
        <v>26801.9128125</v>
      </c>
      <c r="N68" s="55" t="n">
        <f aca="false">N15</f>
        <v>28142.008453125</v>
      </c>
      <c r="O68" s="55" t="n">
        <f aca="false">O15</f>
        <v>29549.1088757813</v>
      </c>
      <c r="P68" s="55" t="n">
        <f aca="false">P15</f>
        <v>31026.5643195703</v>
      </c>
      <c r="Q68" s="55" t="n">
        <f aca="false">Q15</f>
        <v>32577.8925355488</v>
      </c>
      <c r="R68" s="55" t="n">
        <f aca="false">R15</f>
        <v>0</v>
      </c>
      <c r="S68" s="55" t="n">
        <f aca="false">S15</f>
        <v>0</v>
      </c>
      <c r="T68" s="55" t="n">
        <f aca="false">T15</f>
        <v>0</v>
      </c>
      <c r="U68" s="55" t="n">
        <f aca="false">U15</f>
        <v>0</v>
      </c>
      <c r="V68" s="55" t="n">
        <f aca="false">V15</f>
        <v>0</v>
      </c>
      <c r="W68" s="55" t="n">
        <f aca="false">W15</f>
        <v>0</v>
      </c>
      <c r="X68" s="55" t="n">
        <f aca="false">X15</f>
        <v>0</v>
      </c>
      <c r="Y68" s="55" t="n">
        <f aca="false">Y15</f>
        <v>0</v>
      </c>
      <c r="Z68" s="55" t="n">
        <f aca="false">Z15</f>
        <v>0</v>
      </c>
      <c r="AA68" s="55" t="n">
        <f aca="false">AA15</f>
        <v>0</v>
      </c>
      <c r="AB68" s="55" t="n">
        <f aca="false">AB15</f>
        <v>0</v>
      </c>
      <c r="AC68" s="55" t="n">
        <f aca="false">AC15</f>
        <v>0</v>
      </c>
      <c r="AD68" s="55" t="n">
        <f aca="false">AD15</f>
        <v>0</v>
      </c>
      <c r="AE68" s="55" t="n">
        <f aca="false">AE15</f>
        <v>0</v>
      </c>
      <c r="AF68" s="55" t="n">
        <f aca="false">AF15</f>
        <v>0</v>
      </c>
      <c r="AG68" s="55" t="n">
        <f aca="false">AG15</f>
        <v>0</v>
      </c>
      <c r="AH68" s="55" t="n">
        <f aca="false">AH15</f>
        <v>0</v>
      </c>
      <c r="AI68" s="55" t="n">
        <f aca="false">AI15</f>
        <v>0</v>
      </c>
      <c r="AJ68" s="55" t="n">
        <f aca="false">AJ15</f>
        <v>0</v>
      </c>
      <c r="AK68" s="55" t="n">
        <f aca="false">AK15</f>
        <v>0</v>
      </c>
      <c r="AL68" s="55" t="n">
        <f aca="false">AL15</f>
        <v>0</v>
      </c>
    </row>
    <row r="69" customFormat="false" ht="15" hidden="false" customHeight="false" outlineLevel="1" collapsed="false">
      <c r="C69" s="19" t="s">
        <v>775</v>
      </c>
      <c r="D69" s="370"/>
      <c r="E69" s="188" t="str">
        <f aca="false">E15</f>
        <v>n/a</v>
      </c>
      <c r="F69" s="56"/>
      <c r="G69" s="393"/>
      <c r="H69" s="59" t="n">
        <f aca="false">0</f>
        <v>0</v>
      </c>
      <c r="I69" s="59" t="n">
        <f aca="false">0</f>
        <v>0</v>
      </c>
      <c r="J69" s="59" t="n">
        <f aca="false">0</f>
        <v>0</v>
      </c>
      <c r="K69" s="59" t="n">
        <f aca="false">0</f>
        <v>0</v>
      </c>
      <c r="L69" s="59" t="n">
        <f aca="false">0</f>
        <v>0</v>
      </c>
      <c r="M69" s="59" t="n">
        <f aca="false">0</f>
        <v>0</v>
      </c>
      <c r="N69" s="59" t="n">
        <f aca="false">0</f>
        <v>0</v>
      </c>
      <c r="O69" s="59" t="n">
        <f aca="false">0</f>
        <v>0</v>
      </c>
      <c r="P69" s="59" t="n">
        <f aca="false">0</f>
        <v>0</v>
      </c>
      <c r="Q69" s="59" t="n">
        <f aca="false">0</f>
        <v>0</v>
      </c>
      <c r="R69" s="59" t="n">
        <f aca="false">0</f>
        <v>0</v>
      </c>
      <c r="S69" s="59" t="n">
        <f aca="false">0</f>
        <v>0</v>
      </c>
      <c r="T69" s="59" t="n">
        <f aca="false">0</f>
        <v>0</v>
      </c>
      <c r="U69" s="59" t="n">
        <f aca="false">0</f>
        <v>0</v>
      </c>
      <c r="V69" s="59" t="n">
        <f aca="false">0</f>
        <v>0</v>
      </c>
      <c r="W69" s="59" t="n">
        <f aca="false">0</f>
        <v>0</v>
      </c>
      <c r="X69" s="59" t="n">
        <f aca="false">0</f>
        <v>0</v>
      </c>
      <c r="Y69" s="59" t="n">
        <f aca="false">0</f>
        <v>0</v>
      </c>
      <c r="Z69" s="59" t="n">
        <f aca="false">0</f>
        <v>0</v>
      </c>
      <c r="AA69" s="59" t="n">
        <f aca="false">0</f>
        <v>0</v>
      </c>
      <c r="AB69" s="59" t="n">
        <f aca="false">0</f>
        <v>0</v>
      </c>
      <c r="AC69" s="59" t="n">
        <f aca="false">0</f>
        <v>0</v>
      </c>
      <c r="AD69" s="59" t="n">
        <f aca="false">0</f>
        <v>0</v>
      </c>
      <c r="AE69" s="59" t="n">
        <f aca="false">0</f>
        <v>0</v>
      </c>
      <c r="AF69" s="59" t="n">
        <f aca="false">0</f>
        <v>0</v>
      </c>
      <c r="AG69" s="59" t="n">
        <f aca="false">0</f>
        <v>0</v>
      </c>
      <c r="AH69" s="59" t="n">
        <f aca="false">0</f>
        <v>0</v>
      </c>
      <c r="AI69" s="59" t="n">
        <f aca="false">0</f>
        <v>0</v>
      </c>
      <c r="AJ69" s="59" t="n">
        <f aca="false">0</f>
        <v>0</v>
      </c>
      <c r="AK69" s="59" t="n">
        <f aca="false">0</f>
        <v>0</v>
      </c>
      <c r="AL69" s="59" t="n">
        <f aca="false">0</f>
        <v>0</v>
      </c>
    </row>
    <row r="70" customFormat="false" ht="15" hidden="false" customHeight="false" outlineLevel="1" collapsed="false">
      <c r="C70" s="458" t="s">
        <v>776</v>
      </c>
      <c r="D70" s="459"/>
      <c r="H70" s="55" t="n">
        <f aca="false">SUM(H67:H69)</f>
        <v>0</v>
      </c>
      <c r="I70" s="461" t="n">
        <f aca="false">SUM(I67:I69)</f>
        <v>22050</v>
      </c>
      <c r="J70" s="461" t="n">
        <f aca="false">SUM(J67:J69)</f>
        <v>45202.5</v>
      </c>
      <c r="K70" s="461" t="n">
        <f aca="false">SUM(K67:K69)</f>
        <v>69512.625</v>
      </c>
      <c r="L70" s="461" t="n">
        <f aca="false">SUM(L67:L69)</f>
        <v>95038.25625</v>
      </c>
      <c r="M70" s="461" t="n">
        <f aca="false">SUM(M67:M69)</f>
        <v>121840.1690625</v>
      </c>
      <c r="N70" s="461" t="n">
        <f aca="false">SUM(N67:N69)</f>
        <v>149982.177515625</v>
      </c>
      <c r="O70" s="461" t="n">
        <f aca="false">SUM(O67:O69)</f>
        <v>179531.286391406</v>
      </c>
      <c r="P70" s="461" t="n">
        <f aca="false">SUM(P67:P69)</f>
        <v>210557.850710977</v>
      </c>
      <c r="Q70" s="461" t="n">
        <f aca="false">SUM(Q67:Q69)</f>
        <v>243135.743246525</v>
      </c>
      <c r="R70" s="461" t="n">
        <f aca="false">SUM(R67:R69)</f>
        <v>243135.743246525</v>
      </c>
      <c r="S70" s="461" t="n">
        <f aca="false">SUM(S67:S69)</f>
        <v>243135.743246525</v>
      </c>
      <c r="T70" s="461" t="n">
        <f aca="false">SUM(T67:T69)</f>
        <v>243135.743246525</v>
      </c>
      <c r="U70" s="461" t="n">
        <f aca="false">SUM(U67:U69)</f>
        <v>243135.743246525</v>
      </c>
      <c r="V70" s="461" t="n">
        <f aca="false">SUM(V67:V69)</f>
        <v>243135.743246525</v>
      </c>
      <c r="W70" s="461" t="n">
        <f aca="false">SUM(W67:W69)</f>
        <v>243135.743246525</v>
      </c>
      <c r="X70" s="461" t="n">
        <f aca="false">SUM(X67:X69)</f>
        <v>243135.743246525</v>
      </c>
      <c r="Y70" s="461" t="n">
        <f aca="false">SUM(Y67:Y69)</f>
        <v>243135.743246525</v>
      </c>
      <c r="Z70" s="461" t="n">
        <f aca="false">SUM(Z67:Z69)</f>
        <v>243135.743246525</v>
      </c>
      <c r="AA70" s="461" t="n">
        <f aca="false">SUM(AA67:AA69)</f>
        <v>243135.743246525</v>
      </c>
      <c r="AB70" s="461" t="n">
        <f aca="false">SUM(AB67:AB69)</f>
        <v>243135.743246525</v>
      </c>
      <c r="AC70" s="461" t="n">
        <f aca="false">SUM(AC67:AC69)</f>
        <v>243135.743246525</v>
      </c>
      <c r="AD70" s="461" t="n">
        <f aca="false">SUM(AD67:AD69)</f>
        <v>243135.743246525</v>
      </c>
      <c r="AE70" s="461" t="n">
        <f aca="false">SUM(AE67:AE69)</f>
        <v>243135.743246525</v>
      </c>
      <c r="AF70" s="461" t="n">
        <f aca="false">SUM(AF67:AF69)</f>
        <v>243135.743246525</v>
      </c>
      <c r="AG70" s="461" t="n">
        <f aca="false">SUM(AG67:AG69)</f>
        <v>243135.743246525</v>
      </c>
      <c r="AH70" s="461" t="n">
        <f aca="false">SUM(AH67:AH69)</f>
        <v>243135.743246525</v>
      </c>
      <c r="AI70" s="461" t="n">
        <f aca="false">SUM(AI67:AI69)</f>
        <v>243135.743246525</v>
      </c>
      <c r="AJ70" s="461" t="n">
        <f aca="false">SUM(AJ67:AJ69)</f>
        <v>243135.743246525</v>
      </c>
      <c r="AK70" s="461" t="n">
        <f aca="false">SUM(AK67:AK69)</f>
        <v>243135.743246525</v>
      </c>
      <c r="AL70" s="461" t="n">
        <f aca="false">SUM(AL67:AL69)</f>
        <v>243135.743246525</v>
      </c>
    </row>
    <row r="71" customFormat="false" ht="15" hidden="false" customHeight="false" outlineLevel="1" collapsed="false">
      <c r="B71" s="13"/>
      <c r="C71" s="13"/>
      <c r="D71" s="30"/>
      <c r="E71" s="30"/>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row>
    <row r="72" customFormat="false" ht="15" hidden="false" customHeight="false" outlineLevel="1" collapsed="false">
      <c r="B72" s="13" t="n">
        <f aca="false">B66+1</f>
        <v>9</v>
      </c>
      <c r="C72" s="456" t="str">
        <f aca="false">C16</f>
        <v>Processing Plants - Building</v>
      </c>
      <c r="D72" s="456"/>
    </row>
    <row r="73" customFormat="false" ht="15" hidden="false" customHeight="false" outlineLevel="1" collapsed="false">
      <c r="C73" s="19" t="s">
        <v>773</v>
      </c>
      <c r="D73" s="370"/>
      <c r="H73" s="55" t="n">
        <f aca="false">0</f>
        <v>0</v>
      </c>
      <c r="I73" s="55" t="e">
        <f aca="false">H76</f>
        <v>#VALUE!</v>
      </c>
      <c r="J73" s="55" t="e">
        <f aca="false">I76</f>
        <v>#VALUE!</v>
      </c>
      <c r="K73" s="55" t="e">
        <f aca="false">J76</f>
        <v>#VALUE!</v>
      </c>
      <c r="L73" s="55" t="e">
        <f aca="false">K76</f>
        <v>#VALUE!</v>
      </c>
      <c r="M73" s="55" t="e">
        <f aca="false">L76</f>
        <v>#VALUE!</v>
      </c>
      <c r="N73" s="55" t="e">
        <f aca="false">M76</f>
        <v>#VALUE!</v>
      </c>
      <c r="O73" s="55" t="e">
        <f aca="false">N76</f>
        <v>#VALUE!</v>
      </c>
      <c r="P73" s="55" t="e">
        <f aca="false">O76</f>
        <v>#VALUE!</v>
      </c>
      <c r="Q73" s="55" t="e">
        <f aca="false">P76</f>
        <v>#VALUE!</v>
      </c>
      <c r="R73" s="55" t="e">
        <f aca="false">Q76</f>
        <v>#VALUE!</v>
      </c>
      <c r="S73" s="55" t="e">
        <f aca="false">R76</f>
        <v>#VALUE!</v>
      </c>
      <c r="T73" s="55" t="e">
        <f aca="false">S76</f>
        <v>#VALUE!</v>
      </c>
      <c r="U73" s="55" t="e">
        <f aca="false">T76</f>
        <v>#VALUE!</v>
      </c>
      <c r="V73" s="55" t="e">
        <f aca="false">U76</f>
        <v>#VALUE!</v>
      </c>
      <c r="W73" s="55" t="e">
        <f aca="false">V76</f>
        <v>#VALUE!</v>
      </c>
      <c r="X73" s="55" t="e">
        <f aca="false">W76</f>
        <v>#VALUE!</v>
      </c>
      <c r="Y73" s="55" t="e">
        <f aca="false">X76</f>
        <v>#VALUE!</v>
      </c>
      <c r="Z73" s="55" t="e">
        <f aca="false">Y76</f>
        <v>#VALUE!</v>
      </c>
      <c r="AA73" s="55" t="e">
        <f aca="false">Z76</f>
        <v>#VALUE!</v>
      </c>
      <c r="AB73" s="55" t="e">
        <f aca="false">AA76</f>
        <v>#VALUE!</v>
      </c>
      <c r="AC73" s="55" t="e">
        <f aca="false">AB76</f>
        <v>#VALUE!</v>
      </c>
      <c r="AD73" s="55" t="e">
        <f aca="false">AC76</f>
        <v>#VALUE!</v>
      </c>
      <c r="AE73" s="55" t="e">
        <f aca="false">AD76</f>
        <v>#VALUE!</v>
      </c>
      <c r="AF73" s="55" t="e">
        <f aca="false">AE76</f>
        <v>#VALUE!</v>
      </c>
      <c r="AG73" s="55" t="e">
        <f aca="false">AF76</f>
        <v>#VALUE!</v>
      </c>
      <c r="AH73" s="55" t="e">
        <f aca="false">AG76</f>
        <v>#VALUE!</v>
      </c>
      <c r="AI73" s="55" t="e">
        <f aca="false">AH76</f>
        <v>#VALUE!</v>
      </c>
      <c r="AJ73" s="55" t="e">
        <f aca="false">AI76</f>
        <v>#VALUE!</v>
      </c>
      <c r="AK73" s="55" t="e">
        <f aca="false">AJ76</f>
        <v>#VALUE!</v>
      </c>
      <c r="AL73" s="55" t="e">
        <f aca="false">AK76</f>
        <v>#VALUE!</v>
      </c>
    </row>
    <row r="74" customFormat="false" ht="15" hidden="false" customHeight="false" outlineLevel="1" collapsed="false">
      <c r="C74" s="19" t="s">
        <v>774</v>
      </c>
      <c r="D74" s="370"/>
      <c r="H74" s="55" t="n">
        <f aca="false">H16</f>
        <v>0</v>
      </c>
      <c r="I74" s="55" t="n">
        <f aca="false">I16</f>
        <v>385875</v>
      </c>
      <c r="J74" s="55" t="n">
        <f aca="false">J16</f>
        <v>405168.75</v>
      </c>
      <c r="K74" s="55" t="n">
        <f aca="false">K16</f>
        <v>425427.1875</v>
      </c>
      <c r="L74" s="55" t="n">
        <f aca="false">L16</f>
        <v>446698.546875</v>
      </c>
      <c r="M74" s="55" t="n">
        <f aca="false">M16</f>
        <v>469033.47421875</v>
      </c>
      <c r="N74" s="55" t="n">
        <f aca="false">N16</f>
        <v>492485.147929688</v>
      </c>
      <c r="O74" s="55" t="n">
        <f aca="false">O16</f>
        <v>517109.405326172</v>
      </c>
      <c r="P74" s="55" t="n">
        <f aca="false">P16</f>
        <v>542964.875592481</v>
      </c>
      <c r="Q74" s="55" t="n">
        <f aca="false">Q16</f>
        <v>570113.119372105</v>
      </c>
      <c r="R74" s="55" t="n">
        <f aca="false">R16</f>
        <v>0</v>
      </c>
      <c r="S74" s="55" t="n">
        <f aca="false">S16</f>
        <v>0</v>
      </c>
      <c r="T74" s="55" t="n">
        <f aca="false">T16</f>
        <v>0</v>
      </c>
      <c r="U74" s="55" t="n">
        <f aca="false">U16</f>
        <v>0</v>
      </c>
      <c r="V74" s="55" t="n">
        <f aca="false">V16</f>
        <v>0</v>
      </c>
      <c r="W74" s="55" t="n">
        <f aca="false">W16</f>
        <v>0</v>
      </c>
      <c r="X74" s="55" t="n">
        <f aca="false">X16</f>
        <v>0</v>
      </c>
      <c r="Y74" s="55" t="n">
        <f aca="false">Y16</f>
        <v>0</v>
      </c>
      <c r="Z74" s="55" t="n">
        <f aca="false">Z16</f>
        <v>0</v>
      </c>
      <c r="AA74" s="55" t="n">
        <f aca="false">AA16</f>
        <v>0</v>
      </c>
      <c r="AB74" s="55" t="n">
        <f aca="false">AB16</f>
        <v>0</v>
      </c>
      <c r="AC74" s="55" t="n">
        <f aca="false">AC16</f>
        <v>0</v>
      </c>
      <c r="AD74" s="55" t="n">
        <f aca="false">AD16</f>
        <v>0</v>
      </c>
      <c r="AE74" s="55" t="n">
        <f aca="false">AE16</f>
        <v>0</v>
      </c>
      <c r="AF74" s="55" t="n">
        <f aca="false">AF16</f>
        <v>0</v>
      </c>
      <c r="AG74" s="55" t="n">
        <f aca="false">AG16</f>
        <v>0</v>
      </c>
      <c r="AH74" s="55" t="n">
        <f aca="false">AH16</f>
        <v>0</v>
      </c>
      <c r="AI74" s="55" t="n">
        <f aca="false">AI16</f>
        <v>0</v>
      </c>
      <c r="AJ74" s="55" t="n">
        <f aca="false">AJ16</f>
        <v>0</v>
      </c>
      <c r="AK74" s="55" t="n">
        <f aca="false">AK16</f>
        <v>0</v>
      </c>
      <c r="AL74" s="55" t="n">
        <f aca="false">AL16</f>
        <v>0</v>
      </c>
    </row>
    <row r="75" customFormat="false" ht="15" hidden="false" customHeight="false" outlineLevel="1" collapsed="false">
      <c r="C75" s="19" t="s">
        <v>775</v>
      </c>
      <c r="D75" s="370"/>
      <c r="E75" s="188" t="n">
        <f aca="false">E16</f>
        <v>25</v>
      </c>
      <c r="F75" s="56"/>
      <c r="G75" s="393"/>
      <c r="H75" s="59" t="e">
        <f aca="true">-MIN(SUM(H73:H74),SUM(OFFSET(H74,0,0,1,-MIN(H$5,$E75)))/MAX(1,$E75))</f>
        <v>#VALUE!</v>
      </c>
      <c r="I75" s="55" t="e">
        <f aca="true">-MIN(I73,SUM(OFFSET(I74,0,-1,1,-MIN(I$5,$E75)))/MAX(1,$E75))</f>
        <v>#VALUE!</v>
      </c>
      <c r="J75" s="55" t="e">
        <f aca="true">-MIN(J73,SUM(OFFSET(J74,0,-1,1,-MIN(J$5,$E75)))/MAX(1,$E75))</f>
        <v>#VALUE!</v>
      </c>
      <c r="K75" s="55" t="e">
        <f aca="true">-MIN(K73,SUM(OFFSET(K74,0,-1,1,-MIN(K$5,$E75)))/MAX(1,$E75))</f>
        <v>#VALUE!</v>
      </c>
      <c r="L75" s="55" t="e">
        <f aca="true">-MIN(L73,SUM(OFFSET(L74,0,-1,1,-MIN(L$5,$E75)))/MAX(1,$E75))</f>
        <v>#VALUE!</v>
      </c>
      <c r="M75" s="55" t="e">
        <f aca="true">-MIN(M73,SUM(OFFSET(M74,0,-1,1,-MIN(M$5,$E75)))/MAX(1,$E75))</f>
        <v>#VALUE!</v>
      </c>
      <c r="N75" s="55" t="e">
        <f aca="true">-MIN(N73,SUM(OFFSET(N74,0,-1,1,-MIN(N$5,$E75)))/MAX(1,$E75))</f>
        <v>#VALUE!</v>
      </c>
      <c r="O75" s="55" t="e">
        <f aca="true">-MIN(O73,SUM(OFFSET(O74,0,-1,1,-MIN(O$5,$E75)))/MAX(1,$E75))</f>
        <v>#VALUE!</v>
      </c>
      <c r="P75" s="55" t="e">
        <f aca="true">-MIN(P73,SUM(OFFSET(P74,0,-1,1,-MIN(P$5,$E75)))/MAX(1,$E75))</f>
        <v>#VALUE!</v>
      </c>
      <c r="Q75" s="55" t="e">
        <f aca="true">-MIN(Q73,SUM(OFFSET(Q74,0,-1,1,-MIN(Q$5,$E75)))/MAX(1,$E75))</f>
        <v>#VALUE!</v>
      </c>
      <c r="R75" s="55" t="e">
        <f aca="true">-MIN(R73,SUM(OFFSET(R74,0,-1,1,-MIN(R$5,$E75)))/MAX(1,$E75))</f>
        <v>#VALUE!</v>
      </c>
      <c r="S75" s="55" t="e">
        <f aca="true">-MIN(S73,SUM(OFFSET(S74,0,-1,1,-MIN(S$5,$E75)))/MAX(1,$E75))</f>
        <v>#VALUE!</v>
      </c>
      <c r="T75" s="55" t="e">
        <f aca="true">-MIN(T73,SUM(OFFSET(T74,0,-1,1,-MIN(T$5,$E75)))/MAX(1,$E75))</f>
        <v>#VALUE!</v>
      </c>
      <c r="U75" s="55" t="e">
        <f aca="true">-MIN(U73,SUM(OFFSET(U74,0,-1,1,-MIN(U$5,$E75)))/MAX(1,$E75))</f>
        <v>#VALUE!</v>
      </c>
      <c r="V75" s="55" t="e">
        <f aca="true">-MIN(V73,SUM(OFFSET(V74,0,-1,1,-MIN(V$5,$E75)))/MAX(1,$E75))</f>
        <v>#VALUE!</v>
      </c>
      <c r="W75" s="55" t="e">
        <f aca="true">-MIN(W73,SUM(OFFSET(W74,0,-1,1,-MIN(W$5,$E75)))/MAX(1,$E75))</f>
        <v>#VALUE!</v>
      </c>
      <c r="X75" s="55" t="e">
        <f aca="true">-MIN(X73,SUM(OFFSET(X74,0,-1,1,-MIN(X$5,$E75)))/MAX(1,$E75))</f>
        <v>#VALUE!</v>
      </c>
      <c r="Y75" s="55" t="e">
        <f aca="true">-MIN(Y73,SUM(OFFSET(Y74,0,-1,1,-MIN(Y$5,$E75)))/MAX(1,$E75))</f>
        <v>#VALUE!</v>
      </c>
      <c r="Z75" s="55" t="e">
        <f aca="true">-MIN(Z73,SUM(OFFSET(Z74,0,-1,1,-MIN(Z$5,$E75)))/MAX(1,$E75))</f>
        <v>#VALUE!</v>
      </c>
      <c r="AA75" s="55" t="e">
        <f aca="true">-MIN(AA73,SUM(OFFSET(AA74,0,-1,1,-MIN(AA$5,$E75)))/MAX(1,$E75))</f>
        <v>#VALUE!</v>
      </c>
      <c r="AB75" s="55" t="e">
        <f aca="true">-MIN(AB73,SUM(OFFSET(AB74,0,-1,1,-MIN(AB$5,$E75)))/MAX(1,$E75))</f>
        <v>#VALUE!</v>
      </c>
      <c r="AC75" s="55" t="e">
        <f aca="true">-MIN(AC73,SUM(OFFSET(AC74,0,-1,1,-MIN(AC$5,$E75)))/MAX(1,$E75))</f>
        <v>#VALUE!</v>
      </c>
      <c r="AD75" s="55" t="e">
        <f aca="true">-MIN(AD73,SUM(OFFSET(AD74,0,-1,1,-MIN(AD$5,$E75)))/MAX(1,$E75))</f>
        <v>#VALUE!</v>
      </c>
      <c r="AE75" s="55" t="e">
        <f aca="true">-MIN(AE73,SUM(OFFSET(AE74,0,-1,1,-MIN(AE$5,$E75)))/MAX(1,$E75))</f>
        <v>#VALUE!</v>
      </c>
      <c r="AF75" s="55" t="e">
        <f aca="true">-MIN(AF73,SUM(OFFSET(AF74,0,-1,1,-MIN(AF$5,$E75)))/MAX(1,$E75))</f>
        <v>#VALUE!</v>
      </c>
      <c r="AG75" s="55" t="e">
        <f aca="true">-MIN(AG73,SUM(OFFSET(AG74,0,-1,1,-MIN(AG$5,$E75)))/MAX(1,$E75))</f>
        <v>#VALUE!</v>
      </c>
      <c r="AH75" s="55" t="e">
        <f aca="true">-MIN(AH73,SUM(OFFSET(AH74,0,-1,1,-MIN(AH$5,$E75)))/MAX(1,$E75))</f>
        <v>#VALUE!</v>
      </c>
      <c r="AI75" s="55" t="e">
        <f aca="true">-MIN(AI73,SUM(OFFSET(AI74,0,-1,1,-MIN(AI$5,$E75)))/MAX(1,$E75))</f>
        <v>#VALUE!</v>
      </c>
      <c r="AJ75" s="55" t="e">
        <f aca="true">-MIN(AJ73,SUM(OFFSET(AJ74,0,-1,1,-MIN(AJ$5,$E75)))/MAX(1,$E75))</f>
        <v>#VALUE!</v>
      </c>
      <c r="AK75" s="55" t="e">
        <f aca="true">-MIN(AK73,SUM(OFFSET(AK74,0,-1,1,-MIN(AK$5,$E75)))/MAX(1,$E75))</f>
        <v>#VALUE!</v>
      </c>
      <c r="AL75" s="55" t="e">
        <f aca="true">-MIN(AL73,SUM(OFFSET(AL74,0,-1,1,-MIN(AL$5,$E75)))/MAX(1,$E75))</f>
        <v>#VALUE!</v>
      </c>
    </row>
    <row r="76" customFormat="false" ht="15" hidden="false" customHeight="false" outlineLevel="1" collapsed="false">
      <c r="C76" s="458" t="s">
        <v>776</v>
      </c>
      <c r="D76" s="459"/>
      <c r="H76" s="55" t="e">
        <f aca="false">SUM(H73:H75)</f>
        <v>#VALUE!</v>
      </c>
      <c r="I76" s="461" t="e">
        <f aca="false">SUM(I73:I75)</f>
        <v>#VALUE!</v>
      </c>
      <c r="J76" s="461" t="e">
        <f aca="false">SUM(J73:J75)</f>
        <v>#VALUE!</v>
      </c>
      <c r="K76" s="461" t="e">
        <f aca="false">SUM(K73:K75)</f>
        <v>#VALUE!</v>
      </c>
      <c r="L76" s="461" t="e">
        <f aca="false">SUM(L73:L75)</f>
        <v>#VALUE!</v>
      </c>
      <c r="M76" s="461" t="e">
        <f aca="false">SUM(M73:M75)</f>
        <v>#VALUE!</v>
      </c>
      <c r="N76" s="461" t="e">
        <f aca="false">SUM(N73:N75)</f>
        <v>#VALUE!</v>
      </c>
      <c r="O76" s="461" t="e">
        <f aca="false">SUM(O73:O75)</f>
        <v>#VALUE!</v>
      </c>
      <c r="P76" s="461" t="e">
        <f aca="false">SUM(P73:P75)</f>
        <v>#VALUE!</v>
      </c>
      <c r="Q76" s="461" t="e">
        <f aca="false">SUM(Q73:Q75)</f>
        <v>#VALUE!</v>
      </c>
      <c r="R76" s="461" t="e">
        <f aca="false">SUM(R73:R75)</f>
        <v>#VALUE!</v>
      </c>
      <c r="S76" s="461" t="e">
        <f aca="false">SUM(S73:S75)</f>
        <v>#VALUE!</v>
      </c>
      <c r="T76" s="461" t="e">
        <f aca="false">SUM(T73:T75)</f>
        <v>#VALUE!</v>
      </c>
      <c r="U76" s="461" t="e">
        <f aca="false">SUM(U73:U75)</f>
        <v>#VALUE!</v>
      </c>
      <c r="V76" s="461" t="e">
        <f aca="false">SUM(V73:V75)</f>
        <v>#VALUE!</v>
      </c>
      <c r="W76" s="461" t="e">
        <f aca="false">SUM(W73:W75)</f>
        <v>#VALUE!</v>
      </c>
      <c r="X76" s="461" t="e">
        <f aca="false">SUM(X73:X75)</f>
        <v>#VALUE!</v>
      </c>
      <c r="Y76" s="461" t="e">
        <f aca="false">SUM(Y73:Y75)</f>
        <v>#VALUE!</v>
      </c>
      <c r="Z76" s="461" t="e">
        <f aca="false">SUM(Z73:Z75)</f>
        <v>#VALUE!</v>
      </c>
      <c r="AA76" s="461" t="e">
        <f aca="false">SUM(AA73:AA75)</f>
        <v>#VALUE!</v>
      </c>
      <c r="AB76" s="461" t="e">
        <f aca="false">SUM(AB73:AB75)</f>
        <v>#VALUE!</v>
      </c>
      <c r="AC76" s="461" t="e">
        <f aca="false">SUM(AC73:AC75)</f>
        <v>#VALUE!</v>
      </c>
      <c r="AD76" s="461" t="e">
        <f aca="false">SUM(AD73:AD75)</f>
        <v>#VALUE!</v>
      </c>
      <c r="AE76" s="461" t="e">
        <f aca="false">SUM(AE73:AE75)</f>
        <v>#VALUE!</v>
      </c>
      <c r="AF76" s="461" t="e">
        <f aca="false">SUM(AF73:AF75)</f>
        <v>#VALUE!</v>
      </c>
      <c r="AG76" s="461" t="e">
        <f aca="false">SUM(AG73:AG75)</f>
        <v>#VALUE!</v>
      </c>
      <c r="AH76" s="461" t="e">
        <f aca="false">SUM(AH73:AH75)</f>
        <v>#VALUE!</v>
      </c>
      <c r="AI76" s="461" t="e">
        <f aca="false">SUM(AI73:AI75)</f>
        <v>#VALUE!</v>
      </c>
      <c r="AJ76" s="461" t="e">
        <f aca="false">SUM(AJ73:AJ75)</f>
        <v>#VALUE!</v>
      </c>
      <c r="AK76" s="461" t="e">
        <f aca="false">SUM(AK73:AK75)</f>
        <v>#VALUE!</v>
      </c>
      <c r="AL76" s="461" t="e">
        <f aca="false">SUM(AL73:AL75)</f>
        <v>#VALUE!</v>
      </c>
    </row>
    <row r="77" customFormat="false" ht="15" hidden="false" customHeight="false" outlineLevel="1" collapsed="false">
      <c r="B77" s="13"/>
      <c r="C77" s="13"/>
      <c r="D77" s="30"/>
      <c r="E77" s="30"/>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row>
    <row r="78" customFormat="false" ht="15" hidden="false" customHeight="false" outlineLevel="1" collapsed="false">
      <c r="B78" s="13" t="n">
        <f aca="false">B72+1</f>
        <v>10</v>
      </c>
      <c r="C78" s="456" t="str">
        <f aca="false">C17</f>
        <v>Processing Plants - Equipment</v>
      </c>
      <c r="D78" s="456"/>
    </row>
    <row r="79" customFormat="false" ht="15" hidden="false" customHeight="false" outlineLevel="1" collapsed="false">
      <c r="C79" s="19" t="s">
        <v>773</v>
      </c>
      <c r="D79" s="370"/>
      <c r="H79" s="55" t="n">
        <f aca="false">0</f>
        <v>0</v>
      </c>
      <c r="I79" s="55" t="e">
        <f aca="false">H82</f>
        <v>#VALUE!</v>
      </c>
      <c r="J79" s="55" t="e">
        <f aca="false">I82</f>
        <v>#VALUE!</v>
      </c>
      <c r="K79" s="55" t="e">
        <f aca="false">J82</f>
        <v>#VALUE!</v>
      </c>
      <c r="L79" s="55" t="e">
        <f aca="false">K82</f>
        <v>#VALUE!</v>
      </c>
      <c r="M79" s="55" t="e">
        <f aca="false">L82</f>
        <v>#VALUE!</v>
      </c>
      <c r="N79" s="55" t="e">
        <f aca="false">M82</f>
        <v>#VALUE!</v>
      </c>
      <c r="O79" s="55" t="e">
        <f aca="false">N82</f>
        <v>#VALUE!</v>
      </c>
      <c r="P79" s="55" t="e">
        <f aca="false">O82</f>
        <v>#VALUE!</v>
      </c>
      <c r="Q79" s="55" t="e">
        <f aca="false">P82</f>
        <v>#VALUE!</v>
      </c>
      <c r="R79" s="55" t="e">
        <f aca="false">Q82</f>
        <v>#VALUE!</v>
      </c>
      <c r="S79" s="55" t="e">
        <f aca="false">R82</f>
        <v>#VALUE!</v>
      </c>
      <c r="T79" s="55" t="e">
        <f aca="false">S82</f>
        <v>#VALUE!</v>
      </c>
      <c r="U79" s="55" t="e">
        <f aca="false">T82</f>
        <v>#VALUE!</v>
      </c>
      <c r="V79" s="55" t="e">
        <f aca="false">U82</f>
        <v>#VALUE!</v>
      </c>
      <c r="W79" s="55" t="e">
        <f aca="false">V82</f>
        <v>#VALUE!</v>
      </c>
      <c r="X79" s="55" t="e">
        <f aca="false">W82</f>
        <v>#VALUE!</v>
      </c>
      <c r="Y79" s="55" t="e">
        <f aca="false">X82</f>
        <v>#VALUE!</v>
      </c>
      <c r="Z79" s="55" t="e">
        <f aca="false">Y82</f>
        <v>#VALUE!</v>
      </c>
      <c r="AA79" s="55" t="e">
        <f aca="false">Z82</f>
        <v>#VALUE!</v>
      </c>
      <c r="AB79" s="55" t="e">
        <f aca="false">AA82</f>
        <v>#VALUE!</v>
      </c>
      <c r="AC79" s="55" t="e">
        <f aca="false">AB82</f>
        <v>#VALUE!</v>
      </c>
      <c r="AD79" s="55" t="e">
        <f aca="false">AC82</f>
        <v>#VALUE!</v>
      </c>
      <c r="AE79" s="55" t="e">
        <f aca="false">AD82</f>
        <v>#VALUE!</v>
      </c>
      <c r="AF79" s="55" t="e">
        <f aca="false">AE82</f>
        <v>#VALUE!</v>
      </c>
      <c r="AG79" s="55" t="e">
        <f aca="false">AF82</f>
        <v>#VALUE!</v>
      </c>
      <c r="AH79" s="55" t="e">
        <f aca="false">AG82</f>
        <v>#VALUE!</v>
      </c>
      <c r="AI79" s="55" t="e">
        <f aca="false">AH82</f>
        <v>#VALUE!</v>
      </c>
      <c r="AJ79" s="55" t="e">
        <f aca="false">AI82</f>
        <v>#VALUE!</v>
      </c>
      <c r="AK79" s="55" t="e">
        <f aca="false">AJ82</f>
        <v>#VALUE!</v>
      </c>
      <c r="AL79" s="55" t="e">
        <f aca="false">AK82</f>
        <v>#VALUE!</v>
      </c>
    </row>
    <row r="80" customFormat="false" ht="15" hidden="false" customHeight="false" outlineLevel="1" collapsed="false">
      <c r="C80" s="19" t="s">
        <v>774</v>
      </c>
      <c r="D80" s="370"/>
      <c r="H80" s="55" t="n">
        <f aca="false">H17</f>
        <v>0</v>
      </c>
      <c r="I80" s="55" t="n">
        <f aca="false">I17</f>
        <v>228843.72</v>
      </c>
      <c r="J80" s="55" t="n">
        <f aca="false">J17</f>
        <v>240285.906</v>
      </c>
      <c r="K80" s="55" t="n">
        <f aca="false">K17</f>
        <v>252300.2013</v>
      </c>
      <c r="L80" s="55" t="n">
        <f aca="false">L17</f>
        <v>264915.211365</v>
      </c>
      <c r="M80" s="55" t="n">
        <f aca="false">M17</f>
        <v>278160.97193325</v>
      </c>
      <c r="N80" s="55" t="n">
        <f aca="false">N17</f>
        <v>292069.020529913</v>
      </c>
      <c r="O80" s="55" t="n">
        <f aca="false">O17</f>
        <v>306672.471556408</v>
      </c>
      <c r="P80" s="55" t="n">
        <f aca="false">P17</f>
        <v>322006.095134229</v>
      </c>
      <c r="Q80" s="55" t="n">
        <f aca="false">Q17</f>
        <v>338106.39989094</v>
      </c>
      <c r="R80" s="55" t="n">
        <f aca="false">R17</f>
        <v>0</v>
      </c>
      <c r="S80" s="55" t="n">
        <f aca="false">S17</f>
        <v>0</v>
      </c>
      <c r="T80" s="55" t="n">
        <f aca="false">T17</f>
        <v>0</v>
      </c>
      <c r="U80" s="55" t="n">
        <f aca="false">U17</f>
        <v>0</v>
      </c>
      <c r="V80" s="55" t="n">
        <f aca="false">V17</f>
        <v>0</v>
      </c>
      <c r="W80" s="55" t="n">
        <f aca="false">W17</f>
        <v>0</v>
      </c>
      <c r="X80" s="55" t="n">
        <f aca="false">X17</f>
        <v>0</v>
      </c>
      <c r="Y80" s="55" t="n">
        <f aca="false">Y17</f>
        <v>0</v>
      </c>
      <c r="Z80" s="55" t="n">
        <f aca="false">Z17</f>
        <v>0</v>
      </c>
      <c r="AA80" s="55" t="n">
        <f aca="false">AA17</f>
        <v>0</v>
      </c>
      <c r="AB80" s="55" t="n">
        <f aca="false">AB17</f>
        <v>0</v>
      </c>
      <c r="AC80" s="55" t="n">
        <f aca="false">AC17</f>
        <v>0</v>
      </c>
      <c r="AD80" s="55" t="n">
        <f aca="false">AD17</f>
        <v>0</v>
      </c>
      <c r="AE80" s="55" t="n">
        <f aca="false">AE17</f>
        <v>0</v>
      </c>
      <c r="AF80" s="55" t="n">
        <f aca="false">AF17</f>
        <v>0</v>
      </c>
      <c r="AG80" s="55" t="n">
        <f aca="false">AG17</f>
        <v>0</v>
      </c>
      <c r="AH80" s="55" t="n">
        <f aca="false">AH17</f>
        <v>0</v>
      </c>
      <c r="AI80" s="55" t="n">
        <f aca="false">AI17</f>
        <v>0</v>
      </c>
      <c r="AJ80" s="55" t="n">
        <f aca="false">AJ17</f>
        <v>0</v>
      </c>
      <c r="AK80" s="55" t="n">
        <f aca="false">AK17</f>
        <v>0</v>
      </c>
      <c r="AL80" s="55" t="n">
        <f aca="false">AL17</f>
        <v>0</v>
      </c>
    </row>
    <row r="81" customFormat="false" ht="15" hidden="false" customHeight="false" outlineLevel="1" collapsed="false">
      <c r="C81" s="19" t="s">
        <v>775</v>
      </c>
      <c r="D81" s="370"/>
      <c r="E81" s="188" t="n">
        <f aca="false">E17</f>
        <v>10</v>
      </c>
      <c r="F81" s="56"/>
      <c r="G81" s="393"/>
      <c r="H81" s="59" t="e">
        <f aca="true">-MIN(SUM(H79:H80),SUM(OFFSET(H80,0,0,1,-MIN(H$5,$E81)))/MAX(1,$E81))</f>
        <v>#VALUE!</v>
      </c>
      <c r="I81" s="55" t="e">
        <f aca="true">-MIN(I79,SUM(OFFSET(I80,0,-1,1,-MIN(I$5,$E81)))/MAX(1,$E81))</f>
        <v>#VALUE!</v>
      </c>
      <c r="J81" s="55" t="e">
        <f aca="true">-MIN(J79,SUM(OFFSET(J80,0,-1,1,-MIN(J$5,$E81)))/MAX(1,$E81))</f>
        <v>#VALUE!</v>
      </c>
      <c r="K81" s="55" t="e">
        <f aca="true">-MIN(K79,SUM(OFFSET(K80,0,-1,1,-MIN(K$5,$E81)))/MAX(1,$E81))</f>
        <v>#VALUE!</v>
      </c>
      <c r="L81" s="55" t="e">
        <f aca="true">-MIN(L79,SUM(OFFSET(L80,0,-1,1,-MIN(L$5,$E81)))/MAX(1,$E81))</f>
        <v>#VALUE!</v>
      </c>
      <c r="M81" s="55" t="e">
        <f aca="true">-MIN(M79,SUM(OFFSET(M80,0,-1,1,-MIN(M$5,$E81)))/MAX(1,$E81))</f>
        <v>#VALUE!</v>
      </c>
      <c r="N81" s="55" t="e">
        <f aca="true">-MIN(N79,SUM(OFFSET(N80,0,-1,1,-MIN(N$5,$E81)))/MAX(1,$E81))</f>
        <v>#VALUE!</v>
      </c>
      <c r="O81" s="55" t="e">
        <f aca="true">-MIN(O79,SUM(OFFSET(O80,0,-1,1,-MIN(O$5,$E81)))/MAX(1,$E81))</f>
        <v>#VALUE!</v>
      </c>
      <c r="P81" s="55" t="e">
        <f aca="true">-MIN(P79,SUM(OFFSET(P80,0,-1,1,-MIN(P$5,$E81)))/MAX(1,$E81))</f>
        <v>#VALUE!</v>
      </c>
      <c r="Q81" s="55" t="e">
        <f aca="true">-MIN(Q79,SUM(OFFSET(Q80,0,-1,1,-MIN(Q$5,$E81)))/MAX(1,$E81))</f>
        <v>#VALUE!</v>
      </c>
      <c r="R81" s="55" t="e">
        <f aca="true">-MIN(R79,SUM(OFFSET(R80,0,-1,1,-MIN(R$5,$E81)))/MAX(1,$E81))</f>
        <v>#VALUE!</v>
      </c>
      <c r="S81" s="55" t="e">
        <f aca="true">-MIN(S79,SUM(OFFSET(S80,0,-1,1,-MIN(S$5,$E81)))/MAX(1,$E81))</f>
        <v>#VALUE!</v>
      </c>
      <c r="T81" s="55" t="e">
        <f aca="true">-MIN(T79,SUM(OFFSET(T80,0,-1,1,-MIN(T$5,$E81)))/MAX(1,$E81))</f>
        <v>#VALUE!</v>
      </c>
      <c r="U81" s="55" t="e">
        <f aca="true">-MIN(U79,SUM(OFFSET(U80,0,-1,1,-MIN(U$5,$E81)))/MAX(1,$E81))</f>
        <v>#VALUE!</v>
      </c>
      <c r="V81" s="55" t="e">
        <f aca="true">-MIN(V79,SUM(OFFSET(V80,0,-1,1,-MIN(V$5,$E81)))/MAX(1,$E81))</f>
        <v>#VALUE!</v>
      </c>
      <c r="W81" s="55" t="e">
        <f aca="true">-MIN(W79,SUM(OFFSET(W80,0,-1,1,-MIN(W$5,$E81)))/MAX(1,$E81))</f>
        <v>#VALUE!</v>
      </c>
      <c r="X81" s="55" t="e">
        <f aca="true">-MIN(X79,SUM(OFFSET(X80,0,-1,1,-MIN(X$5,$E81)))/MAX(1,$E81))</f>
        <v>#VALUE!</v>
      </c>
      <c r="Y81" s="55" t="e">
        <f aca="true">-MIN(Y79,SUM(OFFSET(Y80,0,-1,1,-MIN(Y$5,$E81)))/MAX(1,$E81))</f>
        <v>#VALUE!</v>
      </c>
      <c r="Z81" s="55" t="e">
        <f aca="true">-MIN(Z79,SUM(OFFSET(Z80,0,-1,1,-MIN(Z$5,$E81)))/MAX(1,$E81))</f>
        <v>#VALUE!</v>
      </c>
      <c r="AA81" s="55" t="e">
        <f aca="true">-MIN(AA79,SUM(OFFSET(AA80,0,-1,1,-MIN(AA$5,$E81)))/MAX(1,$E81))</f>
        <v>#VALUE!</v>
      </c>
      <c r="AB81" s="55" t="e">
        <f aca="true">-MIN(AB79,SUM(OFFSET(AB80,0,-1,1,-MIN(AB$5,$E81)))/MAX(1,$E81))</f>
        <v>#VALUE!</v>
      </c>
      <c r="AC81" s="55" t="e">
        <f aca="true">-MIN(AC79,SUM(OFFSET(AC80,0,-1,1,-MIN(AC$5,$E81)))/MAX(1,$E81))</f>
        <v>#VALUE!</v>
      </c>
      <c r="AD81" s="55" t="e">
        <f aca="true">-MIN(AD79,SUM(OFFSET(AD80,0,-1,1,-MIN(AD$5,$E81)))/MAX(1,$E81))</f>
        <v>#VALUE!</v>
      </c>
      <c r="AE81" s="55" t="e">
        <f aca="true">-MIN(AE79,SUM(OFFSET(AE80,0,-1,1,-MIN(AE$5,$E81)))/MAX(1,$E81))</f>
        <v>#VALUE!</v>
      </c>
      <c r="AF81" s="55" t="e">
        <f aca="true">-MIN(AF79,SUM(OFFSET(AF80,0,-1,1,-MIN(AF$5,$E81)))/MAX(1,$E81))</f>
        <v>#VALUE!</v>
      </c>
      <c r="AG81" s="55" t="e">
        <f aca="true">-MIN(AG79,SUM(OFFSET(AG80,0,-1,1,-MIN(AG$5,$E81)))/MAX(1,$E81))</f>
        <v>#VALUE!</v>
      </c>
      <c r="AH81" s="55" t="e">
        <f aca="true">-MIN(AH79,SUM(OFFSET(AH80,0,-1,1,-MIN(AH$5,$E81)))/MAX(1,$E81))</f>
        <v>#VALUE!</v>
      </c>
      <c r="AI81" s="55" t="e">
        <f aca="true">-MIN(AI79,SUM(OFFSET(AI80,0,-1,1,-MIN(AI$5,$E81)))/MAX(1,$E81))</f>
        <v>#VALUE!</v>
      </c>
      <c r="AJ81" s="55" t="e">
        <f aca="true">-MIN(AJ79,SUM(OFFSET(AJ80,0,-1,1,-MIN(AJ$5,$E81)))/MAX(1,$E81))</f>
        <v>#VALUE!</v>
      </c>
      <c r="AK81" s="55" t="e">
        <f aca="true">-MIN(AK79,SUM(OFFSET(AK80,0,-1,1,-MIN(AK$5,$E81)))/MAX(1,$E81))</f>
        <v>#VALUE!</v>
      </c>
      <c r="AL81" s="55" t="e">
        <f aca="true">-MIN(AL79,SUM(OFFSET(AL80,0,-1,1,-MIN(AL$5,$E81)))/MAX(1,$E81))</f>
        <v>#VALUE!</v>
      </c>
    </row>
    <row r="82" customFormat="false" ht="15" hidden="false" customHeight="false" outlineLevel="1" collapsed="false">
      <c r="C82" s="458" t="s">
        <v>776</v>
      </c>
      <c r="D82" s="459"/>
      <c r="H82" s="55" t="e">
        <f aca="false">SUM(H79:H81)</f>
        <v>#VALUE!</v>
      </c>
      <c r="I82" s="461" t="e">
        <f aca="false">SUM(I79:I81)</f>
        <v>#VALUE!</v>
      </c>
      <c r="J82" s="461" t="e">
        <f aca="false">SUM(J79:J81)</f>
        <v>#VALUE!</v>
      </c>
      <c r="K82" s="461" t="e">
        <f aca="false">SUM(K79:K81)</f>
        <v>#VALUE!</v>
      </c>
      <c r="L82" s="461" t="e">
        <f aca="false">SUM(L79:L81)</f>
        <v>#VALUE!</v>
      </c>
      <c r="M82" s="461" t="e">
        <f aca="false">SUM(M79:M81)</f>
        <v>#VALUE!</v>
      </c>
      <c r="N82" s="461" t="e">
        <f aca="false">SUM(N79:N81)</f>
        <v>#VALUE!</v>
      </c>
      <c r="O82" s="461" t="e">
        <f aca="false">SUM(O79:O81)</f>
        <v>#VALUE!</v>
      </c>
      <c r="P82" s="461" t="e">
        <f aca="false">SUM(P79:P81)</f>
        <v>#VALUE!</v>
      </c>
      <c r="Q82" s="461" t="e">
        <f aca="false">SUM(Q79:Q81)</f>
        <v>#VALUE!</v>
      </c>
      <c r="R82" s="461" t="e">
        <f aca="false">SUM(R79:R81)</f>
        <v>#VALUE!</v>
      </c>
      <c r="S82" s="461" t="e">
        <f aca="false">SUM(S79:S81)</f>
        <v>#VALUE!</v>
      </c>
      <c r="T82" s="461" t="e">
        <f aca="false">SUM(T79:T81)</f>
        <v>#VALUE!</v>
      </c>
      <c r="U82" s="461" t="e">
        <f aca="false">SUM(U79:U81)</f>
        <v>#VALUE!</v>
      </c>
      <c r="V82" s="461" t="e">
        <f aca="false">SUM(V79:V81)</f>
        <v>#VALUE!</v>
      </c>
      <c r="W82" s="461" t="e">
        <f aca="false">SUM(W79:W81)</f>
        <v>#VALUE!</v>
      </c>
      <c r="X82" s="461" t="e">
        <f aca="false">SUM(X79:X81)</f>
        <v>#VALUE!</v>
      </c>
      <c r="Y82" s="461" t="e">
        <f aca="false">SUM(Y79:Y81)</f>
        <v>#VALUE!</v>
      </c>
      <c r="Z82" s="461" t="e">
        <f aca="false">SUM(Z79:Z81)</f>
        <v>#VALUE!</v>
      </c>
      <c r="AA82" s="461" t="e">
        <f aca="false">SUM(AA79:AA81)</f>
        <v>#VALUE!</v>
      </c>
      <c r="AB82" s="461" t="e">
        <f aca="false">SUM(AB79:AB81)</f>
        <v>#VALUE!</v>
      </c>
      <c r="AC82" s="461" t="e">
        <f aca="false">SUM(AC79:AC81)</f>
        <v>#VALUE!</v>
      </c>
      <c r="AD82" s="461" t="e">
        <f aca="false">SUM(AD79:AD81)</f>
        <v>#VALUE!</v>
      </c>
      <c r="AE82" s="461" t="e">
        <f aca="false">SUM(AE79:AE81)</f>
        <v>#VALUE!</v>
      </c>
      <c r="AF82" s="461" t="e">
        <f aca="false">SUM(AF79:AF81)</f>
        <v>#VALUE!</v>
      </c>
      <c r="AG82" s="461" t="e">
        <f aca="false">SUM(AG79:AG81)</f>
        <v>#VALUE!</v>
      </c>
      <c r="AH82" s="461" t="e">
        <f aca="false">SUM(AH79:AH81)</f>
        <v>#VALUE!</v>
      </c>
      <c r="AI82" s="461" t="e">
        <f aca="false">SUM(AI79:AI81)</f>
        <v>#VALUE!</v>
      </c>
      <c r="AJ82" s="461" t="e">
        <f aca="false">SUM(AJ79:AJ81)</f>
        <v>#VALUE!</v>
      </c>
      <c r="AK82" s="461" t="e">
        <f aca="false">SUM(AK79:AK81)</f>
        <v>#VALUE!</v>
      </c>
      <c r="AL82" s="461" t="e">
        <f aca="false">SUM(AL79:AL81)</f>
        <v>#VALUE!</v>
      </c>
    </row>
    <row r="83" customFormat="false" ht="15" hidden="false" customHeight="false" outlineLevel="1" collapsed="false">
      <c r="B83" s="13"/>
      <c r="C83" s="13"/>
      <c r="D83" s="30"/>
      <c r="E83" s="30"/>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row>
    <row r="84" customFormat="false" ht="15" hidden="false" customHeight="false" outlineLevel="1" collapsed="false">
      <c r="B84" s="13" t="n">
        <f aca="false">B78+1</f>
        <v>11</v>
      </c>
      <c r="C84" s="456" t="str">
        <f aca="false">C18</f>
        <v>Processing Plants - Vehicles</v>
      </c>
      <c r="D84" s="456"/>
    </row>
    <row r="85" customFormat="false" ht="15" hidden="false" customHeight="false" outlineLevel="1" collapsed="false">
      <c r="C85" s="19" t="s">
        <v>773</v>
      </c>
      <c r="D85" s="370"/>
      <c r="H85" s="55" t="n">
        <f aca="false">0</f>
        <v>0</v>
      </c>
      <c r="I85" s="55" t="e">
        <f aca="false">H88</f>
        <v>#VALUE!</v>
      </c>
      <c r="J85" s="55" t="e">
        <f aca="false">I88</f>
        <v>#VALUE!</v>
      </c>
      <c r="K85" s="55" t="e">
        <f aca="false">J88</f>
        <v>#VALUE!</v>
      </c>
      <c r="L85" s="55" t="e">
        <f aca="false">K88</f>
        <v>#VALUE!</v>
      </c>
      <c r="M85" s="55" t="e">
        <f aca="false">L88</f>
        <v>#VALUE!</v>
      </c>
      <c r="N85" s="55" t="e">
        <f aca="false">M88</f>
        <v>#VALUE!</v>
      </c>
      <c r="O85" s="55" t="e">
        <f aca="false">N88</f>
        <v>#VALUE!</v>
      </c>
      <c r="P85" s="55" t="e">
        <f aca="false">O88</f>
        <v>#VALUE!</v>
      </c>
      <c r="Q85" s="55" t="e">
        <f aca="false">P88</f>
        <v>#VALUE!</v>
      </c>
      <c r="R85" s="55" t="e">
        <f aca="false">Q88</f>
        <v>#VALUE!</v>
      </c>
      <c r="S85" s="55" t="e">
        <f aca="false">R88</f>
        <v>#VALUE!</v>
      </c>
      <c r="T85" s="55" t="e">
        <f aca="false">S88</f>
        <v>#VALUE!</v>
      </c>
      <c r="U85" s="55" t="e">
        <f aca="false">T88</f>
        <v>#VALUE!</v>
      </c>
      <c r="V85" s="55" t="e">
        <f aca="false">U88</f>
        <v>#VALUE!</v>
      </c>
      <c r="W85" s="55" t="e">
        <f aca="false">V88</f>
        <v>#VALUE!</v>
      </c>
      <c r="X85" s="55" t="e">
        <f aca="false">W88</f>
        <v>#VALUE!</v>
      </c>
      <c r="Y85" s="55" t="e">
        <f aca="false">X88</f>
        <v>#VALUE!</v>
      </c>
      <c r="Z85" s="55" t="e">
        <f aca="false">Y88</f>
        <v>#VALUE!</v>
      </c>
      <c r="AA85" s="55" t="e">
        <f aca="false">Z88</f>
        <v>#VALUE!</v>
      </c>
      <c r="AB85" s="55" t="e">
        <f aca="false">AA88</f>
        <v>#VALUE!</v>
      </c>
      <c r="AC85" s="55" t="e">
        <f aca="false">AB88</f>
        <v>#VALUE!</v>
      </c>
      <c r="AD85" s="55" t="e">
        <f aca="false">AC88</f>
        <v>#VALUE!</v>
      </c>
      <c r="AE85" s="55" t="e">
        <f aca="false">AD88</f>
        <v>#VALUE!</v>
      </c>
      <c r="AF85" s="55" t="e">
        <f aca="false">AE88</f>
        <v>#VALUE!</v>
      </c>
      <c r="AG85" s="55" t="e">
        <f aca="false">AF88</f>
        <v>#VALUE!</v>
      </c>
      <c r="AH85" s="55" t="e">
        <f aca="false">AG88</f>
        <v>#VALUE!</v>
      </c>
      <c r="AI85" s="55" t="e">
        <f aca="false">AH88</f>
        <v>#VALUE!</v>
      </c>
      <c r="AJ85" s="55" t="e">
        <f aca="false">AI88</f>
        <v>#VALUE!</v>
      </c>
      <c r="AK85" s="55" t="e">
        <f aca="false">AJ88</f>
        <v>#VALUE!</v>
      </c>
      <c r="AL85" s="55" t="e">
        <f aca="false">AK88</f>
        <v>#VALUE!</v>
      </c>
    </row>
    <row r="86" customFormat="false" ht="15" hidden="false" customHeight="false" outlineLevel="1" collapsed="false">
      <c r="C86" s="19" t="s">
        <v>774</v>
      </c>
      <c r="D86" s="370"/>
      <c r="H86" s="55" t="n">
        <f aca="false">H18</f>
        <v>0</v>
      </c>
      <c r="I86" s="55" t="n">
        <f aca="false">I18</f>
        <v>99225</v>
      </c>
      <c r="J86" s="55" t="n">
        <f aca="false">J18</f>
        <v>104186.25</v>
      </c>
      <c r="K86" s="55" t="n">
        <f aca="false">K18</f>
        <v>109395.5625</v>
      </c>
      <c r="L86" s="55" t="n">
        <f aca="false">L18</f>
        <v>114865.340625</v>
      </c>
      <c r="M86" s="55" t="n">
        <f aca="false">M18</f>
        <v>120608.60765625</v>
      </c>
      <c r="N86" s="55" t="n">
        <f aca="false">N18</f>
        <v>126639.038039063</v>
      </c>
      <c r="O86" s="55" t="n">
        <f aca="false">O18</f>
        <v>132970.989941016</v>
      </c>
      <c r="P86" s="55" t="n">
        <f aca="false">P18</f>
        <v>139619.539438066</v>
      </c>
      <c r="Q86" s="55" t="n">
        <f aca="false">Q18</f>
        <v>146600.51640997</v>
      </c>
      <c r="R86" s="55" t="n">
        <f aca="false">R18</f>
        <v>0</v>
      </c>
      <c r="S86" s="55" t="n">
        <f aca="false">S18</f>
        <v>0</v>
      </c>
      <c r="T86" s="55" t="n">
        <f aca="false">T18</f>
        <v>0</v>
      </c>
      <c r="U86" s="55" t="n">
        <f aca="false">U18</f>
        <v>0</v>
      </c>
      <c r="V86" s="55" t="n">
        <f aca="false">V18</f>
        <v>0</v>
      </c>
      <c r="W86" s="55" t="n">
        <f aca="false">W18</f>
        <v>0</v>
      </c>
      <c r="X86" s="55" t="n">
        <f aca="false">X18</f>
        <v>0</v>
      </c>
      <c r="Y86" s="55" t="n">
        <f aca="false">Y18</f>
        <v>0</v>
      </c>
      <c r="Z86" s="55" t="n">
        <f aca="false">Z18</f>
        <v>0</v>
      </c>
      <c r="AA86" s="55" t="n">
        <f aca="false">AA18</f>
        <v>0</v>
      </c>
      <c r="AB86" s="55" t="n">
        <f aca="false">AB18</f>
        <v>0</v>
      </c>
      <c r="AC86" s="55" t="n">
        <f aca="false">AC18</f>
        <v>0</v>
      </c>
      <c r="AD86" s="55" t="n">
        <f aca="false">AD18</f>
        <v>0</v>
      </c>
      <c r="AE86" s="55" t="n">
        <f aca="false">AE18</f>
        <v>0</v>
      </c>
      <c r="AF86" s="55" t="n">
        <f aca="false">AF18</f>
        <v>0</v>
      </c>
      <c r="AG86" s="55" t="n">
        <f aca="false">AG18</f>
        <v>0</v>
      </c>
      <c r="AH86" s="55" t="n">
        <f aca="false">AH18</f>
        <v>0</v>
      </c>
      <c r="AI86" s="55" t="n">
        <f aca="false">AI18</f>
        <v>0</v>
      </c>
      <c r="AJ86" s="55" t="n">
        <f aca="false">AJ18</f>
        <v>0</v>
      </c>
      <c r="AK86" s="55" t="n">
        <f aca="false">AK18</f>
        <v>0</v>
      </c>
      <c r="AL86" s="55" t="n">
        <f aca="false">AL18</f>
        <v>0</v>
      </c>
    </row>
    <row r="87" customFormat="false" ht="15" hidden="false" customHeight="false" outlineLevel="1" collapsed="false">
      <c r="C87" s="19" t="s">
        <v>775</v>
      </c>
      <c r="D87" s="370"/>
      <c r="E87" s="188" t="n">
        <f aca="false">E18</f>
        <v>5</v>
      </c>
      <c r="F87" s="56"/>
      <c r="G87" s="393"/>
      <c r="H87" s="59" t="e">
        <f aca="true">-MIN(SUM(H85:H86),SUM(OFFSET(H86,0,0,1,-MIN(H$5,$E87)))/MAX(1,$E87))</f>
        <v>#VALUE!</v>
      </c>
      <c r="I87" s="55" t="e">
        <f aca="true">-MIN(I85,SUM(OFFSET(I86,0,-1,1,-MIN(I$5,$E87)))/MAX(1,$E87))</f>
        <v>#VALUE!</v>
      </c>
      <c r="J87" s="55" t="e">
        <f aca="true">-MIN(J85,SUM(OFFSET(J86,0,-1,1,-MIN(J$5,$E87)))/MAX(1,$E87))</f>
        <v>#VALUE!</v>
      </c>
      <c r="K87" s="55" t="e">
        <f aca="true">-MIN(K85,SUM(OFFSET(K86,0,-1,1,-MIN(K$5,$E87)))/MAX(1,$E87))</f>
        <v>#VALUE!</v>
      </c>
      <c r="L87" s="55" t="e">
        <f aca="true">-MIN(L85,SUM(OFFSET(L86,0,-1,1,-MIN(L$5,$E87)))/MAX(1,$E87))</f>
        <v>#VALUE!</v>
      </c>
      <c r="M87" s="55" t="e">
        <f aca="true">-MIN(M85,SUM(OFFSET(M86,0,-1,1,-MIN(M$5,$E87)))/MAX(1,$E87))</f>
        <v>#VALUE!</v>
      </c>
      <c r="N87" s="55" t="e">
        <f aca="true">-MIN(N85,SUM(OFFSET(N86,0,-1,1,-MIN(N$5,$E87)))/MAX(1,$E87))</f>
        <v>#VALUE!</v>
      </c>
      <c r="O87" s="55" t="e">
        <f aca="true">-MIN(O85,SUM(OFFSET(O86,0,-1,1,-MIN(O$5,$E87)))/MAX(1,$E87))</f>
        <v>#VALUE!</v>
      </c>
      <c r="P87" s="55" t="e">
        <f aca="true">-MIN(P85,SUM(OFFSET(P86,0,-1,1,-MIN(P$5,$E87)))/MAX(1,$E87))</f>
        <v>#VALUE!</v>
      </c>
      <c r="Q87" s="55" t="e">
        <f aca="true">-MIN(Q85,SUM(OFFSET(Q86,0,-1,1,-MIN(Q$5,$E87)))/MAX(1,$E87))</f>
        <v>#VALUE!</v>
      </c>
      <c r="R87" s="55" t="e">
        <f aca="true">-MIN(R85,SUM(OFFSET(R86,0,-1,1,-MIN(R$5,$E87)))/MAX(1,$E87))</f>
        <v>#VALUE!</v>
      </c>
      <c r="S87" s="55" t="e">
        <f aca="true">-MIN(S85,SUM(OFFSET(S86,0,-1,1,-MIN(S$5,$E87)))/MAX(1,$E87))</f>
        <v>#VALUE!</v>
      </c>
      <c r="T87" s="55" t="e">
        <f aca="true">-MIN(T85,SUM(OFFSET(T86,0,-1,1,-MIN(T$5,$E87)))/MAX(1,$E87))</f>
        <v>#VALUE!</v>
      </c>
      <c r="U87" s="55" t="e">
        <f aca="true">-MIN(U85,SUM(OFFSET(U86,0,-1,1,-MIN(U$5,$E87)))/MAX(1,$E87))</f>
        <v>#VALUE!</v>
      </c>
      <c r="V87" s="55" t="e">
        <f aca="true">-MIN(V85,SUM(OFFSET(V86,0,-1,1,-MIN(V$5,$E87)))/MAX(1,$E87))</f>
        <v>#VALUE!</v>
      </c>
      <c r="W87" s="55" t="e">
        <f aca="true">-MIN(W85,SUM(OFFSET(W86,0,-1,1,-MIN(W$5,$E87)))/MAX(1,$E87))</f>
        <v>#VALUE!</v>
      </c>
      <c r="X87" s="55" t="e">
        <f aca="true">-MIN(X85,SUM(OFFSET(X86,0,-1,1,-MIN(X$5,$E87)))/MAX(1,$E87))</f>
        <v>#VALUE!</v>
      </c>
      <c r="Y87" s="55" t="e">
        <f aca="true">-MIN(Y85,SUM(OFFSET(Y86,0,-1,1,-MIN(Y$5,$E87)))/MAX(1,$E87))</f>
        <v>#VALUE!</v>
      </c>
      <c r="Z87" s="55" t="e">
        <f aca="true">-MIN(Z85,SUM(OFFSET(Z86,0,-1,1,-MIN(Z$5,$E87)))/MAX(1,$E87))</f>
        <v>#VALUE!</v>
      </c>
      <c r="AA87" s="55" t="e">
        <f aca="true">-MIN(AA85,SUM(OFFSET(AA86,0,-1,1,-MIN(AA$5,$E87)))/MAX(1,$E87))</f>
        <v>#VALUE!</v>
      </c>
      <c r="AB87" s="55" t="e">
        <f aca="true">-MIN(AB85,SUM(OFFSET(AB86,0,-1,1,-MIN(AB$5,$E87)))/MAX(1,$E87))</f>
        <v>#VALUE!</v>
      </c>
      <c r="AC87" s="55" t="e">
        <f aca="true">-MIN(AC85,SUM(OFFSET(AC86,0,-1,1,-MIN(AC$5,$E87)))/MAX(1,$E87))</f>
        <v>#VALUE!</v>
      </c>
      <c r="AD87" s="55" t="e">
        <f aca="true">-MIN(AD85,SUM(OFFSET(AD86,0,-1,1,-MIN(AD$5,$E87)))/MAX(1,$E87))</f>
        <v>#VALUE!</v>
      </c>
      <c r="AE87" s="55" t="e">
        <f aca="true">-MIN(AE85,SUM(OFFSET(AE86,0,-1,1,-MIN(AE$5,$E87)))/MAX(1,$E87))</f>
        <v>#VALUE!</v>
      </c>
      <c r="AF87" s="55" t="e">
        <f aca="true">-MIN(AF85,SUM(OFFSET(AF86,0,-1,1,-MIN(AF$5,$E87)))/MAX(1,$E87))</f>
        <v>#VALUE!</v>
      </c>
      <c r="AG87" s="55" t="e">
        <f aca="true">-MIN(AG85,SUM(OFFSET(AG86,0,-1,1,-MIN(AG$5,$E87)))/MAX(1,$E87))</f>
        <v>#VALUE!</v>
      </c>
      <c r="AH87" s="55" t="e">
        <f aca="true">-MIN(AH85,SUM(OFFSET(AH86,0,-1,1,-MIN(AH$5,$E87)))/MAX(1,$E87))</f>
        <v>#VALUE!</v>
      </c>
      <c r="AI87" s="55" t="e">
        <f aca="true">-MIN(AI85,SUM(OFFSET(AI86,0,-1,1,-MIN(AI$5,$E87)))/MAX(1,$E87))</f>
        <v>#VALUE!</v>
      </c>
      <c r="AJ87" s="55" t="e">
        <f aca="true">-MIN(AJ85,SUM(OFFSET(AJ86,0,-1,1,-MIN(AJ$5,$E87)))/MAX(1,$E87))</f>
        <v>#VALUE!</v>
      </c>
      <c r="AK87" s="55" t="e">
        <f aca="true">-MIN(AK85,SUM(OFFSET(AK86,0,-1,1,-MIN(AK$5,$E87)))/MAX(1,$E87))</f>
        <v>#VALUE!</v>
      </c>
      <c r="AL87" s="55" t="e">
        <f aca="true">-MIN(AL85,SUM(OFFSET(AL86,0,-1,1,-MIN(AL$5,$E87)))/MAX(1,$E87))</f>
        <v>#VALUE!</v>
      </c>
    </row>
    <row r="88" customFormat="false" ht="15" hidden="false" customHeight="false" outlineLevel="1" collapsed="false">
      <c r="C88" s="458" t="s">
        <v>776</v>
      </c>
      <c r="D88" s="459"/>
      <c r="H88" s="55" t="e">
        <f aca="false">SUM(H85:H87)</f>
        <v>#VALUE!</v>
      </c>
      <c r="I88" s="461" t="e">
        <f aca="false">SUM(I85:I87)</f>
        <v>#VALUE!</v>
      </c>
      <c r="J88" s="461" t="e">
        <f aca="false">SUM(J85:J87)</f>
        <v>#VALUE!</v>
      </c>
      <c r="K88" s="461" t="e">
        <f aca="false">SUM(K85:K87)</f>
        <v>#VALUE!</v>
      </c>
      <c r="L88" s="461" t="e">
        <f aca="false">SUM(L85:L87)</f>
        <v>#VALUE!</v>
      </c>
      <c r="M88" s="461" t="e">
        <f aca="false">SUM(M85:M87)</f>
        <v>#VALUE!</v>
      </c>
      <c r="N88" s="461" t="e">
        <f aca="false">SUM(N85:N87)</f>
        <v>#VALUE!</v>
      </c>
      <c r="O88" s="461" t="e">
        <f aca="false">SUM(O85:O87)</f>
        <v>#VALUE!</v>
      </c>
      <c r="P88" s="461" t="e">
        <f aca="false">SUM(P85:P87)</f>
        <v>#VALUE!</v>
      </c>
      <c r="Q88" s="461" t="e">
        <f aca="false">SUM(Q85:Q87)</f>
        <v>#VALUE!</v>
      </c>
      <c r="R88" s="461" t="e">
        <f aca="false">SUM(R85:R87)</f>
        <v>#VALUE!</v>
      </c>
      <c r="S88" s="461" t="e">
        <f aca="false">SUM(S85:S87)</f>
        <v>#VALUE!</v>
      </c>
      <c r="T88" s="461" t="e">
        <f aca="false">SUM(T85:T87)</f>
        <v>#VALUE!</v>
      </c>
      <c r="U88" s="461" t="e">
        <f aca="false">SUM(U85:U87)</f>
        <v>#VALUE!</v>
      </c>
      <c r="V88" s="461" t="e">
        <f aca="false">SUM(V85:V87)</f>
        <v>#VALUE!</v>
      </c>
      <c r="W88" s="461" t="e">
        <f aca="false">SUM(W85:W87)</f>
        <v>#VALUE!</v>
      </c>
      <c r="X88" s="461" t="e">
        <f aca="false">SUM(X85:X87)</f>
        <v>#VALUE!</v>
      </c>
      <c r="Y88" s="461" t="e">
        <f aca="false">SUM(Y85:Y87)</f>
        <v>#VALUE!</v>
      </c>
      <c r="Z88" s="461" t="e">
        <f aca="false">SUM(Z85:Z87)</f>
        <v>#VALUE!</v>
      </c>
      <c r="AA88" s="461" t="e">
        <f aca="false">SUM(AA85:AA87)</f>
        <v>#VALUE!</v>
      </c>
      <c r="AB88" s="461" t="e">
        <f aca="false">SUM(AB85:AB87)</f>
        <v>#VALUE!</v>
      </c>
      <c r="AC88" s="461" t="e">
        <f aca="false">SUM(AC85:AC87)</f>
        <v>#VALUE!</v>
      </c>
      <c r="AD88" s="461" t="e">
        <f aca="false">SUM(AD85:AD87)</f>
        <v>#VALUE!</v>
      </c>
      <c r="AE88" s="461" t="e">
        <f aca="false">SUM(AE85:AE87)</f>
        <v>#VALUE!</v>
      </c>
      <c r="AF88" s="461" t="e">
        <f aca="false">SUM(AF85:AF87)</f>
        <v>#VALUE!</v>
      </c>
      <c r="AG88" s="461" t="e">
        <f aca="false">SUM(AG85:AG87)</f>
        <v>#VALUE!</v>
      </c>
      <c r="AH88" s="461" t="e">
        <f aca="false">SUM(AH85:AH87)</f>
        <v>#VALUE!</v>
      </c>
      <c r="AI88" s="461" t="e">
        <f aca="false">SUM(AI85:AI87)</f>
        <v>#VALUE!</v>
      </c>
      <c r="AJ88" s="461" t="e">
        <f aca="false">SUM(AJ85:AJ87)</f>
        <v>#VALUE!</v>
      </c>
      <c r="AK88" s="461" t="e">
        <f aca="false">SUM(AK85:AK87)</f>
        <v>#VALUE!</v>
      </c>
      <c r="AL88" s="461" t="e">
        <f aca="false">SUM(AL85:AL87)</f>
        <v>#VALUE!</v>
      </c>
    </row>
    <row r="89" customFormat="false" ht="15" hidden="false" customHeight="false" outlineLevel="1" collapsed="false">
      <c r="B89" s="13"/>
      <c r="C89" s="13"/>
      <c r="D89" s="30"/>
      <c r="E89" s="30"/>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row>
    <row r="90" customFormat="false" ht="15" hidden="false" customHeight="false" outlineLevel="1" collapsed="false">
      <c r="B90" s="13" t="n">
        <f aca="false">B84+1</f>
        <v>12</v>
      </c>
      <c r="C90" s="456" t="str">
        <f aca="false">C19</f>
        <v>Productive Activities OH - Office Equipment</v>
      </c>
      <c r="D90" s="456"/>
    </row>
    <row r="91" customFormat="false" ht="15" hidden="false" customHeight="false" outlineLevel="1" collapsed="false">
      <c r="C91" s="19" t="s">
        <v>773</v>
      </c>
      <c r="D91" s="370"/>
      <c r="H91" s="55" t="n">
        <f aca="false">0</f>
        <v>0</v>
      </c>
      <c r="I91" s="55" t="e">
        <f aca="false">H94</f>
        <v>#VALUE!</v>
      </c>
      <c r="J91" s="55" t="e">
        <f aca="false">I94</f>
        <v>#VALUE!</v>
      </c>
      <c r="K91" s="55" t="e">
        <f aca="false">J94</f>
        <v>#VALUE!</v>
      </c>
      <c r="L91" s="55" t="e">
        <f aca="false">K94</f>
        <v>#VALUE!</v>
      </c>
      <c r="M91" s="55" t="e">
        <f aca="false">L94</f>
        <v>#VALUE!</v>
      </c>
      <c r="N91" s="55" t="e">
        <f aca="false">M94</f>
        <v>#VALUE!</v>
      </c>
      <c r="O91" s="55" t="e">
        <f aca="false">N94</f>
        <v>#VALUE!</v>
      </c>
      <c r="P91" s="55" t="e">
        <f aca="false">O94</f>
        <v>#VALUE!</v>
      </c>
      <c r="Q91" s="55" t="e">
        <f aca="false">P94</f>
        <v>#VALUE!</v>
      </c>
      <c r="R91" s="55" t="e">
        <f aca="false">Q94</f>
        <v>#VALUE!</v>
      </c>
      <c r="S91" s="55" t="e">
        <f aca="false">R94</f>
        <v>#VALUE!</v>
      </c>
      <c r="T91" s="55" t="e">
        <f aca="false">S94</f>
        <v>#VALUE!</v>
      </c>
      <c r="U91" s="55" t="e">
        <f aca="false">T94</f>
        <v>#VALUE!</v>
      </c>
      <c r="V91" s="55" t="e">
        <f aca="false">U94</f>
        <v>#VALUE!</v>
      </c>
      <c r="W91" s="55" t="e">
        <f aca="false">V94</f>
        <v>#VALUE!</v>
      </c>
      <c r="X91" s="55" t="e">
        <f aca="false">W94</f>
        <v>#VALUE!</v>
      </c>
      <c r="Y91" s="55" t="e">
        <f aca="false">X94</f>
        <v>#VALUE!</v>
      </c>
      <c r="Z91" s="55" t="e">
        <f aca="false">Y94</f>
        <v>#VALUE!</v>
      </c>
      <c r="AA91" s="55" t="e">
        <f aca="false">Z94</f>
        <v>#VALUE!</v>
      </c>
      <c r="AB91" s="55" t="e">
        <f aca="false">AA94</f>
        <v>#VALUE!</v>
      </c>
      <c r="AC91" s="55" t="e">
        <f aca="false">AB94</f>
        <v>#VALUE!</v>
      </c>
      <c r="AD91" s="55" t="e">
        <f aca="false">AC94</f>
        <v>#VALUE!</v>
      </c>
      <c r="AE91" s="55" t="e">
        <f aca="false">AD94</f>
        <v>#VALUE!</v>
      </c>
      <c r="AF91" s="55" t="e">
        <f aca="false">AE94</f>
        <v>#VALUE!</v>
      </c>
      <c r="AG91" s="55" t="e">
        <f aca="false">AF94</f>
        <v>#VALUE!</v>
      </c>
      <c r="AH91" s="55" t="e">
        <f aca="false">AG94</f>
        <v>#VALUE!</v>
      </c>
      <c r="AI91" s="55" t="e">
        <f aca="false">AH94</f>
        <v>#VALUE!</v>
      </c>
      <c r="AJ91" s="55" t="e">
        <f aca="false">AI94</f>
        <v>#VALUE!</v>
      </c>
      <c r="AK91" s="55" t="e">
        <f aca="false">AJ94</f>
        <v>#VALUE!</v>
      </c>
      <c r="AL91" s="55" t="e">
        <f aca="false">AK94</f>
        <v>#VALUE!</v>
      </c>
    </row>
    <row r="92" customFormat="false" ht="15" hidden="false" customHeight="false" outlineLevel="1" collapsed="false">
      <c r="C92" s="19" t="s">
        <v>774</v>
      </c>
      <c r="D92" s="370"/>
      <c r="H92" s="55" t="n">
        <f aca="false">H19</f>
        <v>129662</v>
      </c>
      <c r="I92" s="55" t="n">
        <f aca="false">I19</f>
        <v>118717.2</v>
      </c>
      <c r="J92" s="55" t="n">
        <f aca="false">J19</f>
        <v>140072.625</v>
      </c>
      <c r="K92" s="55" t="n">
        <f aca="false">K19</f>
        <v>130885.713</v>
      </c>
      <c r="L92" s="55" t="n">
        <f aca="false">L19</f>
        <v>148763.378925</v>
      </c>
      <c r="M92" s="55" t="n">
        <f aca="false">M19</f>
        <v>144301.4985825</v>
      </c>
      <c r="N92" s="55" t="n">
        <f aca="false">N19</f>
        <v>157764.099388219</v>
      </c>
      <c r="O92" s="55" t="n">
        <f aca="false">O19</f>
        <v>164340.323923545</v>
      </c>
      <c r="P92" s="55" t="n">
        <f aca="false">P19</f>
        <v>172557.340119722</v>
      </c>
      <c r="Q92" s="55" t="n">
        <f aca="false">Q19</f>
        <v>181185.207125708</v>
      </c>
      <c r="R92" s="55" t="n">
        <f aca="false">R19</f>
        <v>190244.467481994</v>
      </c>
      <c r="S92" s="55" t="n">
        <f aca="false">S19</f>
        <v>199756.690856094</v>
      </c>
      <c r="T92" s="55" t="n">
        <f aca="false">T19</f>
        <v>209744.525398898</v>
      </c>
      <c r="U92" s="55" t="n">
        <f aca="false">U19</f>
        <v>220231.751668843</v>
      </c>
      <c r="V92" s="55" t="n">
        <f aca="false">V19</f>
        <v>231243.339252285</v>
      </c>
      <c r="W92" s="55" t="n">
        <f aca="false">W19</f>
        <v>242805.5062149</v>
      </c>
      <c r="X92" s="55" t="n">
        <f aca="false">X19</f>
        <v>254945.781525645</v>
      </c>
      <c r="Y92" s="55" t="n">
        <f aca="false">Y19</f>
        <v>267693.070601927</v>
      </c>
      <c r="Z92" s="55" t="n">
        <f aca="false">Z19</f>
        <v>281077.724132023</v>
      </c>
      <c r="AA92" s="55" t="n">
        <f aca="false">AA19</f>
        <v>295131.610338624</v>
      </c>
      <c r="AB92" s="55" t="n">
        <f aca="false">AB19</f>
        <v>309888.190855556</v>
      </c>
      <c r="AC92" s="55" t="n">
        <f aca="false">AC19</f>
        <v>325382.600398333</v>
      </c>
      <c r="AD92" s="55" t="n">
        <f aca="false">AD19</f>
        <v>341651.73041825</v>
      </c>
      <c r="AE92" s="55" t="n">
        <f aca="false">AE19</f>
        <v>358734.316939163</v>
      </c>
      <c r="AF92" s="55" t="n">
        <f aca="false">AF19</f>
        <v>376671.032786121</v>
      </c>
      <c r="AG92" s="55" t="n">
        <f aca="false">AG19</f>
        <v>395504.584425427</v>
      </c>
      <c r="AH92" s="55" t="n">
        <f aca="false">AH19</f>
        <v>415279.813646698</v>
      </c>
      <c r="AI92" s="55" t="n">
        <f aca="false">AI19</f>
        <v>436043.804329033</v>
      </c>
      <c r="AJ92" s="55" t="n">
        <f aca="false">AJ19</f>
        <v>457845.994545485</v>
      </c>
      <c r="AK92" s="55" t="n">
        <f aca="false">AK19</f>
        <v>480738.294272759</v>
      </c>
      <c r="AL92" s="55" t="n">
        <f aca="false">AL19</f>
        <v>504775.208986397</v>
      </c>
    </row>
    <row r="93" customFormat="false" ht="15" hidden="false" customHeight="false" outlineLevel="1" collapsed="false">
      <c r="C93" s="19" t="s">
        <v>775</v>
      </c>
      <c r="D93" s="370"/>
      <c r="E93" s="188" t="n">
        <f aca="false">E19</f>
        <v>5</v>
      </c>
      <c r="F93" s="56"/>
      <c r="G93" s="393"/>
      <c r="H93" s="59" t="e">
        <f aca="true">-MIN(SUM(H91:H92),SUM(OFFSET(H92,0,0,1,-MIN(H$5,$E93)))/MAX(1,$E93))</f>
        <v>#VALUE!</v>
      </c>
      <c r="I93" s="55" t="e">
        <f aca="true">-MIN(I91,SUM(OFFSET(I92,0,-1,1,-MIN(I$5,$E93)))/MAX(1,$E93))</f>
        <v>#VALUE!</v>
      </c>
      <c r="J93" s="55" t="e">
        <f aca="true">-MIN(J91,SUM(OFFSET(J92,0,-1,1,-MIN(J$5,$E93)))/MAX(1,$E93))</f>
        <v>#VALUE!</v>
      </c>
      <c r="K93" s="55" t="e">
        <f aca="true">-MIN(K91,SUM(OFFSET(K92,0,-1,1,-MIN(K$5,$E93)))/MAX(1,$E93))</f>
        <v>#VALUE!</v>
      </c>
      <c r="L93" s="55" t="e">
        <f aca="true">-MIN(L91,SUM(OFFSET(L92,0,-1,1,-MIN(L$5,$E93)))/MAX(1,$E93))</f>
        <v>#VALUE!</v>
      </c>
      <c r="M93" s="55" t="e">
        <f aca="true">-MIN(M91,SUM(OFFSET(M92,0,-1,1,-MIN(M$5,$E93)))/MAX(1,$E93))</f>
        <v>#VALUE!</v>
      </c>
      <c r="N93" s="55" t="e">
        <f aca="true">-MIN(N91,SUM(OFFSET(N92,0,-1,1,-MIN(N$5,$E93)))/MAX(1,$E93))</f>
        <v>#VALUE!</v>
      </c>
      <c r="O93" s="55" t="e">
        <f aca="true">-MIN(O91,SUM(OFFSET(O92,0,-1,1,-MIN(O$5,$E93)))/MAX(1,$E93))</f>
        <v>#VALUE!</v>
      </c>
      <c r="P93" s="55" t="e">
        <f aca="true">-MIN(P91,SUM(OFFSET(P92,0,-1,1,-MIN(P$5,$E93)))/MAX(1,$E93))</f>
        <v>#VALUE!</v>
      </c>
      <c r="Q93" s="55" t="e">
        <f aca="true">-MIN(Q91,SUM(OFFSET(Q92,0,-1,1,-MIN(Q$5,$E93)))/MAX(1,$E93))</f>
        <v>#VALUE!</v>
      </c>
      <c r="R93" s="55" t="e">
        <f aca="true">-MIN(R91,SUM(OFFSET(R92,0,-1,1,-MIN(R$5,$E93)))/MAX(1,$E93))</f>
        <v>#VALUE!</v>
      </c>
      <c r="S93" s="55" t="e">
        <f aca="true">-MIN(S91,SUM(OFFSET(S92,0,-1,1,-MIN(S$5,$E93)))/MAX(1,$E93))</f>
        <v>#VALUE!</v>
      </c>
      <c r="T93" s="55" t="e">
        <f aca="true">-MIN(T91,SUM(OFFSET(T92,0,-1,1,-MIN(T$5,$E93)))/MAX(1,$E93))</f>
        <v>#VALUE!</v>
      </c>
      <c r="U93" s="55" t="e">
        <f aca="true">-MIN(U91,SUM(OFFSET(U92,0,-1,1,-MIN(U$5,$E93)))/MAX(1,$E93))</f>
        <v>#VALUE!</v>
      </c>
      <c r="V93" s="55" t="e">
        <f aca="true">-MIN(V91,SUM(OFFSET(V92,0,-1,1,-MIN(V$5,$E93)))/MAX(1,$E93))</f>
        <v>#VALUE!</v>
      </c>
      <c r="W93" s="55" t="e">
        <f aca="true">-MIN(W91,SUM(OFFSET(W92,0,-1,1,-MIN(W$5,$E93)))/MAX(1,$E93))</f>
        <v>#VALUE!</v>
      </c>
      <c r="X93" s="55" t="e">
        <f aca="true">-MIN(X91,SUM(OFFSET(X92,0,-1,1,-MIN(X$5,$E93)))/MAX(1,$E93))</f>
        <v>#VALUE!</v>
      </c>
      <c r="Y93" s="55" t="e">
        <f aca="true">-MIN(Y91,SUM(OFFSET(Y92,0,-1,1,-MIN(Y$5,$E93)))/MAX(1,$E93))</f>
        <v>#VALUE!</v>
      </c>
      <c r="Z93" s="55" t="e">
        <f aca="true">-MIN(Z91,SUM(OFFSET(Z92,0,-1,1,-MIN(Z$5,$E93)))/MAX(1,$E93))</f>
        <v>#VALUE!</v>
      </c>
      <c r="AA93" s="55" t="e">
        <f aca="true">-MIN(AA91,SUM(OFFSET(AA92,0,-1,1,-MIN(AA$5,$E93)))/MAX(1,$E93))</f>
        <v>#VALUE!</v>
      </c>
      <c r="AB93" s="55" t="e">
        <f aca="true">-MIN(AB91,SUM(OFFSET(AB92,0,-1,1,-MIN(AB$5,$E93)))/MAX(1,$E93))</f>
        <v>#VALUE!</v>
      </c>
      <c r="AC93" s="55" t="e">
        <f aca="true">-MIN(AC91,SUM(OFFSET(AC92,0,-1,1,-MIN(AC$5,$E93)))/MAX(1,$E93))</f>
        <v>#VALUE!</v>
      </c>
      <c r="AD93" s="55" t="e">
        <f aca="true">-MIN(AD91,SUM(OFFSET(AD92,0,-1,1,-MIN(AD$5,$E93)))/MAX(1,$E93))</f>
        <v>#VALUE!</v>
      </c>
      <c r="AE93" s="55" t="e">
        <f aca="true">-MIN(AE91,SUM(OFFSET(AE92,0,-1,1,-MIN(AE$5,$E93)))/MAX(1,$E93))</f>
        <v>#VALUE!</v>
      </c>
      <c r="AF93" s="55" t="e">
        <f aca="true">-MIN(AF91,SUM(OFFSET(AF92,0,-1,1,-MIN(AF$5,$E93)))/MAX(1,$E93))</f>
        <v>#VALUE!</v>
      </c>
      <c r="AG93" s="55" t="e">
        <f aca="true">-MIN(AG91,SUM(OFFSET(AG92,0,-1,1,-MIN(AG$5,$E93)))/MAX(1,$E93))</f>
        <v>#VALUE!</v>
      </c>
      <c r="AH93" s="55" t="e">
        <f aca="true">-MIN(AH91,SUM(OFFSET(AH92,0,-1,1,-MIN(AH$5,$E93)))/MAX(1,$E93))</f>
        <v>#VALUE!</v>
      </c>
      <c r="AI93" s="55" t="e">
        <f aca="true">-MIN(AI91,SUM(OFFSET(AI92,0,-1,1,-MIN(AI$5,$E93)))/MAX(1,$E93))</f>
        <v>#VALUE!</v>
      </c>
      <c r="AJ93" s="55" t="e">
        <f aca="true">-MIN(AJ91,SUM(OFFSET(AJ92,0,-1,1,-MIN(AJ$5,$E93)))/MAX(1,$E93))</f>
        <v>#VALUE!</v>
      </c>
      <c r="AK93" s="55" t="e">
        <f aca="true">-MIN(AK91,SUM(OFFSET(AK92,0,-1,1,-MIN(AK$5,$E93)))/MAX(1,$E93))</f>
        <v>#VALUE!</v>
      </c>
      <c r="AL93" s="55" t="e">
        <f aca="true">-MIN(AL91,SUM(OFFSET(AL92,0,-1,1,-MIN(AL$5,$E93)))/MAX(1,$E93))</f>
        <v>#VALUE!</v>
      </c>
    </row>
    <row r="94" customFormat="false" ht="15" hidden="false" customHeight="false" outlineLevel="1" collapsed="false">
      <c r="C94" s="458" t="s">
        <v>776</v>
      </c>
      <c r="D94" s="459"/>
      <c r="H94" s="55" t="e">
        <f aca="false">SUM(H91:H93)</f>
        <v>#VALUE!</v>
      </c>
      <c r="I94" s="461" t="e">
        <f aca="false">SUM(I91:I93)</f>
        <v>#VALUE!</v>
      </c>
      <c r="J94" s="461" t="e">
        <f aca="false">SUM(J91:J93)</f>
        <v>#VALUE!</v>
      </c>
      <c r="K94" s="461" t="e">
        <f aca="false">SUM(K91:K93)</f>
        <v>#VALUE!</v>
      </c>
      <c r="L94" s="461" t="e">
        <f aca="false">SUM(L91:L93)</f>
        <v>#VALUE!</v>
      </c>
      <c r="M94" s="461" t="e">
        <f aca="false">SUM(M91:M93)</f>
        <v>#VALUE!</v>
      </c>
      <c r="N94" s="461" t="e">
        <f aca="false">SUM(N91:N93)</f>
        <v>#VALUE!</v>
      </c>
      <c r="O94" s="461" t="e">
        <f aca="false">SUM(O91:O93)</f>
        <v>#VALUE!</v>
      </c>
      <c r="P94" s="461" t="e">
        <f aca="false">SUM(P91:P93)</f>
        <v>#VALUE!</v>
      </c>
      <c r="Q94" s="461" t="e">
        <f aca="false">SUM(Q91:Q93)</f>
        <v>#VALUE!</v>
      </c>
      <c r="R94" s="461" t="e">
        <f aca="false">SUM(R91:R93)</f>
        <v>#VALUE!</v>
      </c>
      <c r="S94" s="461" t="e">
        <f aca="false">SUM(S91:S93)</f>
        <v>#VALUE!</v>
      </c>
      <c r="T94" s="461" t="e">
        <f aca="false">SUM(T91:T93)</f>
        <v>#VALUE!</v>
      </c>
      <c r="U94" s="461" t="e">
        <f aca="false">SUM(U91:U93)</f>
        <v>#VALUE!</v>
      </c>
      <c r="V94" s="461" t="e">
        <f aca="false">SUM(V91:V93)</f>
        <v>#VALUE!</v>
      </c>
      <c r="W94" s="461" t="e">
        <f aca="false">SUM(W91:W93)</f>
        <v>#VALUE!</v>
      </c>
      <c r="X94" s="461" t="e">
        <f aca="false">SUM(X91:X93)</f>
        <v>#VALUE!</v>
      </c>
      <c r="Y94" s="461" t="e">
        <f aca="false">SUM(Y91:Y93)</f>
        <v>#VALUE!</v>
      </c>
      <c r="Z94" s="461" t="e">
        <f aca="false">SUM(Z91:Z93)</f>
        <v>#VALUE!</v>
      </c>
      <c r="AA94" s="461" t="e">
        <f aca="false">SUM(AA91:AA93)</f>
        <v>#VALUE!</v>
      </c>
      <c r="AB94" s="461" t="e">
        <f aca="false">SUM(AB91:AB93)</f>
        <v>#VALUE!</v>
      </c>
      <c r="AC94" s="461" t="e">
        <f aca="false">SUM(AC91:AC93)</f>
        <v>#VALUE!</v>
      </c>
      <c r="AD94" s="461" t="e">
        <f aca="false">SUM(AD91:AD93)</f>
        <v>#VALUE!</v>
      </c>
      <c r="AE94" s="461" t="e">
        <f aca="false">SUM(AE91:AE93)</f>
        <v>#VALUE!</v>
      </c>
      <c r="AF94" s="461" t="e">
        <f aca="false">SUM(AF91:AF93)</f>
        <v>#VALUE!</v>
      </c>
      <c r="AG94" s="461" t="e">
        <f aca="false">SUM(AG91:AG93)</f>
        <v>#VALUE!</v>
      </c>
      <c r="AH94" s="461" t="e">
        <f aca="false">SUM(AH91:AH93)</f>
        <v>#VALUE!</v>
      </c>
      <c r="AI94" s="461" t="e">
        <f aca="false">SUM(AI91:AI93)</f>
        <v>#VALUE!</v>
      </c>
      <c r="AJ94" s="461" t="e">
        <f aca="false">SUM(AJ91:AJ93)</f>
        <v>#VALUE!</v>
      </c>
      <c r="AK94" s="461" t="e">
        <f aca="false">SUM(AK91:AK93)</f>
        <v>#VALUE!</v>
      </c>
      <c r="AL94" s="461" t="e">
        <f aca="false">SUM(AL91:AL93)</f>
        <v>#VALUE!</v>
      </c>
    </row>
    <row r="95" customFormat="false" ht="15" hidden="false" customHeight="false" outlineLevel="1" collapsed="false">
      <c r="B95" s="13"/>
      <c r="C95" s="13"/>
      <c r="D95" s="30"/>
      <c r="E95" s="30"/>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row>
    <row r="96" customFormat="false" ht="15" hidden="false" customHeight="false" outlineLevel="1" collapsed="false">
      <c r="B96" s="13" t="n">
        <f aca="false">B90+1</f>
        <v>13</v>
      </c>
      <c r="C96" s="456" t="str">
        <f aca="false">C20</f>
        <v>Productive Activities OH - Vehicles</v>
      </c>
      <c r="D96" s="456"/>
    </row>
    <row r="97" customFormat="false" ht="15" hidden="false" customHeight="false" outlineLevel="1" collapsed="false">
      <c r="C97" s="19" t="s">
        <v>773</v>
      </c>
      <c r="D97" s="370"/>
      <c r="H97" s="55" t="n">
        <f aca="false">0</f>
        <v>0</v>
      </c>
      <c r="I97" s="55" t="e">
        <f aca="false">H100</f>
        <v>#VALUE!</v>
      </c>
      <c r="J97" s="55" t="e">
        <f aca="false">I100</f>
        <v>#VALUE!</v>
      </c>
      <c r="K97" s="55" t="e">
        <f aca="false">J100</f>
        <v>#VALUE!</v>
      </c>
      <c r="L97" s="55" t="e">
        <f aca="false">K100</f>
        <v>#VALUE!</v>
      </c>
      <c r="M97" s="55" t="e">
        <f aca="false">L100</f>
        <v>#VALUE!</v>
      </c>
      <c r="N97" s="55" t="e">
        <f aca="false">M100</f>
        <v>#VALUE!</v>
      </c>
      <c r="O97" s="55" t="e">
        <f aca="false">N100</f>
        <v>#VALUE!</v>
      </c>
      <c r="P97" s="55" t="e">
        <f aca="false">O100</f>
        <v>#VALUE!</v>
      </c>
      <c r="Q97" s="55" t="e">
        <f aca="false">P100</f>
        <v>#VALUE!</v>
      </c>
      <c r="R97" s="55" t="e">
        <f aca="false">Q100</f>
        <v>#VALUE!</v>
      </c>
      <c r="S97" s="55" t="e">
        <f aca="false">R100</f>
        <v>#VALUE!</v>
      </c>
      <c r="T97" s="55" t="e">
        <f aca="false">S100</f>
        <v>#VALUE!</v>
      </c>
      <c r="U97" s="55" t="e">
        <f aca="false">T100</f>
        <v>#VALUE!</v>
      </c>
      <c r="V97" s="55" t="e">
        <f aca="false">U100</f>
        <v>#VALUE!</v>
      </c>
      <c r="W97" s="55" t="e">
        <f aca="false">V100</f>
        <v>#VALUE!</v>
      </c>
      <c r="X97" s="55" t="e">
        <f aca="false">W100</f>
        <v>#VALUE!</v>
      </c>
      <c r="Y97" s="55" t="e">
        <f aca="false">X100</f>
        <v>#VALUE!</v>
      </c>
      <c r="Z97" s="55" t="e">
        <f aca="false">Y100</f>
        <v>#VALUE!</v>
      </c>
      <c r="AA97" s="55" t="e">
        <f aca="false">Z100</f>
        <v>#VALUE!</v>
      </c>
      <c r="AB97" s="55" t="e">
        <f aca="false">AA100</f>
        <v>#VALUE!</v>
      </c>
      <c r="AC97" s="55" t="e">
        <f aca="false">AB100</f>
        <v>#VALUE!</v>
      </c>
      <c r="AD97" s="55" t="e">
        <f aca="false">AC100</f>
        <v>#VALUE!</v>
      </c>
      <c r="AE97" s="55" t="e">
        <f aca="false">AD100</f>
        <v>#VALUE!</v>
      </c>
      <c r="AF97" s="55" t="e">
        <f aca="false">AE100</f>
        <v>#VALUE!</v>
      </c>
      <c r="AG97" s="55" t="e">
        <f aca="false">AF100</f>
        <v>#VALUE!</v>
      </c>
      <c r="AH97" s="55" t="e">
        <f aca="false">AG100</f>
        <v>#VALUE!</v>
      </c>
      <c r="AI97" s="55" t="e">
        <f aca="false">AH100</f>
        <v>#VALUE!</v>
      </c>
      <c r="AJ97" s="55" t="e">
        <f aca="false">AI100</f>
        <v>#VALUE!</v>
      </c>
      <c r="AK97" s="55" t="e">
        <f aca="false">AJ100</f>
        <v>#VALUE!</v>
      </c>
      <c r="AL97" s="55" t="e">
        <f aca="false">AK100</f>
        <v>#VALUE!</v>
      </c>
    </row>
    <row r="98" customFormat="false" ht="15" hidden="false" customHeight="false" outlineLevel="1" collapsed="false">
      <c r="C98" s="19" t="s">
        <v>774</v>
      </c>
      <c r="D98" s="370"/>
      <c r="H98" s="55" t="n">
        <f aca="false">H20</f>
        <v>76500</v>
      </c>
      <c r="I98" s="55" t="n">
        <f aca="false">I20</f>
        <v>78030</v>
      </c>
      <c r="J98" s="55" t="n">
        <f aca="false">J20</f>
        <v>79590.6</v>
      </c>
      <c r="K98" s="55" t="n">
        <f aca="false">K20</f>
        <v>81182.412</v>
      </c>
      <c r="L98" s="55" t="n">
        <f aca="false">L20</f>
        <v>82806.06024</v>
      </c>
      <c r="M98" s="55" t="n">
        <f aca="false">M20</f>
        <v>84462.1814448</v>
      </c>
      <c r="N98" s="55" t="n">
        <f aca="false">N20</f>
        <v>86151.425073696</v>
      </c>
      <c r="O98" s="55" t="n">
        <f aca="false">O20</f>
        <v>87874.4535751699</v>
      </c>
      <c r="P98" s="55" t="n">
        <f aca="false">P20</f>
        <v>89631.9426466733</v>
      </c>
      <c r="Q98" s="55" t="n">
        <f aca="false">Q20</f>
        <v>91424.5814996068</v>
      </c>
      <c r="R98" s="55" t="n">
        <f aca="false">R20</f>
        <v>93253.0731295989</v>
      </c>
      <c r="S98" s="55" t="n">
        <f aca="false">S20</f>
        <v>95118.1345921909</v>
      </c>
      <c r="T98" s="55" t="n">
        <f aca="false">T20</f>
        <v>97020.4972840347</v>
      </c>
      <c r="U98" s="55" t="n">
        <f aca="false">U20</f>
        <v>98960.9072297154</v>
      </c>
      <c r="V98" s="55" t="n">
        <f aca="false">V20</f>
        <v>100940.12537431</v>
      </c>
      <c r="W98" s="55" t="n">
        <f aca="false">W20</f>
        <v>102958.927881796</v>
      </c>
      <c r="X98" s="55" t="n">
        <f aca="false">X20</f>
        <v>105018.106439432</v>
      </c>
      <c r="Y98" s="55" t="n">
        <f aca="false">Y20</f>
        <v>107118.46856822</v>
      </c>
      <c r="Z98" s="55" t="n">
        <f aca="false">Z20</f>
        <v>109260.837939585</v>
      </c>
      <c r="AA98" s="55" t="n">
        <f aca="false">AA20</f>
        <v>111446.054698377</v>
      </c>
      <c r="AB98" s="55" t="n">
        <f aca="false">AB20</f>
        <v>113674.975792344</v>
      </c>
      <c r="AC98" s="55" t="n">
        <f aca="false">AC20</f>
        <v>115948.475308191</v>
      </c>
      <c r="AD98" s="55" t="n">
        <f aca="false">AD20</f>
        <v>118267.444814355</v>
      </c>
      <c r="AE98" s="55" t="n">
        <f aca="false">AE20</f>
        <v>120632.793710642</v>
      </c>
      <c r="AF98" s="55" t="n">
        <f aca="false">AF20</f>
        <v>123045.449584855</v>
      </c>
      <c r="AG98" s="55" t="n">
        <f aca="false">AG20</f>
        <v>125506.358576552</v>
      </c>
      <c r="AH98" s="55" t="n">
        <f aca="false">AH20</f>
        <v>128016.485748083</v>
      </c>
      <c r="AI98" s="55" t="n">
        <f aca="false">AI20</f>
        <v>130576.815463045</v>
      </c>
      <c r="AJ98" s="55" t="n">
        <f aca="false">AJ20</f>
        <v>133188.351772305</v>
      </c>
      <c r="AK98" s="55" t="n">
        <f aca="false">AK20</f>
        <v>135852.118807752</v>
      </c>
      <c r="AL98" s="55" t="n">
        <f aca="false">AL20</f>
        <v>138569.161183907</v>
      </c>
    </row>
    <row r="99" customFormat="false" ht="15" hidden="false" customHeight="false" outlineLevel="1" collapsed="false">
      <c r="C99" s="19" t="s">
        <v>775</v>
      </c>
      <c r="D99" s="370"/>
      <c r="E99" s="188" t="n">
        <f aca="false">E20</f>
        <v>5</v>
      </c>
      <c r="F99" s="56"/>
      <c r="G99" s="393"/>
      <c r="H99" s="59" t="e">
        <f aca="true">-MIN(SUM(H97:H98),SUM(OFFSET(H98,0,0,1,-MIN(H$5,$E99)))/MAX(1,$E99))</f>
        <v>#VALUE!</v>
      </c>
      <c r="I99" s="55" t="e">
        <f aca="true">-MIN(I97,SUM(OFFSET(I98,0,-1,1,-MIN(I$5,$E99)))/MAX(1,$E99))</f>
        <v>#VALUE!</v>
      </c>
      <c r="J99" s="55" t="e">
        <f aca="true">-MIN(J97,SUM(OFFSET(J98,0,-1,1,-MIN(J$5,$E99)))/MAX(1,$E99))</f>
        <v>#VALUE!</v>
      </c>
      <c r="K99" s="55" t="e">
        <f aca="true">-MIN(K97,SUM(OFFSET(K98,0,-1,1,-MIN(K$5,$E99)))/MAX(1,$E99))</f>
        <v>#VALUE!</v>
      </c>
      <c r="L99" s="55" t="e">
        <f aca="true">-MIN(L97,SUM(OFFSET(L98,0,-1,1,-MIN(L$5,$E99)))/MAX(1,$E99))</f>
        <v>#VALUE!</v>
      </c>
      <c r="M99" s="55" t="e">
        <f aca="true">-MIN(M97,SUM(OFFSET(M98,0,-1,1,-MIN(M$5,$E99)))/MAX(1,$E99))</f>
        <v>#VALUE!</v>
      </c>
      <c r="N99" s="55" t="e">
        <f aca="true">-MIN(N97,SUM(OFFSET(N98,0,-1,1,-MIN(N$5,$E99)))/MAX(1,$E99))</f>
        <v>#VALUE!</v>
      </c>
      <c r="O99" s="55" t="e">
        <f aca="true">-MIN(O97,SUM(OFFSET(O98,0,-1,1,-MIN(O$5,$E99)))/MAX(1,$E99))</f>
        <v>#VALUE!</v>
      </c>
      <c r="P99" s="55" t="e">
        <f aca="true">-MIN(P97,SUM(OFFSET(P98,0,-1,1,-MIN(P$5,$E99)))/MAX(1,$E99))</f>
        <v>#VALUE!</v>
      </c>
      <c r="Q99" s="55" t="e">
        <f aca="true">-MIN(Q97,SUM(OFFSET(Q98,0,-1,1,-MIN(Q$5,$E99)))/MAX(1,$E99))</f>
        <v>#VALUE!</v>
      </c>
      <c r="R99" s="55" t="e">
        <f aca="true">-MIN(R97,SUM(OFFSET(R98,0,-1,1,-MIN(R$5,$E99)))/MAX(1,$E99))</f>
        <v>#VALUE!</v>
      </c>
      <c r="S99" s="55" t="e">
        <f aca="true">-MIN(S97,SUM(OFFSET(S98,0,-1,1,-MIN(S$5,$E99)))/MAX(1,$E99))</f>
        <v>#VALUE!</v>
      </c>
      <c r="T99" s="55" t="e">
        <f aca="true">-MIN(T97,SUM(OFFSET(T98,0,-1,1,-MIN(T$5,$E99)))/MAX(1,$E99))</f>
        <v>#VALUE!</v>
      </c>
      <c r="U99" s="55" t="e">
        <f aca="true">-MIN(U97,SUM(OFFSET(U98,0,-1,1,-MIN(U$5,$E99)))/MAX(1,$E99))</f>
        <v>#VALUE!</v>
      </c>
      <c r="V99" s="55" t="e">
        <f aca="true">-MIN(V97,SUM(OFFSET(V98,0,-1,1,-MIN(V$5,$E99)))/MAX(1,$E99))</f>
        <v>#VALUE!</v>
      </c>
      <c r="W99" s="55" t="e">
        <f aca="true">-MIN(W97,SUM(OFFSET(W98,0,-1,1,-MIN(W$5,$E99)))/MAX(1,$E99))</f>
        <v>#VALUE!</v>
      </c>
      <c r="X99" s="55" t="e">
        <f aca="true">-MIN(X97,SUM(OFFSET(X98,0,-1,1,-MIN(X$5,$E99)))/MAX(1,$E99))</f>
        <v>#VALUE!</v>
      </c>
      <c r="Y99" s="55" t="e">
        <f aca="true">-MIN(Y97,SUM(OFFSET(Y98,0,-1,1,-MIN(Y$5,$E99)))/MAX(1,$E99))</f>
        <v>#VALUE!</v>
      </c>
      <c r="Z99" s="55" t="e">
        <f aca="true">-MIN(Z97,SUM(OFFSET(Z98,0,-1,1,-MIN(Z$5,$E99)))/MAX(1,$E99))</f>
        <v>#VALUE!</v>
      </c>
      <c r="AA99" s="55" t="e">
        <f aca="true">-MIN(AA97,SUM(OFFSET(AA98,0,-1,1,-MIN(AA$5,$E99)))/MAX(1,$E99))</f>
        <v>#VALUE!</v>
      </c>
      <c r="AB99" s="55" t="e">
        <f aca="true">-MIN(AB97,SUM(OFFSET(AB98,0,-1,1,-MIN(AB$5,$E99)))/MAX(1,$E99))</f>
        <v>#VALUE!</v>
      </c>
      <c r="AC99" s="55" t="e">
        <f aca="true">-MIN(AC97,SUM(OFFSET(AC98,0,-1,1,-MIN(AC$5,$E99)))/MAX(1,$E99))</f>
        <v>#VALUE!</v>
      </c>
      <c r="AD99" s="55" t="e">
        <f aca="true">-MIN(AD97,SUM(OFFSET(AD98,0,-1,1,-MIN(AD$5,$E99)))/MAX(1,$E99))</f>
        <v>#VALUE!</v>
      </c>
      <c r="AE99" s="55" t="e">
        <f aca="true">-MIN(AE97,SUM(OFFSET(AE98,0,-1,1,-MIN(AE$5,$E99)))/MAX(1,$E99))</f>
        <v>#VALUE!</v>
      </c>
      <c r="AF99" s="55" t="e">
        <f aca="true">-MIN(AF97,SUM(OFFSET(AF98,0,-1,1,-MIN(AF$5,$E99)))/MAX(1,$E99))</f>
        <v>#VALUE!</v>
      </c>
      <c r="AG99" s="55" t="e">
        <f aca="true">-MIN(AG97,SUM(OFFSET(AG98,0,-1,1,-MIN(AG$5,$E99)))/MAX(1,$E99))</f>
        <v>#VALUE!</v>
      </c>
      <c r="AH99" s="55" t="e">
        <f aca="true">-MIN(AH97,SUM(OFFSET(AH98,0,-1,1,-MIN(AH$5,$E99)))/MAX(1,$E99))</f>
        <v>#VALUE!</v>
      </c>
      <c r="AI99" s="55" t="e">
        <f aca="true">-MIN(AI97,SUM(OFFSET(AI98,0,-1,1,-MIN(AI$5,$E99)))/MAX(1,$E99))</f>
        <v>#VALUE!</v>
      </c>
      <c r="AJ99" s="55" t="e">
        <f aca="true">-MIN(AJ97,SUM(OFFSET(AJ98,0,-1,1,-MIN(AJ$5,$E99)))/MAX(1,$E99))</f>
        <v>#VALUE!</v>
      </c>
      <c r="AK99" s="55" t="e">
        <f aca="true">-MIN(AK97,SUM(OFFSET(AK98,0,-1,1,-MIN(AK$5,$E99)))/MAX(1,$E99))</f>
        <v>#VALUE!</v>
      </c>
      <c r="AL99" s="55" t="e">
        <f aca="true">-MIN(AL97,SUM(OFFSET(AL98,0,-1,1,-MIN(AL$5,$E99)))/MAX(1,$E99))</f>
        <v>#VALUE!</v>
      </c>
    </row>
    <row r="100" customFormat="false" ht="15" hidden="false" customHeight="false" outlineLevel="1" collapsed="false">
      <c r="C100" s="458" t="s">
        <v>776</v>
      </c>
      <c r="D100" s="459"/>
      <c r="H100" s="55" t="e">
        <f aca="false">SUM(H97:H99)</f>
        <v>#VALUE!</v>
      </c>
      <c r="I100" s="461" t="e">
        <f aca="false">SUM(I97:I99)</f>
        <v>#VALUE!</v>
      </c>
      <c r="J100" s="461" t="e">
        <f aca="false">SUM(J97:J99)</f>
        <v>#VALUE!</v>
      </c>
      <c r="K100" s="461" t="e">
        <f aca="false">SUM(K97:K99)</f>
        <v>#VALUE!</v>
      </c>
      <c r="L100" s="461" t="e">
        <f aca="false">SUM(L97:L99)</f>
        <v>#VALUE!</v>
      </c>
      <c r="M100" s="461" t="e">
        <f aca="false">SUM(M97:M99)</f>
        <v>#VALUE!</v>
      </c>
      <c r="N100" s="461" t="e">
        <f aca="false">SUM(N97:N99)</f>
        <v>#VALUE!</v>
      </c>
      <c r="O100" s="461" t="e">
        <f aca="false">SUM(O97:O99)</f>
        <v>#VALUE!</v>
      </c>
      <c r="P100" s="461" t="e">
        <f aca="false">SUM(P97:P99)</f>
        <v>#VALUE!</v>
      </c>
      <c r="Q100" s="461" t="e">
        <f aca="false">SUM(Q97:Q99)</f>
        <v>#VALUE!</v>
      </c>
      <c r="R100" s="461" t="e">
        <f aca="false">SUM(R97:R99)</f>
        <v>#VALUE!</v>
      </c>
      <c r="S100" s="461" t="e">
        <f aca="false">SUM(S97:S99)</f>
        <v>#VALUE!</v>
      </c>
      <c r="T100" s="461" t="e">
        <f aca="false">SUM(T97:T99)</f>
        <v>#VALUE!</v>
      </c>
      <c r="U100" s="461" t="e">
        <f aca="false">SUM(U97:U99)</f>
        <v>#VALUE!</v>
      </c>
      <c r="V100" s="461" t="e">
        <f aca="false">SUM(V97:V99)</f>
        <v>#VALUE!</v>
      </c>
      <c r="W100" s="461" t="e">
        <f aca="false">SUM(W97:W99)</f>
        <v>#VALUE!</v>
      </c>
      <c r="X100" s="461" t="e">
        <f aca="false">SUM(X97:X99)</f>
        <v>#VALUE!</v>
      </c>
      <c r="Y100" s="461" t="e">
        <f aca="false">SUM(Y97:Y99)</f>
        <v>#VALUE!</v>
      </c>
      <c r="Z100" s="461" t="e">
        <f aca="false">SUM(Z97:Z99)</f>
        <v>#VALUE!</v>
      </c>
      <c r="AA100" s="461" t="e">
        <f aca="false">SUM(AA97:AA99)</f>
        <v>#VALUE!</v>
      </c>
      <c r="AB100" s="461" t="e">
        <f aca="false">SUM(AB97:AB99)</f>
        <v>#VALUE!</v>
      </c>
      <c r="AC100" s="461" t="e">
        <f aca="false">SUM(AC97:AC99)</f>
        <v>#VALUE!</v>
      </c>
      <c r="AD100" s="461" t="e">
        <f aca="false">SUM(AD97:AD99)</f>
        <v>#VALUE!</v>
      </c>
      <c r="AE100" s="461" t="e">
        <f aca="false">SUM(AE97:AE99)</f>
        <v>#VALUE!</v>
      </c>
      <c r="AF100" s="461" t="e">
        <f aca="false">SUM(AF97:AF99)</f>
        <v>#VALUE!</v>
      </c>
      <c r="AG100" s="461" t="e">
        <f aca="false">SUM(AG97:AG99)</f>
        <v>#VALUE!</v>
      </c>
      <c r="AH100" s="461" t="e">
        <f aca="false">SUM(AH97:AH99)</f>
        <v>#VALUE!</v>
      </c>
      <c r="AI100" s="461" t="e">
        <f aca="false">SUM(AI97:AI99)</f>
        <v>#VALUE!</v>
      </c>
      <c r="AJ100" s="461" t="e">
        <f aca="false">SUM(AJ97:AJ99)</f>
        <v>#VALUE!</v>
      </c>
      <c r="AK100" s="461" t="e">
        <f aca="false">SUM(AK97:AK99)</f>
        <v>#VALUE!</v>
      </c>
      <c r="AL100" s="461" t="e">
        <f aca="false">SUM(AL97:AL99)</f>
        <v>#VALUE!</v>
      </c>
    </row>
    <row r="101" customFormat="false" ht="15" hidden="false" customHeight="false" outlineLevel="1" collapsed="false">
      <c r="B101" s="13"/>
      <c r="C101" s="13"/>
      <c r="D101" s="30"/>
      <c r="E101" s="30"/>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row>
    <row r="102" customFormat="false" ht="15" hidden="false" customHeight="false" outlineLevel="1" collapsed="false">
      <c r="B102" s="13"/>
      <c r="C102" s="13" t="s">
        <v>777</v>
      </c>
      <c r="D102" s="30"/>
      <c r="E102" s="30"/>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row>
    <row r="103" customFormat="false" ht="15" hidden="false" customHeight="false" outlineLevel="1" collapsed="false">
      <c r="B103" s="13"/>
      <c r="C103" s="370" t="str">
        <f aca="false">C8</f>
        <v>Nursery - Land</v>
      </c>
      <c r="D103" s="30"/>
      <c r="E103" s="462" t="str">
        <f aca="false">E27</f>
        <v>n/a</v>
      </c>
      <c r="H103" s="55" t="n">
        <f aca="false">H27</f>
        <v>0</v>
      </c>
      <c r="I103" s="55" t="n">
        <f aca="false">I27</f>
        <v>0</v>
      </c>
      <c r="J103" s="55" t="n">
        <f aca="false">J27</f>
        <v>0</v>
      </c>
      <c r="K103" s="55" t="n">
        <f aca="false">K27</f>
        <v>0</v>
      </c>
      <c r="L103" s="55" t="n">
        <f aca="false">L27</f>
        <v>0</v>
      </c>
      <c r="M103" s="55" t="n">
        <f aca="false">M27</f>
        <v>0</v>
      </c>
      <c r="N103" s="55" t="n">
        <f aca="false">N27</f>
        <v>0</v>
      </c>
      <c r="O103" s="55" t="n">
        <f aca="false">O27</f>
        <v>0</v>
      </c>
      <c r="P103" s="55" t="n">
        <f aca="false">P27</f>
        <v>0</v>
      </c>
      <c r="Q103" s="55" t="n">
        <f aca="false">Q27</f>
        <v>0</v>
      </c>
      <c r="R103" s="55" t="n">
        <f aca="false">R27</f>
        <v>0</v>
      </c>
      <c r="S103" s="55" t="n">
        <f aca="false">S27</f>
        <v>0</v>
      </c>
      <c r="T103" s="55" t="n">
        <f aca="false">T27</f>
        <v>0</v>
      </c>
      <c r="U103" s="55" t="n">
        <f aca="false">U27</f>
        <v>0</v>
      </c>
      <c r="V103" s="55" t="n">
        <f aca="false">V27</f>
        <v>0</v>
      </c>
      <c r="W103" s="55" t="n">
        <f aca="false">W27</f>
        <v>0</v>
      </c>
      <c r="X103" s="55" t="n">
        <f aca="false">X27</f>
        <v>0</v>
      </c>
      <c r="Y103" s="55" t="n">
        <f aca="false">Y27</f>
        <v>0</v>
      </c>
      <c r="Z103" s="55" t="n">
        <f aca="false">Z27</f>
        <v>0</v>
      </c>
      <c r="AA103" s="55" t="n">
        <f aca="false">AA27</f>
        <v>0</v>
      </c>
      <c r="AB103" s="55" t="n">
        <f aca="false">AB27</f>
        <v>0</v>
      </c>
      <c r="AC103" s="55" t="n">
        <f aca="false">AC27</f>
        <v>0</v>
      </c>
      <c r="AD103" s="55" t="n">
        <f aca="false">AD27</f>
        <v>0</v>
      </c>
      <c r="AE103" s="55" t="n">
        <f aca="false">AE27</f>
        <v>0</v>
      </c>
      <c r="AF103" s="55" t="n">
        <f aca="false">AF27</f>
        <v>0</v>
      </c>
      <c r="AG103" s="55" t="n">
        <f aca="false">AG27</f>
        <v>0</v>
      </c>
      <c r="AH103" s="55" t="n">
        <f aca="false">AH27</f>
        <v>0</v>
      </c>
      <c r="AI103" s="55" t="n">
        <f aca="false">AI27</f>
        <v>0</v>
      </c>
      <c r="AJ103" s="55" t="n">
        <f aca="false">AJ27</f>
        <v>0</v>
      </c>
      <c r="AK103" s="55" t="n">
        <f aca="false">AK27</f>
        <v>0</v>
      </c>
      <c r="AL103" s="55" t="n">
        <f aca="false">AL27</f>
        <v>0</v>
      </c>
    </row>
    <row r="104" customFormat="false" ht="15" hidden="false" customHeight="false" outlineLevel="1" collapsed="false">
      <c r="B104" s="13"/>
      <c r="C104" s="370" t="str">
        <f aca="false">C9</f>
        <v>Nursery - Buildings</v>
      </c>
      <c r="D104" s="30"/>
      <c r="E104" s="462" t="n">
        <f aca="false">E33</f>
        <v>8</v>
      </c>
      <c r="H104" s="55" t="e">
        <f aca="false">H33</f>
        <v>#VALUE!</v>
      </c>
      <c r="I104" s="55" t="e">
        <f aca="false">I33</f>
        <v>#VALUE!</v>
      </c>
      <c r="J104" s="55" t="e">
        <f aca="false">J33</f>
        <v>#VALUE!</v>
      </c>
      <c r="K104" s="55" t="e">
        <f aca="false">K33</f>
        <v>#VALUE!</v>
      </c>
      <c r="L104" s="55" t="e">
        <f aca="false">L33</f>
        <v>#VALUE!</v>
      </c>
      <c r="M104" s="55" t="e">
        <f aca="false">M33</f>
        <v>#VALUE!</v>
      </c>
      <c r="N104" s="55" t="e">
        <f aca="false">N33</f>
        <v>#VALUE!</v>
      </c>
      <c r="O104" s="55" t="e">
        <f aca="false">O33</f>
        <v>#VALUE!</v>
      </c>
      <c r="P104" s="55" t="e">
        <f aca="false">P33</f>
        <v>#VALUE!</v>
      </c>
      <c r="Q104" s="55" t="e">
        <f aca="false">Q33</f>
        <v>#VALUE!</v>
      </c>
      <c r="R104" s="55" t="e">
        <f aca="false">R33</f>
        <v>#VALUE!</v>
      </c>
      <c r="S104" s="55" t="e">
        <f aca="false">S33</f>
        <v>#VALUE!</v>
      </c>
      <c r="T104" s="55" t="e">
        <f aca="false">T33</f>
        <v>#VALUE!</v>
      </c>
      <c r="U104" s="55" t="e">
        <f aca="false">U33</f>
        <v>#VALUE!</v>
      </c>
      <c r="V104" s="55" t="e">
        <f aca="false">V33</f>
        <v>#VALUE!</v>
      </c>
      <c r="W104" s="55" t="e">
        <f aca="false">W33</f>
        <v>#VALUE!</v>
      </c>
      <c r="X104" s="55" t="e">
        <f aca="false">X33</f>
        <v>#VALUE!</v>
      </c>
      <c r="Y104" s="55" t="e">
        <f aca="false">Y33</f>
        <v>#VALUE!</v>
      </c>
      <c r="Z104" s="55" t="e">
        <f aca="false">Z33</f>
        <v>#VALUE!</v>
      </c>
      <c r="AA104" s="55" t="e">
        <f aca="false">AA33</f>
        <v>#VALUE!</v>
      </c>
      <c r="AB104" s="55" t="e">
        <f aca="false">AB33</f>
        <v>#VALUE!</v>
      </c>
      <c r="AC104" s="55" t="e">
        <f aca="false">AC33</f>
        <v>#VALUE!</v>
      </c>
      <c r="AD104" s="55" t="e">
        <f aca="false">AD33</f>
        <v>#VALUE!</v>
      </c>
      <c r="AE104" s="55" t="e">
        <f aca="false">AE33</f>
        <v>#VALUE!</v>
      </c>
      <c r="AF104" s="55" t="e">
        <f aca="false">AF33</f>
        <v>#VALUE!</v>
      </c>
      <c r="AG104" s="55" t="e">
        <f aca="false">AG33</f>
        <v>#VALUE!</v>
      </c>
      <c r="AH104" s="55" t="e">
        <f aca="false">AH33</f>
        <v>#VALUE!</v>
      </c>
      <c r="AI104" s="55" t="e">
        <f aca="false">AI33</f>
        <v>#VALUE!</v>
      </c>
      <c r="AJ104" s="55" t="e">
        <f aca="false">AJ33</f>
        <v>#VALUE!</v>
      </c>
      <c r="AK104" s="55" t="e">
        <f aca="false">AK33</f>
        <v>#VALUE!</v>
      </c>
      <c r="AL104" s="55" t="e">
        <f aca="false">AL33</f>
        <v>#VALUE!</v>
      </c>
    </row>
    <row r="105" customFormat="false" ht="15" hidden="false" customHeight="false" outlineLevel="1" collapsed="false">
      <c r="B105" s="13"/>
      <c r="C105" s="370" t="str">
        <f aca="false">C10</f>
        <v>Nursery - Vehicles</v>
      </c>
      <c r="D105" s="30"/>
      <c r="E105" s="462" t="n">
        <f aca="false">E39</f>
        <v>10</v>
      </c>
      <c r="H105" s="55" t="e">
        <f aca="false">H39</f>
        <v>#VALUE!</v>
      </c>
      <c r="I105" s="55" t="e">
        <f aca="false">I39</f>
        <v>#VALUE!</v>
      </c>
      <c r="J105" s="55" t="e">
        <f aca="false">J39</f>
        <v>#VALUE!</v>
      </c>
      <c r="K105" s="55" t="e">
        <f aca="false">K39</f>
        <v>#VALUE!</v>
      </c>
      <c r="L105" s="55" t="e">
        <f aca="false">L39</f>
        <v>#VALUE!</v>
      </c>
      <c r="M105" s="55" t="e">
        <f aca="false">M39</f>
        <v>#VALUE!</v>
      </c>
      <c r="N105" s="55" t="e">
        <f aca="false">N39</f>
        <v>#VALUE!</v>
      </c>
      <c r="O105" s="55" t="e">
        <f aca="false">O39</f>
        <v>#VALUE!</v>
      </c>
      <c r="P105" s="55" t="e">
        <f aca="false">P39</f>
        <v>#VALUE!</v>
      </c>
      <c r="Q105" s="55" t="e">
        <f aca="false">Q39</f>
        <v>#VALUE!</v>
      </c>
      <c r="R105" s="55" t="e">
        <f aca="false">R39</f>
        <v>#VALUE!</v>
      </c>
      <c r="S105" s="55" t="e">
        <f aca="false">S39</f>
        <v>#VALUE!</v>
      </c>
      <c r="T105" s="55" t="e">
        <f aca="false">T39</f>
        <v>#VALUE!</v>
      </c>
      <c r="U105" s="55" t="e">
        <f aca="false">U39</f>
        <v>#VALUE!</v>
      </c>
      <c r="V105" s="55" t="e">
        <f aca="false">V39</f>
        <v>#VALUE!</v>
      </c>
      <c r="W105" s="55" t="e">
        <f aca="false">W39</f>
        <v>#VALUE!</v>
      </c>
      <c r="X105" s="55" t="e">
        <f aca="false">X39</f>
        <v>#VALUE!</v>
      </c>
      <c r="Y105" s="55" t="e">
        <f aca="false">Y39</f>
        <v>#VALUE!</v>
      </c>
      <c r="Z105" s="55" t="e">
        <f aca="false">Z39</f>
        <v>#VALUE!</v>
      </c>
      <c r="AA105" s="55" t="e">
        <f aca="false">AA39</f>
        <v>#VALUE!</v>
      </c>
      <c r="AB105" s="55" t="e">
        <f aca="false">AB39</f>
        <v>#VALUE!</v>
      </c>
      <c r="AC105" s="55" t="e">
        <f aca="false">AC39</f>
        <v>#VALUE!</v>
      </c>
      <c r="AD105" s="55" t="e">
        <f aca="false">AD39</f>
        <v>#VALUE!</v>
      </c>
      <c r="AE105" s="55" t="e">
        <f aca="false">AE39</f>
        <v>#VALUE!</v>
      </c>
      <c r="AF105" s="55" t="e">
        <f aca="false">AF39</f>
        <v>#VALUE!</v>
      </c>
      <c r="AG105" s="55" t="e">
        <f aca="false">AG39</f>
        <v>#VALUE!</v>
      </c>
      <c r="AH105" s="55" t="e">
        <f aca="false">AH39</f>
        <v>#VALUE!</v>
      </c>
      <c r="AI105" s="55" t="e">
        <f aca="false">AI39</f>
        <v>#VALUE!</v>
      </c>
      <c r="AJ105" s="55" t="e">
        <f aca="false">AJ39</f>
        <v>#VALUE!</v>
      </c>
      <c r="AK105" s="55" t="e">
        <f aca="false">AK39</f>
        <v>#VALUE!</v>
      </c>
      <c r="AL105" s="55" t="e">
        <f aca="false">AL39</f>
        <v>#VALUE!</v>
      </c>
    </row>
    <row r="106" customFormat="false" ht="15" hidden="false" customHeight="false" outlineLevel="1" collapsed="false">
      <c r="B106" s="13"/>
      <c r="C106" s="370" t="str">
        <f aca="false">C11</f>
        <v>Nursery - Irrigation</v>
      </c>
      <c r="D106" s="30"/>
      <c r="E106" s="462" t="n">
        <f aca="false">E45</f>
        <v>10</v>
      </c>
      <c r="H106" s="55" t="e">
        <f aca="false">H45</f>
        <v>#VALUE!</v>
      </c>
      <c r="I106" s="55" t="e">
        <f aca="false">I45</f>
        <v>#VALUE!</v>
      </c>
      <c r="J106" s="55" t="e">
        <f aca="false">J45</f>
        <v>#VALUE!</v>
      </c>
      <c r="K106" s="55" t="e">
        <f aca="false">K45</f>
        <v>#VALUE!</v>
      </c>
      <c r="L106" s="55" t="e">
        <f aca="false">L45</f>
        <v>#VALUE!</v>
      </c>
      <c r="M106" s="55" t="e">
        <f aca="false">M45</f>
        <v>#VALUE!</v>
      </c>
      <c r="N106" s="55" t="e">
        <f aca="false">N45</f>
        <v>#VALUE!</v>
      </c>
      <c r="O106" s="55" t="e">
        <f aca="false">O45</f>
        <v>#VALUE!</v>
      </c>
      <c r="P106" s="55" t="e">
        <f aca="false">P45</f>
        <v>#VALUE!</v>
      </c>
      <c r="Q106" s="55" t="e">
        <f aca="false">Q45</f>
        <v>#VALUE!</v>
      </c>
      <c r="R106" s="55" t="e">
        <f aca="false">R45</f>
        <v>#VALUE!</v>
      </c>
      <c r="S106" s="55" t="e">
        <f aca="false">S45</f>
        <v>#VALUE!</v>
      </c>
      <c r="T106" s="55" t="e">
        <f aca="false">T45</f>
        <v>#VALUE!</v>
      </c>
      <c r="U106" s="55" t="e">
        <f aca="false">U45</f>
        <v>#VALUE!</v>
      </c>
      <c r="V106" s="55" t="e">
        <f aca="false">V45</f>
        <v>#VALUE!</v>
      </c>
      <c r="W106" s="55" t="e">
        <f aca="false">W45</f>
        <v>#VALUE!</v>
      </c>
      <c r="X106" s="55" t="e">
        <f aca="false">X45</f>
        <v>#VALUE!</v>
      </c>
      <c r="Y106" s="55" t="e">
        <f aca="false">Y45</f>
        <v>#VALUE!</v>
      </c>
      <c r="Z106" s="55" t="e">
        <f aca="false">Z45</f>
        <v>#VALUE!</v>
      </c>
      <c r="AA106" s="55" t="e">
        <f aca="false">AA45</f>
        <v>#VALUE!</v>
      </c>
      <c r="AB106" s="55" t="e">
        <f aca="false">AB45</f>
        <v>#VALUE!</v>
      </c>
      <c r="AC106" s="55" t="e">
        <f aca="false">AC45</f>
        <v>#VALUE!</v>
      </c>
      <c r="AD106" s="55" t="e">
        <f aca="false">AD45</f>
        <v>#VALUE!</v>
      </c>
      <c r="AE106" s="55" t="e">
        <f aca="false">AE45</f>
        <v>#VALUE!</v>
      </c>
      <c r="AF106" s="55" t="e">
        <f aca="false">AF45</f>
        <v>#VALUE!</v>
      </c>
      <c r="AG106" s="55" t="e">
        <f aca="false">AG45</f>
        <v>#VALUE!</v>
      </c>
      <c r="AH106" s="55" t="e">
        <f aca="false">AH45</f>
        <v>#VALUE!</v>
      </c>
      <c r="AI106" s="55" t="e">
        <f aca="false">AI45</f>
        <v>#VALUE!</v>
      </c>
      <c r="AJ106" s="55" t="e">
        <f aca="false">AJ45</f>
        <v>#VALUE!</v>
      </c>
      <c r="AK106" s="55" t="e">
        <f aca="false">AK45</f>
        <v>#VALUE!</v>
      </c>
      <c r="AL106" s="55" t="e">
        <f aca="false">AL45</f>
        <v>#VALUE!</v>
      </c>
    </row>
    <row r="107" customFormat="false" ht="15" hidden="false" customHeight="false" outlineLevel="1" collapsed="false">
      <c r="B107" s="13"/>
      <c r="C107" s="370" t="str">
        <f aca="false">C12</f>
        <v>Nursery trays</v>
      </c>
      <c r="D107" s="30"/>
      <c r="E107" s="462" t="n">
        <f aca="false">E51</f>
        <v>1</v>
      </c>
      <c r="H107" s="55" t="e">
        <f aca="false">H51</f>
        <v>#VALUE!</v>
      </c>
      <c r="I107" s="55" t="e">
        <f aca="false">I51</f>
        <v>#VALUE!</v>
      </c>
      <c r="J107" s="55" t="e">
        <f aca="false">J51</f>
        <v>#VALUE!</v>
      </c>
      <c r="K107" s="55" t="e">
        <f aca="false">K51</f>
        <v>#VALUE!</v>
      </c>
      <c r="L107" s="55" t="e">
        <f aca="false">L51</f>
        <v>#VALUE!</v>
      </c>
      <c r="M107" s="55" t="e">
        <f aca="false">M51</f>
        <v>#VALUE!</v>
      </c>
      <c r="N107" s="55" t="e">
        <f aca="false">N51</f>
        <v>#VALUE!</v>
      </c>
      <c r="O107" s="55" t="e">
        <f aca="false">O51</f>
        <v>#VALUE!</v>
      </c>
      <c r="P107" s="55" t="e">
        <f aca="false">P51</f>
        <v>#VALUE!</v>
      </c>
      <c r="Q107" s="55" t="e">
        <f aca="false">Q51</f>
        <v>#VALUE!</v>
      </c>
      <c r="R107" s="55" t="e">
        <f aca="false">R51</f>
        <v>#VALUE!</v>
      </c>
      <c r="S107" s="55" t="e">
        <f aca="false">S51</f>
        <v>#VALUE!</v>
      </c>
      <c r="T107" s="55" t="e">
        <f aca="false">T51</f>
        <v>#VALUE!</v>
      </c>
      <c r="U107" s="55" t="e">
        <f aca="false">U51</f>
        <v>#VALUE!</v>
      </c>
      <c r="V107" s="55" t="e">
        <f aca="false">V51</f>
        <v>#VALUE!</v>
      </c>
      <c r="W107" s="55" t="e">
        <f aca="false">W51</f>
        <v>#VALUE!</v>
      </c>
      <c r="X107" s="55" t="e">
        <f aca="false">X51</f>
        <v>#VALUE!</v>
      </c>
      <c r="Y107" s="55" t="e">
        <f aca="false">Y51</f>
        <v>#VALUE!</v>
      </c>
      <c r="Z107" s="55" t="e">
        <f aca="false">Z51</f>
        <v>#VALUE!</v>
      </c>
      <c r="AA107" s="55" t="e">
        <f aca="false">AA51</f>
        <v>#VALUE!</v>
      </c>
      <c r="AB107" s="55" t="e">
        <f aca="false">AB51</f>
        <v>#VALUE!</v>
      </c>
      <c r="AC107" s="55" t="e">
        <f aca="false">AC51</f>
        <v>#VALUE!</v>
      </c>
      <c r="AD107" s="55" t="e">
        <f aca="false">AD51</f>
        <v>#VALUE!</v>
      </c>
      <c r="AE107" s="55" t="e">
        <f aca="false">AE51</f>
        <v>#VALUE!</v>
      </c>
      <c r="AF107" s="55" t="e">
        <f aca="false">AF51</f>
        <v>#VALUE!</v>
      </c>
      <c r="AG107" s="55" t="e">
        <f aca="false">AG51</f>
        <v>#VALUE!</v>
      </c>
      <c r="AH107" s="55" t="e">
        <f aca="false">AH51</f>
        <v>#VALUE!</v>
      </c>
      <c r="AI107" s="55" t="e">
        <f aca="false">AI51</f>
        <v>#VALUE!</v>
      </c>
      <c r="AJ107" s="55" t="e">
        <f aca="false">AJ51</f>
        <v>#VALUE!</v>
      </c>
      <c r="AK107" s="55" t="e">
        <f aca="false">AK51</f>
        <v>#VALUE!</v>
      </c>
      <c r="AL107" s="55" t="e">
        <f aca="false">AL51</f>
        <v>#VALUE!</v>
      </c>
    </row>
    <row r="108" customFormat="false" ht="15" hidden="false" customHeight="false" outlineLevel="1" collapsed="false">
      <c r="B108" s="13"/>
      <c r="C108" s="370" t="str">
        <f aca="false">C13</f>
        <v>Plantation - Vehicles</v>
      </c>
      <c r="D108" s="30"/>
      <c r="E108" s="186" t="n">
        <f aca="false">E57</f>
        <v>10</v>
      </c>
      <c r="H108" s="55" t="e">
        <f aca="false">H57</f>
        <v>#VALUE!</v>
      </c>
      <c r="I108" s="55" t="e">
        <f aca="false">I57</f>
        <v>#VALUE!</v>
      </c>
      <c r="J108" s="55" t="e">
        <f aca="false">J57</f>
        <v>#VALUE!</v>
      </c>
      <c r="K108" s="55" t="e">
        <f aca="false">K57</f>
        <v>#VALUE!</v>
      </c>
      <c r="L108" s="55" t="e">
        <f aca="false">L57</f>
        <v>#VALUE!</v>
      </c>
      <c r="M108" s="55" t="e">
        <f aca="false">M57</f>
        <v>#VALUE!</v>
      </c>
      <c r="N108" s="55" t="e">
        <f aca="false">N57</f>
        <v>#VALUE!</v>
      </c>
      <c r="O108" s="55" t="e">
        <f aca="false">O57</f>
        <v>#VALUE!</v>
      </c>
      <c r="P108" s="55" t="e">
        <f aca="false">P57</f>
        <v>#VALUE!</v>
      </c>
      <c r="Q108" s="55" t="e">
        <f aca="false">Q57</f>
        <v>#VALUE!</v>
      </c>
      <c r="R108" s="55" t="e">
        <f aca="false">R57</f>
        <v>#VALUE!</v>
      </c>
      <c r="S108" s="55" t="e">
        <f aca="false">S57</f>
        <v>#VALUE!</v>
      </c>
      <c r="T108" s="55" t="e">
        <f aca="false">T57</f>
        <v>#VALUE!</v>
      </c>
      <c r="U108" s="55" t="e">
        <f aca="false">U57</f>
        <v>#VALUE!</v>
      </c>
      <c r="V108" s="55" t="e">
        <f aca="false">V57</f>
        <v>#VALUE!</v>
      </c>
      <c r="W108" s="55" t="e">
        <f aca="false">W57</f>
        <v>#VALUE!</v>
      </c>
      <c r="X108" s="55" t="e">
        <f aca="false">X57</f>
        <v>#VALUE!</v>
      </c>
      <c r="Y108" s="55" t="e">
        <f aca="false">Y57</f>
        <v>#VALUE!</v>
      </c>
      <c r="Z108" s="55" t="e">
        <f aca="false">Z57</f>
        <v>#VALUE!</v>
      </c>
      <c r="AA108" s="55" t="e">
        <f aca="false">AA57</f>
        <v>#VALUE!</v>
      </c>
      <c r="AB108" s="55" t="e">
        <f aca="false">AB57</f>
        <v>#VALUE!</v>
      </c>
      <c r="AC108" s="55" t="e">
        <f aca="false">AC57</f>
        <v>#VALUE!</v>
      </c>
      <c r="AD108" s="55" t="e">
        <f aca="false">AD57</f>
        <v>#VALUE!</v>
      </c>
      <c r="AE108" s="55" t="e">
        <f aca="false">AE57</f>
        <v>#VALUE!</v>
      </c>
      <c r="AF108" s="55" t="e">
        <f aca="false">AF57</f>
        <v>#VALUE!</v>
      </c>
      <c r="AG108" s="55" t="e">
        <f aca="false">AG57</f>
        <v>#VALUE!</v>
      </c>
      <c r="AH108" s="55" t="e">
        <f aca="false">AH57</f>
        <v>#VALUE!</v>
      </c>
      <c r="AI108" s="55" t="e">
        <f aca="false">AI57</f>
        <v>#VALUE!</v>
      </c>
      <c r="AJ108" s="55" t="e">
        <f aca="false">AJ57</f>
        <v>#VALUE!</v>
      </c>
      <c r="AK108" s="55" t="e">
        <f aca="false">AK57</f>
        <v>#VALUE!</v>
      </c>
      <c r="AL108" s="55" t="e">
        <f aca="false">AL57</f>
        <v>#VALUE!</v>
      </c>
    </row>
    <row r="109" customFormat="false" ht="15" hidden="false" customHeight="false" outlineLevel="1" collapsed="false">
      <c r="B109" s="13"/>
      <c r="C109" s="370" t="str">
        <f aca="false">C14</f>
        <v>Plantation - Office Equipment</v>
      </c>
      <c r="D109" s="30"/>
      <c r="E109" s="186" t="n">
        <f aca="false">E63</f>
        <v>10</v>
      </c>
      <c r="H109" s="55" t="e">
        <f aca="false">H63</f>
        <v>#VALUE!</v>
      </c>
      <c r="I109" s="55" t="e">
        <f aca="false">I63</f>
        <v>#VALUE!</v>
      </c>
      <c r="J109" s="55" t="e">
        <f aca="false">J63</f>
        <v>#VALUE!</v>
      </c>
      <c r="K109" s="55" t="e">
        <f aca="false">K63</f>
        <v>#VALUE!</v>
      </c>
      <c r="L109" s="55" t="e">
        <f aca="false">L63</f>
        <v>#VALUE!</v>
      </c>
      <c r="M109" s="55" t="e">
        <f aca="false">M63</f>
        <v>#VALUE!</v>
      </c>
      <c r="N109" s="55" t="e">
        <f aca="false">N63</f>
        <v>#VALUE!</v>
      </c>
      <c r="O109" s="55" t="e">
        <f aca="false">O63</f>
        <v>#VALUE!</v>
      </c>
      <c r="P109" s="55" t="e">
        <f aca="false">P63</f>
        <v>#VALUE!</v>
      </c>
      <c r="Q109" s="55" t="e">
        <f aca="false">Q63</f>
        <v>#VALUE!</v>
      </c>
      <c r="R109" s="55" t="e">
        <f aca="false">R63</f>
        <v>#VALUE!</v>
      </c>
      <c r="S109" s="55" t="e">
        <f aca="false">S63</f>
        <v>#VALUE!</v>
      </c>
      <c r="T109" s="55" t="e">
        <f aca="false">T63</f>
        <v>#VALUE!</v>
      </c>
      <c r="U109" s="55" t="e">
        <f aca="false">U63</f>
        <v>#VALUE!</v>
      </c>
      <c r="V109" s="55" t="e">
        <f aca="false">V63</f>
        <v>#VALUE!</v>
      </c>
      <c r="W109" s="55" t="e">
        <f aca="false">W63</f>
        <v>#VALUE!</v>
      </c>
      <c r="X109" s="55" t="e">
        <f aca="false">X63</f>
        <v>#VALUE!</v>
      </c>
      <c r="Y109" s="55" t="e">
        <f aca="false">Y63</f>
        <v>#VALUE!</v>
      </c>
      <c r="Z109" s="55" t="e">
        <f aca="false">Z63</f>
        <v>#VALUE!</v>
      </c>
      <c r="AA109" s="55" t="e">
        <f aca="false">AA63</f>
        <v>#VALUE!</v>
      </c>
      <c r="AB109" s="55" t="e">
        <f aca="false">AB63</f>
        <v>#VALUE!</v>
      </c>
      <c r="AC109" s="55" t="e">
        <f aca="false">AC63</f>
        <v>#VALUE!</v>
      </c>
      <c r="AD109" s="55" t="e">
        <f aca="false">AD63</f>
        <v>#VALUE!</v>
      </c>
      <c r="AE109" s="55" t="e">
        <f aca="false">AE63</f>
        <v>#VALUE!</v>
      </c>
      <c r="AF109" s="55" t="e">
        <f aca="false">AF63</f>
        <v>#VALUE!</v>
      </c>
      <c r="AG109" s="55" t="e">
        <f aca="false">AG63</f>
        <v>#VALUE!</v>
      </c>
      <c r="AH109" s="55" t="e">
        <f aca="false">AH63</f>
        <v>#VALUE!</v>
      </c>
      <c r="AI109" s="55" t="e">
        <f aca="false">AI63</f>
        <v>#VALUE!</v>
      </c>
      <c r="AJ109" s="55" t="e">
        <f aca="false">AJ63</f>
        <v>#VALUE!</v>
      </c>
      <c r="AK109" s="55" t="e">
        <f aca="false">AK63</f>
        <v>#VALUE!</v>
      </c>
      <c r="AL109" s="55" t="e">
        <f aca="false">AL63</f>
        <v>#VALUE!</v>
      </c>
    </row>
    <row r="110" customFormat="false" ht="15" hidden="false" customHeight="false" outlineLevel="1" collapsed="false">
      <c r="B110" s="13"/>
      <c r="C110" s="370" t="str">
        <f aca="false">C15</f>
        <v>Processing Plants - Land</v>
      </c>
      <c r="D110" s="30"/>
      <c r="E110" s="186" t="str">
        <f aca="false">E69</f>
        <v>n/a</v>
      </c>
      <c r="H110" s="55" t="n">
        <f aca="false">H69</f>
        <v>0</v>
      </c>
      <c r="I110" s="55" t="n">
        <f aca="false">I69</f>
        <v>0</v>
      </c>
      <c r="J110" s="55" t="n">
        <f aca="false">J69</f>
        <v>0</v>
      </c>
      <c r="K110" s="55" t="n">
        <f aca="false">K69</f>
        <v>0</v>
      </c>
      <c r="L110" s="55" t="n">
        <f aca="false">L69</f>
        <v>0</v>
      </c>
      <c r="M110" s="55" t="n">
        <f aca="false">M69</f>
        <v>0</v>
      </c>
      <c r="N110" s="55" t="n">
        <f aca="false">N69</f>
        <v>0</v>
      </c>
      <c r="O110" s="55" t="n">
        <f aca="false">O69</f>
        <v>0</v>
      </c>
      <c r="P110" s="55" t="n">
        <f aca="false">P69</f>
        <v>0</v>
      </c>
      <c r="Q110" s="55" t="n">
        <f aca="false">Q69</f>
        <v>0</v>
      </c>
      <c r="R110" s="55" t="n">
        <f aca="false">R69</f>
        <v>0</v>
      </c>
      <c r="S110" s="55" t="n">
        <f aca="false">S69</f>
        <v>0</v>
      </c>
      <c r="T110" s="55" t="n">
        <f aca="false">T69</f>
        <v>0</v>
      </c>
      <c r="U110" s="55" t="n">
        <f aca="false">U69</f>
        <v>0</v>
      </c>
      <c r="V110" s="55" t="n">
        <f aca="false">V69</f>
        <v>0</v>
      </c>
      <c r="W110" s="55" t="n">
        <f aca="false">W69</f>
        <v>0</v>
      </c>
      <c r="X110" s="55" t="n">
        <f aca="false">X69</f>
        <v>0</v>
      </c>
      <c r="Y110" s="55" t="n">
        <f aca="false">Y69</f>
        <v>0</v>
      </c>
      <c r="Z110" s="55" t="n">
        <f aca="false">Z69</f>
        <v>0</v>
      </c>
      <c r="AA110" s="55" t="n">
        <f aca="false">AA69</f>
        <v>0</v>
      </c>
      <c r="AB110" s="55" t="n">
        <f aca="false">AB69</f>
        <v>0</v>
      </c>
      <c r="AC110" s="55" t="n">
        <f aca="false">AC69</f>
        <v>0</v>
      </c>
      <c r="AD110" s="55" t="n">
        <f aca="false">AD69</f>
        <v>0</v>
      </c>
      <c r="AE110" s="55" t="n">
        <f aca="false">AE69</f>
        <v>0</v>
      </c>
      <c r="AF110" s="55" t="n">
        <f aca="false">AF69</f>
        <v>0</v>
      </c>
      <c r="AG110" s="55" t="n">
        <f aca="false">AG69</f>
        <v>0</v>
      </c>
      <c r="AH110" s="55" t="n">
        <f aca="false">AH69</f>
        <v>0</v>
      </c>
      <c r="AI110" s="55" t="n">
        <f aca="false">AI69</f>
        <v>0</v>
      </c>
      <c r="AJ110" s="55" t="n">
        <f aca="false">AJ69</f>
        <v>0</v>
      </c>
      <c r="AK110" s="55" t="n">
        <f aca="false">AK69</f>
        <v>0</v>
      </c>
      <c r="AL110" s="55" t="n">
        <f aca="false">AL69</f>
        <v>0</v>
      </c>
    </row>
    <row r="111" customFormat="false" ht="15" hidden="false" customHeight="false" outlineLevel="1" collapsed="false">
      <c r="B111" s="13"/>
      <c r="C111" s="370" t="str">
        <f aca="false">C16</f>
        <v>Processing Plants - Building</v>
      </c>
      <c r="D111" s="30"/>
      <c r="E111" s="186" t="n">
        <f aca="false">E75</f>
        <v>25</v>
      </c>
      <c r="H111" s="55" t="e">
        <f aca="false">H75</f>
        <v>#VALUE!</v>
      </c>
      <c r="I111" s="55" t="e">
        <f aca="false">I75</f>
        <v>#VALUE!</v>
      </c>
      <c r="J111" s="55" t="e">
        <f aca="false">J75</f>
        <v>#VALUE!</v>
      </c>
      <c r="K111" s="55" t="e">
        <f aca="false">K75</f>
        <v>#VALUE!</v>
      </c>
      <c r="L111" s="55" t="e">
        <f aca="false">L75</f>
        <v>#VALUE!</v>
      </c>
      <c r="M111" s="55" t="e">
        <f aca="false">M75</f>
        <v>#VALUE!</v>
      </c>
      <c r="N111" s="55" t="e">
        <f aca="false">N75</f>
        <v>#VALUE!</v>
      </c>
      <c r="O111" s="55" t="e">
        <f aca="false">O75</f>
        <v>#VALUE!</v>
      </c>
      <c r="P111" s="55" t="e">
        <f aca="false">P75</f>
        <v>#VALUE!</v>
      </c>
      <c r="Q111" s="55" t="e">
        <f aca="false">Q75</f>
        <v>#VALUE!</v>
      </c>
      <c r="R111" s="55" t="e">
        <f aca="false">R75</f>
        <v>#VALUE!</v>
      </c>
      <c r="S111" s="55" t="e">
        <f aca="false">S75</f>
        <v>#VALUE!</v>
      </c>
      <c r="T111" s="55" t="e">
        <f aca="false">T75</f>
        <v>#VALUE!</v>
      </c>
      <c r="U111" s="55" t="e">
        <f aca="false">U75</f>
        <v>#VALUE!</v>
      </c>
      <c r="V111" s="55" t="e">
        <f aca="false">V75</f>
        <v>#VALUE!</v>
      </c>
      <c r="W111" s="55" t="e">
        <f aca="false">W75</f>
        <v>#VALUE!</v>
      </c>
      <c r="X111" s="55" t="e">
        <f aca="false">X75</f>
        <v>#VALUE!</v>
      </c>
      <c r="Y111" s="55" t="e">
        <f aca="false">Y75</f>
        <v>#VALUE!</v>
      </c>
      <c r="Z111" s="55" t="e">
        <f aca="false">Z75</f>
        <v>#VALUE!</v>
      </c>
      <c r="AA111" s="55" t="e">
        <f aca="false">AA75</f>
        <v>#VALUE!</v>
      </c>
      <c r="AB111" s="55" t="e">
        <f aca="false">AB75</f>
        <v>#VALUE!</v>
      </c>
      <c r="AC111" s="55" t="e">
        <f aca="false">AC75</f>
        <v>#VALUE!</v>
      </c>
      <c r="AD111" s="55" t="e">
        <f aca="false">AD75</f>
        <v>#VALUE!</v>
      </c>
      <c r="AE111" s="55" t="e">
        <f aca="false">AE75</f>
        <v>#VALUE!</v>
      </c>
      <c r="AF111" s="55" t="e">
        <f aca="false">AF75</f>
        <v>#VALUE!</v>
      </c>
      <c r="AG111" s="55" t="e">
        <f aca="false">AG75</f>
        <v>#VALUE!</v>
      </c>
      <c r="AH111" s="55" t="e">
        <f aca="false">AH75</f>
        <v>#VALUE!</v>
      </c>
      <c r="AI111" s="55" t="e">
        <f aca="false">AI75</f>
        <v>#VALUE!</v>
      </c>
      <c r="AJ111" s="55" t="e">
        <f aca="false">AJ75</f>
        <v>#VALUE!</v>
      </c>
      <c r="AK111" s="55" t="e">
        <f aca="false">AK75</f>
        <v>#VALUE!</v>
      </c>
      <c r="AL111" s="55" t="e">
        <f aca="false">AL75</f>
        <v>#VALUE!</v>
      </c>
    </row>
    <row r="112" customFormat="false" ht="15" hidden="false" customHeight="false" outlineLevel="1" collapsed="false">
      <c r="B112" s="13"/>
      <c r="C112" s="370" t="str">
        <f aca="false">C17</f>
        <v>Processing Plants - Equipment</v>
      </c>
      <c r="D112" s="30"/>
      <c r="E112" s="186" t="n">
        <f aca="false">E81</f>
        <v>10</v>
      </c>
      <c r="H112" s="55" t="e">
        <f aca="false">H81</f>
        <v>#VALUE!</v>
      </c>
      <c r="I112" s="55" t="e">
        <f aca="false">I81</f>
        <v>#VALUE!</v>
      </c>
      <c r="J112" s="55" t="e">
        <f aca="false">J81</f>
        <v>#VALUE!</v>
      </c>
      <c r="K112" s="55" t="e">
        <f aca="false">K81</f>
        <v>#VALUE!</v>
      </c>
      <c r="L112" s="55" t="e">
        <f aca="false">L81</f>
        <v>#VALUE!</v>
      </c>
      <c r="M112" s="55" t="e">
        <f aca="false">M81</f>
        <v>#VALUE!</v>
      </c>
      <c r="N112" s="55" t="e">
        <f aca="false">N81</f>
        <v>#VALUE!</v>
      </c>
      <c r="O112" s="55" t="e">
        <f aca="false">O81</f>
        <v>#VALUE!</v>
      </c>
      <c r="P112" s="55" t="e">
        <f aca="false">P81</f>
        <v>#VALUE!</v>
      </c>
      <c r="Q112" s="55" t="e">
        <f aca="false">Q81</f>
        <v>#VALUE!</v>
      </c>
      <c r="R112" s="55" t="e">
        <f aca="false">R81</f>
        <v>#VALUE!</v>
      </c>
      <c r="S112" s="55" t="e">
        <f aca="false">S81</f>
        <v>#VALUE!</v>
      </c>
      <c r="T112" s="55" t="e">
        <f aca="false">T81</f>
        <v>#VALUE!</v>
      </c>
      <c r="U112" s="55" t="e">
        <f aca="false">U81</f>
        <v>#VALUE!</v>
      </c>
      <c r="V112" s="55" t="e">
        <f aca="false">V81</f>
        <v>#VALUE!</v>
      </c>
      <c r="W112" s="55" t="e">
        <f aca="false">W81</f>
        <v>#VALUE!</v>
      </c>
      <c r="X112" s="55" t="e">
        <f aca="false">X81</f>
        <v>#VALUE!</v>
      </c>
      <c r="Y112" s="55" t="e">
        <f aca="false">Y81</f>
        <v>#VALUE!</v>
      </c>
      <c r="Z112" s="55" t="e">
        <f aca="false">Z81</f>
        <v>#VALUE!</v>
      </c>
      <c r="AA112" s="55" t="e">
        <f aca="false">AA81</f>
        <v>#VALUE!</v>
      </c>
      <c r="AB112" s="55" t="e">
        <f aca="false">AB81</f>
        <v>#VALUE!</v>
      </c>
      <c r="AC112" s="55" t="e">
        <f aca="false">AC81</f>
        <v>#VALUE!</v>
      </c>
      <c r="AD112" s="55" t="e">
        <f aca="false">AD81</f>
        <v>#VALUE!</v>
      </c>
      <c r="AE112" s="55" t="e">
        <f aca="false">AE81</f>
        <v>#VALUE!</v>
      </c>
      <c r="AF112" s="55" t="e">
        <f aca="false">AF81</f>
        <v>#VALUE!</v>
      </c>
      <c r="AG112" s="55" t="e">
        <f aca="false">AG81</f>
        <v>#VALUE!</v>
      </c>
      <c r="AH112" s="55" t="e">
        <f aca="false">AH81</f>
        <v>#VALUE!</v>
      </c>
      <c r="AI112" s="55" t="e">
        <f aca="false">AI81</f>
        <v>#VALUE!</v>
      </c>
      <c r="AJ112" s="55" t="e">
        <f aca="false">AJ81</f>
        <v>#VALUE!</v>
      </c>
      <c r="AK112" s="55" t="e">
        <f aca="false">AK81</f>
        <v>#VALUE!</v>
      </c>
      <c r="AL112" s="55" t="e">
        <f aca="false">AL81</f>
        <v>#VALUE!</v>
      </c>
    </row>
    <row r="113" customFormat="false" ht="15" hidden="false" customHeight="false" outlineLevel="1" collapsed="false">
      <c r="B113" s="13"/>
      <c r="C113" s="370" t="str">
        <f aca="false">C18</f>
        <v>Processing Plants - Vehicles</v>
      </c>
      <c r="D113" s="30"/>
      <c r="E113" s="186" t="n">
        <f aca="false">E87</f>
        <v>5</v>
      </c>
      <c r="H113" s="55" t="e">
        <f aca="false">H87</f>
        <v>#VALUE!</v>
      </c>
      <c r="I113" s="55" t="e">
        <f aca="false">I87</f>
        <v>#VALUE!</v>
      </c>
      <c r="J113" s="55" t="e">
        <f aca="false">J87</f>
        <v>#VALUE!</v>
      </c>
      <c r="K113" s="55" t="e">
        <f aca="false">K87</f>
        <v>#VALUE!</v>
      </c>
      <c r="L113" s="55" t="e">
        <f aca="false">L87</f>
        <v>#VALUE!</v>
      </c>
      <c r="M113" s="55" t="e">
        <f aca="false">M87</f>
        <v>#VALUE!</v>
      </c>
      <c r="N113" s="55" t="e">
        <f aca="false">N87</f>
        <v>#VALUE!</v>
      </c>
      <c r="O113" s="55" t="e">
        <f aca="false">O87</f>
        <v>#VALUE!</v>
      </c>
      <c r="P113" s="55" t="e">
        <f aca="false">P87</f>
        <v>#VALUE!</v>
      </c>
      <c r="Q113" s="55" t="e">
        <f aca="false">Q87</f>
        <v>#VALUE!</v>
      </c>
      <c r="R113" s="55" t="e">
        <f aca="false">R87</f>
        <v>#VALUE!</v>
      </c>
      <c r="S113" s="55" t="e">
        <f aca="false">S87</f>
        <v>#VALUE!</v>
      </c>
      <c r="T113" s="55" t="e">
        <f aca="false">T87</f>
        <v>#VALUE!</v>
      </c>
      <c r="U113" s="55" t="e">
        <f aca="false">U87</f>
        <v>#VALUE!</v>
      </c>
      <c r="V113" s="55" t="e">
        <f aca="false">V87</f>
        <v>#VALUE!</v>
      </c>
      <c r="W113" s="55" t="e">
        <f aca="false">W87</f>
        <v>#VALUE!</v>
      </c>
      <c r="X113" s="55" t="e">
        <f aca="false">X87</f>
        <v>#VALUE!</v>
      </c>
      <c r="Y113" s="55" t="e">
        <f aca="false">Y87</f>
        <v>#VALUE!</v>
      </c>
      <c r="Z113" s="55" t="e">
        <f aca="false">Z87</f>
        <v>#VALUE!</v>
      </c>
      <c r="AA113" s="55" t="e">
        <f aca="false">AA87</f>
        <v>#VALUE!</v>
      </c>
      <c r="AB113" s="55" t="e">
        <f aca="false">AB87</f>
        <v>#VALUE!</v>
      </c>
      <c r="AC113" s="55" t="e">
        <f aca="false">AC87</f>
        <v>#VALUE!</v>
      </c>
      <c r="AD113" s="55" t="e">
        <f aca="false">AD87</f>
        <v>#VALUE!</v>
      </c>
      <c r="AE113" s="55" t="e">
        <f aca="false">AE87</f>
        <v>#VALUE!</v>
      </c>
      <c r="AF113" s="55" t="e">
        <f aca="false">AF87</f>
        <v>#VALUE!</v>
      </c>
      <c r="AG113" s="55" t="e">
        <f aca="false">AG87</f>
        <v>#VALUE!</v>
      </c>
      <c r="AH113" s="55" t="e">
        <f aca="false">AH87</f>
        <v>#VALUE!</v>
      </c>
      <c r="AI113" s="55" t="e">
        <f aca="false">AI87</f>
        <v>#VALUE!</v>
      </c>
      <c r="AJ113" s="55" t="e">
        <f aca="false">AJ87</f>
        <v>#VALUE!</v>
      </c>
      <c r="AK113" s="55" t="e">
        <f aca="false">AK87</f>
        <v>#VALUE!</v>
      </c>
      <c r="AL113" s="55" t="e">
        <f aca="false">AL87</f>
        <v>#VALUE!</v>
      </c>
    </row>
    <row r="114" customFormat="false" ht="15" hidden="false" customHeight="false" outlineLevel="1" collapsed="false">
      <c r="B114" s="13"/>
      <c r="C114" s="370" t="str">
        <f aca="false">C19</f>
        <v>Productive Activities OH - Office Equipment</v>
      </c>
      <c r="D114" s="30"/>
      <c r="E114" s="186" t="n">
        <f aca="false">E93</f>
        <v>5</v>
      </c>
      <c r="H114" s="55" t="e">
        <f aca="false">H93</f>
        <v>#VALUE!</v>
      </c>
      <c r="I114" s="55" t="e">
        <f aca="false">I93</f>
        <v>#VALUE!</v>
      </c>
      <c r="J114" s="55" t="e">
        <f aca="false">J93</f>
        <v>#VALUE!</v>
      </c>
      <c r="K114" s="55" t="e">
        <f aca="false">K93</f>
        <v>#VALUE!</v>
      </c>
      <c r="L114" s="55" t="e">
        <f aca="false">L93</f>
        <v>#VALUE!</v>
      </c>
      <c r="M114" s="55" t="e">
        <f aca="false">M93</f>
        <v>#VALUE!</v>
      </c>
      <c r="N114" s="55" t="e">
        <f aca="false">N93</f>
        <v>#VALUE!</v>
      </c>
      <c r="O114" s="55" t="e">
        <f aca="false">O93</f>
        <v>#VALUE!</v>
      </c>
      <c r="P114" s="55" t="e">
        <f aca="false">P93</f>
        <v>#VALUE!</v>
      </c>
      <c r="Q114" s="55" t="e">
        <f aca="false">Q93</f>
        <v>#VALUE!</v>
      </c>
      <c r="R114" s="55" t="e">
        <f aca="false">R93</f>
        <v>#VALUE!</v>
      </c>
      <c r="S114" s="55" t="e">
        <f aca="false">S93</f>
        <v>#VALUE!</v>
      </c>
      <c r="T114" s="55" t="e">
        <f aca="false">T93</f>
        <v>#VALUE!</v>
      </c>
      <c r="U114" s="55" t="e">
        <f aca="false">U93</f>
        <v>#VALUE!</v>
      </c>
      <c r="V114" s="55" t="e">
        <f aca="false">V93</f>
        <v>#VALUE!</v>
      </c>
      <c r="W114" s="55" t="e">
        <f aca="false">W93</f>
        <v>#VALUE!</v>
      </c>
      <c r="X114" s="55" t="e">
        <f aca="false">X93</f>
        <v>#VALUE!</v>
      </c>
      <c r="Y114" s="55" t="e">
        <f aca="false">Y93</f>
        <v>#VALUE!</v>
      </c>
      <c r="Z114" s="55" t="e">
        <f aca="false">Z93</f>
        <v>#VALUE!</v>
      </c>
      <c r="AA114" s="55" t="e">
        <f aca="false">AA93</f>
        <v>#VALUE!</v>
      </c>
      <c r="AB114" s="55" t="e">
        <f aca="false">AB93</f>
        <v>#VALUE!</v>
      </c>
      <c r="AC114" s="55" t="e">
        <f aca="false">AC93</f>
        <v>#VALUE!</v>
      </c>
      <c r="AD114" s="55" t="e">
        <f aca="false">AD93</f>
        <v>#VALUE!</v>
      </c>
      <c r="AE114" s="55" t="e">
        <f aca="false">AE93</f>
        <v>#VALUE!</v>
      </c>
      <c r="AF114" s="55" t="e">
        <f aca="false">AF93</f>
        <v>#VALUE!</v>
      </c>
      <c r="AG114" s="55" t="e">
        <f aca="false">AG93</f>
        <v>#VALUE!</v>
      </c>
      <c r="AH114" s="55" t="e">
        <f aca="false">AH93</f>
        <v>#VALUE!</v>
      </c>
      <c r="AI114" s="55" t="e">
        <f aca="false">AI93</f>
        <v>#VALUE!</v>
      </c>
      <c r="AJ114" s="55" t="e">
        <f aca="false">AJ93</f>
        <v>#VALUE!</v>
      </c>
      <c r="AK114" s="55" t="e">
        <f aca="false">AK93</f>
        <v>#VALUE!</v>
      </c>
      <c r="AL114" s="55" t="e">
        <f aca="false">AL93</f>
        <v>#VALUE!</v>
      </c>
    </row>
    <row r="115" customFormat="false" ht="15" hidden="false" customHeight="false" outlineLevel="1" collapsed="false">
      <c r="B115" s="13"/>
      <c r="C115" s="370" t="str">
        <f aca="false">C20</f>
        <v>Productive Activities OH - Vehicles</v>
      </c>
      <c r="D115" s="30"/>
      <c r="E115" s="186" t="n">
        <f aca="false">E99</f>
        <v>5</v>
      </c>
      <c r="H115" s="55" t="e">
        <f aca="false">H99</f>
        <v>#VALUE!</v>
      </c>
      <c r="I115" s="55" t="e">
        <f aca="false">I99</f>
        <v>#VALUE!</v>
      </c>
      <c r="J115" s="55" t="e">
        <f aca="false">J99</f>
        <v>#VALUE!</v>
      </c>
      <c r="K115" s="55" t="e">
        <f aca="false">K99</f>
        <v>#VALUE!</v>
      </c>
      <c r="L115" s="55" t="e">
        <f aca="false">L99</f>
        <v>#VALUE!</v>
      </c>
      <c r="M115" s="55" t="e">
        <f aca="false">M99</f>
        <v>#VALUE!</v>
      </c>
      <c r="N115" s="55" t="e">
        <f aca="false">N99</f>
        <v>#VALUE!</v>
      </c>
      <c r="O115" s="55" t="e">
        <f aca="false">O99</f>
        <v>#VALUE!</v>
      </c>
      <c r="P115" s="55" t="e">
        <f aca="false">P99</f>
        <v>#VALUE!</v>
      </c>
      <c r="Q115" s="55" t="e">
        <f aca="false">Q99</f>
        <v>#VALUE!</v>
      </c>
      <c r="R115" s="55" t="e">
        <f aca="false">R99</f>
        <v>#VALUE!</v>
      </c>
      <c r="S115" s="55" t="e">
        <f aca="false">S99</f>
        <v>#VALUE!</v>
      </c>
      <c r="T115" s="55" t="e">
        <f aca="false">T99</f>
        <v>#VALUE!</v>
      </c>
      <c r="U115" s="55" t="e">
        <f aca="false">U99</f>
        <v>#VALUE!</v>
      </c>
      <c r="V115" s="55" t="e">
        <f aca="false">V99</f>
        <v>#VALUE!</v>
      </c>
      <c r="W115" s="55" t="e">
        <f aca="false">W99</f>
        <v>#VALUE!</v>
      </c>
      <c r="X115" s="55" t="e">
        <f aca="false">X99</f>
        <v>#VALUE!</v>
      </c>
      <c r="Y115" s="55" t="e">
        <f aca="false">Y99</f>
        <v>#VALUE!</v>
      </c>
      <c r="Z115" s="55" t="e">
        <f aca="false">Z99</f>
        <v>#VALUE!</v>
      </c>
      <c r="AA115" s="55" t="e">
        <f aca="false">AA99</f>
        <v>#VALUE!</v>
      </c>
      <c r="AB115" s="55" t="e">
        <f aca="false">AB99</f>
        <v>#VALUE!</v>
      </c>
      <c r="AC115" s="55" t="e">
        <f aca="false">AC99</f>
        <v>#VALUE!</v>
      </c>
      <c r="AD115" s="55" t="e">
        <f aca="false">AD99</f>
        <v>#VALUE!</v>
      </c>
      <c r="AE115" s="55" t="e">
        <f aca="false">AE99</f>
        <v>#VALUE!</v>
      </c>
      <c r="AF115" s="55" t="e">
        <f aca="false">AF99</f>
        <v>#VALUE!</v>
      </c>
      <c r="AG115" s="55" t="e">
        <f aca="false">AG99</f>
        <v>#VALUE!</v>
      </c>
      <c r="AH115" s="55" t="e">
        <f aca="false">AH99</f>
        <v>#VALUE!</v>
      </c>
      <c r="AI115" s="55" t="e">
        <f aca="false">AI99</f>
        <v>#VALUE!</v>
      </c>
      <c r="AJ115" s="55" t="e">
        <f aca="false">AJ99</f>
        <v>#VALUE!</v>
      </c>
      <c r="AK115" s="55" t="e">
        <f aca="false">AK99</f>
        <v>#VALUE!</v>
      </c>
      <c r="AL115" s="55" t="e">
        <f aca="false">AL99</f>
        <v>#VALUE!</v>
      </c>
    </row>
    <row r="116" customFormat="false" ht="15" hidden="false" customHeight="false" outlineLevel="1" collapsed="false">
      <c r="B116" s="13"/>
      <c r="C116" s="13" t="str">
        <f aca="false">"Total "&amp;C102</f>
        <v>Total Depreciation</v>
      </c>
      <c r="D116" s="30"/>
      <c r="E116" s="30"/>
      <c r="H116" s="61" t="e">
        <f aca="false">SUM(H103:H115)</f>
        <v>#VALUE!</v>
      </c>
      <c r="I116" s="61" t="e">
        <f aca="false">SUM(I103:I115)</f>
        <v>#VALUE!</v>
      </c>
      <c r="J116" s="61" t="e">
        <f aca="false">SUM(J103:J115)</f>
        <v>#VALUE!</v>
      </c>
      <c r="K116" s="61" t="e">
        <f aca="false">SUM(K103:K115)</f>
        <v>#VALUE!</v>
      </c>
      <c r="L116" s="61" t="e">
        <f aca="false">SUM(L103:L115)</f>
        <v>#VALUE!</v>
      </c>
      <c r="M116" s="61" t="e">
        <f aca="false">SUM(M103:M115)</f>
        <v>#VALUE!</v>
      </c>
      <c r="N116" s="61" t="e">
        <f aca="false">SUM(N103:N115)</f>
        <v>#VALUE!</v>
      </c>
      <c r="O116" s="61" t="e">
        <f aca="false">SUM(O103:O115)</f>
        <v>#VALUE!</v>
      </c>
      <c r="P116" s="61" t="e">
        <f aca="false">SUM(P103:P115)</f>
        <v>#VALUE!</v>
      </c>
      <c r="Q116" s="61" t="e">
        <f aca="false">SUM(Q103:Q115)</f>
        <v>#VALUE!</v>
      </c>
      <c r="R116" s="61" t="e">
        <f aca="false">SUM(R103:R115)</f>
        <v>#VALUE!</v>
      </c>
      <c r="S116" s="61" t="e">
        <f aca="false">SUM(S103:S115)</f>
        <v>#VALUE!</v>
      </c>
      <c r="T116" s="61" t="e">
        <f aca="false">SUM(T103:T115)</f>
        <v>#VALUE!</v>
      </c>
      <c r="U116" s="61" t="e">
        <f aca="false">SUM(U103:U115)</f>
        <v>#VALUE!</v>
      </c>
      <c r="V116" s="61" t="e">
        <f aca="false">SUM(V103:V115)</f>
        <v>#VALUE!</v>
      </c>
      <c r="W116" s="61" t="e">
        <f aca="false">SUM(W103:W115)</f>
        <v>#VALUE!</v>
      </c>
      <c r="X116" s="61" t="e">
        <f aca="false">SUM(X103:X115)</f>
        <v>#VALUE!</v>
      </c>
      <c r="Y116" s="61" t="e">
        <f aca="false">SUM(Y103:Y115)</f>
        <v>#VALUE!</v>
      </c>
      <c r="Z116" s="61" t="e">
        <f aca="false">SUM(Z103:Z115)</f>
        <v>#VALUE!</v>
      </c>
      <c r="AA116" s="61" t="e">
        <f aca="false">SUM(AA103:AA115)</f>
        <v>#VALUE!</v>
      </c>
      <c r="AB116" s="61" t="e">
        <f aca="false">SUM(AB103:AB115)</f>
        <v>#VALUE!</v>
      </c>
      <c r="AC116" s="61" t="e">
        <f aca="false">SUM(AC103:AC115)</f>
        <v>#VALUE!</v>
      </c>
      <c r="AD116" s="61" t="e">
        <f aca="false">SUM(AD103:AD115)</f>
        <v>#VALUE!</v>
      </c>
      <c r="AE116" s="61" t="e">
        <f aca="false">SUM(AE103:AE115)</f>
        <v>#VALUE!</v>
      </c>
      <c r="AF116" s="61" t="e">
        <f aca="false">SUM(AF103:AF115)</f>
        <v>#VALUE!</v>
      </c>
      <c r="AG116" s="61" t="e">
        <f aca="false">SUM(AG103:AG115)</f>
        <v>#VALUE!</v>
      </c>
      <c r="AH116" s="61" t="e">
        <f aca="false">SUM(AH103:AH115)</f>
        <v>#VALUE!</v>
      </c>
      <c r="AI116" s="61" t="e">
        <f aca="false">SUM(AI103:AI115)</f>
        <v>#VALUE!</v>
      </c>
      <c r="AJ116" s="61" t="e">
        <f aca="false">SUM(AJ103:AJ115)</f>
        <v>#VALUE!</v>
      </c>
      <c r="AK116" s="61" t="e">
        <f aca="false">SUM(AK103:AK115)</f>
        <v>#VALUE!</v>
      </c>
      <c r="AL116" s="61" t="e">
        <f aca="false">SUM(AL103:AL115)</f>
        <v>#VALUE!</v>
      </c>
    </row>
    <row r="117" customFormat="false" ht="15" hidden="false" customHeight="false" outlineLevel="1" collapsed="false">
      <c r="B117" s="13"/>
      <c r="C117" s="13"/>
      <c r="D117" s="30"/>
      <c r="E117" s="30"/>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row>
    <row r="118" customFormat="false" ht="15" hidden="false" customHeight="false" outlineLevel="0" collapsed="false">
      <c r="B118" s="13"/>
      <c r="C118" s="13" t="s">
        <v>778</v>
      </c>
      <c r="D118" s="30"/>
      <c r="E118" s="30"/>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row>
    <row r="119" customFormat="false" ht="15" hidden="false" customHeight="false" outlineLevel="0" collapsed="false">
      <c r="B119" s="13"/>
      <c r="C119" s="370" t="str">
        <f aca="false">C103</f>
        <v>Nursery - Land</v>
      </c>
      <c r="D119" s="30" t="s">
        <v>292</v>
      </c>
      <c r="E119" s="30"/>
      <c r="H119" s="55" t="n">
        <f aca="false">IFERROR(H8+H103,0)</f>
        <v>76500</v>
      </c>
      <c r="I119" s="55" t="n">
        <f aca="false">IFERROR(H119+I8+I103,0)</f>
        <v>154530</v>
      </c>
      <c r="J119" s="55" t="n">
        <f aca="false">IFERROR(I119+J8+J103,0)</f>
        <v>154530</v>
      </c>
      <c r="K119" s="55" t="n">
        <f aca="false">IFERROR(J119+K8+K103,0)</f>
        <v>154530</v>
      </c>
      <c r="L119" s="55" t="n">
        <f aca="false">IFERROR(K119+L8+L103,0)</f>
        <v>154530</v>
      </c>
      <c r="M119" s="55" t="n">
        <f aca="false">IFERROR(L119+M8+M103,0)</f>
        <v>154530</v>
      </c>
      <c r="N119" s="55" t="n">
        <f aca="false">IFERROR(M119+N8+N103,0)</f>
        <v>154530</v>
      </c>
      <c r="O119" s="55" t="n">
        <f aca="false">IFERROR(N119+O8+O103,0)</f>
        <v>154530</v>
      </c>
      <c r="P119" s="55" t="n">
        <f aca="false">IFERROR(O119+P8+P103,0)</f>
        <v>154530</v>
      </c>
      <c r="Q119" s="55" t="n">
        <f aca="false">IFERROR(P119+Q8+Q103,0)</f>
        <v>154530</v>
      </c>
      <c r="R119" s="55" t="n">
        <f aca="false">IFERROR(Q119+R8+R103,0)</f>
        <v>154530</v>
      </c>
      <c r="S119" s="55" t="n">
        <f aca="false">IFERROR(R119+S8+S103,0)</f>
        <v>154530</v>
      </c>
      <c r="T119" s="55" t="n">
        <f aca="false">IFERROR(S119+T8+T103,0)</f>
        <v>154530</v>
      </c>
      <c r="U119" s="55" t="n">
        <f aca="false">IFERROR(T119+U8+U103,0)</f>
        <v>154530</v>
      </c>
      <c r="V119" s="55" t="n">
        <f aca="false">IFERROR(U119+V8+V103,0)</f>
        <v>154530</v>
      </c>
      <c r="W119" s="55" t="n">
        <f aca="false">IFERROR(V119+W8+W103,0)</f>
        <v>154530</v>
      </c>
      <c r="X119" s="55" t="n">
        <f aca="false">IFERROR(W119+X8+X103,0)</f>
        <v>154530</v>
      </c>
      <c r="Y119" s="55" t="n">
        <f aca="false">IFERROR(X119+Y8+Y103,0)</f>
        <v>154530</v>
      </c>
      <c r="Z119" s="55" t="n">
        <f aca="false">IFERROR(Y119+Z8+Z103,0)</f>
        <v>154530</v>
      </c>
      <c r="AA119" s="55" t="n">
        <f aca="false">IFERROR(Z119+AA8+AA103,0)</f>
        <v>154530</v>
      </c>
      <c r="AB119" s="55" t="n">
        <f aca="false">IFERROR(AA119+AB8+AB103,0)</f>
        <v>154530</v>
      </c>
      <c r="AC119" s="55" t="n">
        <f aca="false">IFERROR(AB119+AC8+AC103,0)</f>
        <v>154530</v>
      </c>
      <c r="AD119" s="55" t="n">
        <f aca="false">IFERROR(AC119+AD8+AD103,0)</f>
        <v>154530</v>
      </c>
      <c r="AE119" s="55" t="n">
        <f aca="false">IFERROR(AD119+AE8+AE103,0)</f>
        <v>154530</v>
      </c>
      <c r="AF119" s="55" t="n">
        <f aca="false">IFERROR(AE119+AF8+AF103,0)</f>
        <v>154530</v>
      </c>
      <c r="AG119" s="55" t="n">
        <f aca="false">IFERROR(AF119+AG8+AG103,0)</f>
        <v>154530</v>
      </c>
      <c r="AH119" s="55" t="n">
        <f aca="false">IFERROR(AG119+AH8+AH103,0)</f>
        <v>154530</v>
      </c>
      <c r="AI119" s="55" t="n">
        <f aca="false">IFERROR(AH119+AI8+AI103,0)</f>
        <v>154530</v>
      </c>
      <c r="AJ119" s="55" t="n">
        <f aca="false">IFERROR(AI119+AJ8+AJ103,0)</f>
        <v>154530</v>
      </c>
      <c r="AK119" s="55" t="n">
        <f aca="false">IFERROR(AJ119+AK8+AK103,0)</f>
        <v>154530</v>
      </c>
      <c r="AL119" s="55" t="n">
        <f aca="false">IFERROR(AK119+AL8+AL103,0)</f>
        <v>154530</v>
      </c>
    </row>
    <row r="120" customFormat="false" ht="15" hidden="false" customHeight="false" outlineLevel="0" collapsed="false">
      <c r="B120" s="13"/>
      <c r="C120" s="370" t="str">
        <f aca="false">C104</f>
        <v>Nursery - Buildings</v>
      </c>
      <c r="D120" s="30" t="s">
        <v>779</v>
      </c>
      <c r="E120" s="30"/>
      <c r="H120" s="55" t="n">
        <f aca="false">IFERROR(H9+H104,0)</f>
        <v>0</v>
      </c>
      <c r="I120" s="55" t="n">
        <f aca="false">IFERROR(H120+I9+I104,0)</f>
        <v>0</v>
      </c>
      <c r="J120" s="55" t="n">
        <f aca="false">IFERROR(I120+J9+J104,0)</f>
        <v>0</v>
      </c>
      <c r="K120" s="55" t="n">
        <f aca="false">IFERROR(J120+K9+K104,0)</f>
        <v>0</v>
      </c>
      <c r="L120" s="55" t="n">
        <f aca="false">IFERROR(K120+L9+L104,0)</f>
        <v>0</v>
      </c>
      <c r="M120" s="55" t="n">
        <f aca="false">IFERROR(L120+M9+M104,0)</f>
        <v>0</v>
      </c>
      <c r="N120" s="55" t="n">
        <f aca="false">IFERROR(M120+N9+N104,0)</f>
        <v>0</v>
      </c>
      <c r="O120" s="55" t="n">
        <f aca="false">IFERROR(N120+O9+O104,0)</f>
        <v>0</v>
      </c>
      <c r="P120" s="55" t="n">
        <f aca="false">IFERROR(O120+P9+P104,0)</f>
        <v>0</v>
      </c>
      <c r="Q120" s="55" t="n">
        <f aca="false">IFERROR(P120+Q9+Q104,0)</f>
        <v>0</v>
      </c>
      <c r="R120" s="55" t="n">
        <f aca="false">IFERROR(Q120+R9+R104,0)</f>
        <v>0</v>
      </c>
      <c r="S120" s="55" t="n">
        <f aca="false">IFERROR(R120+S9+S104,0)</f>
        <v>0</v>
      </c>
      <c r="T120" s="55" t="n">
        <f aca="false">IFERROR(S120+T9+T104,0)</f>
        <v>0</v>
      </c>
      <c r="U120" s="55" t="n">
        <f aca="false">IFERROR(T120+U9+U104,0)</f>
        <v>0</v>
      </c>
      <c r="V120" s="55" t="n">
        <f aca="false">IFERROR(U120+V9+V104,0)</f>
        <v>0</v>
      </c>
      <c r="W120" s="55" t="n">
        <f aca="false">IFERROR(V120+W9+W104,0)</f>
        <v>0</v>
      </c>
      <c r="X120" s="55" t="n">
        <f aca="false">IFERROR(W120+X9+X104,0)</f>
        <v>0</v>
      </c>
      <c r="Y120" s="55" t="n">
        <f aca="false">IFERROR(X120+Y9+Y104,0)</f>
        <v>0</v>
      </c>
      <c r="Z120" s="55" t="n">
        <f aca="false">IFERROR(Y120+Z9+Z104,0)</f>
        <v>0</v>
      </c>
      <c r="AA120" s="55" t="n">
        <f aca="false">IFERROR(Z120+AA9+AA104,0)</f>
        <v>0</v>
      </c>
      <c r="AB120" s="55" t="n">
        <f aca="false">IFERROR(AA120+AB9+AB104,0)</f>
        <v>0</v>
      </c>
      <c r="AC120" s="55" t="n">
        <f aca="false">IFERROR(AB120+AC9+AC104,0)</f>
        <v>0</v>
      </c>
      <c r="AD120" s="55" t="n">
        <f aca="false">IFERROR(AC120+AD9+AD104,0)</f>
        <v>0</v>
      </c>
      <c r="AE120" s="55" t="n">
        <f aca="false">IFERROR(AD120+AE9+AE104,0)</f>
        <v>0</v>
      </c>
      <c r="AF120" s="55" t="n">
        <f aca="false">IFERROR(AE120+AF9+AF104,0)</f>
        <v>0</v>
      </c>
      <c r="AG120" s="55" t="n">
        <f aca="false">IFERROR(AF120+AG9+AG104,0)</f>
        <v>0</v>
      </c>
      <c r="AH120" s="55" t="n">
        <f aca="false">IFERROR(AG120+AH9+AH104,0)</f>
        <v>0</v>
      </c>
      <c r="AI120" s="55" t="n">
        <f aca="false">IFERROR(AH120+AI9+AI104,0)</f>
        <v>0</v>
      </c>
      <c r="AJ120" s="55" t="n">
        <f aca="false">IFERROR(AI120+AJ9+AJ104,0)</f>
        <v>0</v>
      </c>
      <c r="AK120" s="55" t="n">
        <f aca="false">IFERROR(AJ120+AK9+AK104,0)</f>
        <v>0</v>
      </c>
      <c r="AL120" s="55" t="n">
        <f aca="false">IFERROR(AK120+AL9+AL104,0)</f>
        <v>0</v>
      </c>
    </row>
    <row r="121" customFormat="false" ht="15" hidden="false" customHeight="false" outlineLevel="0" collapsed="false">
      <c r="B121" s="13"/>
      <c r="C121" s="370" t="str">
        <f aca="false">C105</f>
        <v>Nursery - Vehicles</v>
      </c>
      <c r="D121" s="30" t="s">
        <v>310</v>
      </c>
      <c r="E121" s="30"/>
      <c r="H121" s="55" t="n">
        <f aca="false">IFERROR(H10+H105,0)</f>
        <v>0</v>
      </c>
      <c r="I121" s="55" t="n">
        <f aca="false">IFERROR(H121+I10+I105,0)</f>
        <v>0</v>
      </c>
      <c r="J121" s="55" t="n">
        <f aca="false">IFERROR(I121+J10+J105,0)</f>
        <v>0</v>
      </c>
      <c r="K121" s="55" t="n">
        <f aca="false">IFERROR(J121+K10+K105,0)</f>
        <v>0</v>
      </c>
      <c r="L121" s="55" t="n">
        <f aca="false">IFERROR(K121+L10+L105,0)</f>
        <v>0</v>
      </c>
      <c r="M121" s="55" t="n">
        <f aca="false">IFERROR(L121+M10+M105,0)</f>
        <v>0</v>
      </c>
      <c r="N121" s="55" t="n">
        <f aca="false">IFERROR(M121+N10+N105,0)</f>
        <v>0</v>
      </c>
      <c r="O121" s="55" t="n">
        <f aca="false">IFERROR(N121+O10+O105,0)</f>
        <v>0</v>
      </c>
      <c r="P121" s="55" t="n">
        <f aca="false">IFERROR(O121+P10+P105,0)</f>
        <v>0</v>
      </c>
      <c r="Q121" s="55" t="n">
        <f aca="false">IFERROR(P121+Q10+Q105,0)</f>
        <v>0</v>
      </c>
      <c r="R121" s="55" t="n">
        <f aca="false">IFERROR(Q121+R10+R105,0)</f>
        <v>0</v>
      </c>
      <c r="S121" s="55" t="n">
        <f aca="false">IFERROR(R121+S10+S105,0)</f>
        <v>0</v>
      </c>
      <c r="T121" s="55" t="n">
        <f aca="false">IFERROR(S121+T10+T105,0)</f>
        <v>0</v>
      </c>
      <c r="U121" s="55" t="n">
        <f aca="false">IFERROR(T121+U10+U105,0)</f>
        <v>0</v>
      </c>
      <c r="V121" s="55" t="n">
        <f aca="false">IFERROR(U121+V10+V105,0)</f>
        <v>0</v>
      </c>
      <c r="W121" s="55" t="n">
        <f aca="false">IFERROR(V121+W10+W105,0)</f>
        <v>0</v>
      </c>
      <c r="X121" s="55" t="n">
        <f aca="false">IFERROR(W121+X10+X105,0)</f>
        <v>0</v>
      </c>
      <c r="Y121" s="55" t="n">
        <f aca="false">IFERROR(X121+Y10+Y105,0)</f>
        <v>0</v>
      </c>
      <c r="Z121" s="55" t="n">
        <f aca="false">IFERROR(Y121+Z10+Z105,0)</f>
        <v>0</v>
      </c>
      <c r="AA121" s="55" t="n">
        <f aca="false">IFERROR(Z121+AA10+AA105,0)</f>
        <v>0</v>
      </c>
      <c r="AB121" s="55" t="n">
        <f aca="false">IFERROR(AA121+AB10+AB105,0)</f>
        <v>0</v>
      </c>
      <c r="AC121" s="55" t="n">
        <f aca="false">IFERROR(AB121+AC10+AC105,0)</f>
        <v>0</v>
      </c>
      <c r="AD121" s="55" t="n">
        <f aca="false">IFERROR(AC121+AD10+AD105,0)</f>
        <v>0</v>
      </c>
      <c r="AE121" s="55" t="n">
        <f aca="false">IFERROR(AD121+AE10+AE105,0)</f>
        <v>0</v>
      </c>
      <c r="AF121" s="55" t="n">
        <f aca="false">IFERROR(AE121+AF10+AF105,0)</f>
        <v>0</v>
      </c>
      <c r="AG121" s="55" t="n">
        <f aca="false">IFERROR(AF121+AG10+AG105,0)</f>
        <v>0</v>
      </c>
      <c r="AH121" s="55" t="n">
        <f aca="false">IFERROR(AG121+AH10+AH105,0)</f>
        <v>0</v>
      </c>
      <c r="AI121" s="55" t="n">
        <f aca="false">IFERROR(AH121+AI10+AI105,0)</f>
        <v>0</v>
      </c>
      <c r="AJ121" s="55" t="n">
        <f aca="false">IFERROR(AI121+AJ10+AJ105,0)</f>
        <v>0</v>
      </c>
      <c r="AK121" s="55" t="n">
        <f aca="false">IFERROR(AJ121+AK10+AK105,0)</f>
        <v>0</v>
      </c>
      <c r="AL121" s="55" t="n">
        <f aca="false">IFERROR(AK121+AL10+AL105,0)</f>
        <v>0</v>
      </c>
    </row>
    <row r="122" customFormat="false" ht="15" hidden="false" customHeight="false" outlineLevel="0" collapsed="false">
      <c r="B122" s="13"/>
      <c r="C122" s="370" t="str">
        <f aca="false">C106</f>
        <v>Nursery - Irrigation</v>
      </c>
      <c r="D122" s="30" t="s">
        <v>779</v>
      </c>
      <c r="E122" s="30"/>
      <c r="H122" s="55" t="n">
        <f aca="false">IFERROR(H11+H106,0)</f>
        <v>0</v>
      </c>
      <c r="I122" s="55" t="n">
        <f aca="false">IFERROR(H122+I11+I106,0)</f>
        <v>0</v>
      </c>
      <c r="J122" s="55" t="n">
        <f aca="false">IFERROR(I122+J11+J106,0)</f>
        <v>0</v>
      </c>
      <c r="K122" s="55" t="n">
        <f aca="false">IFERROR(J122+K11+K106,0)</f>
        <v>0</v>
      </c>
      <c r="L122" s="55" t="n">
        <f aca="false">IFERROR(K122+L11+L106,0)</f>
        <v>0</v>
      </c>
      <c r="M122" s="55" t="n">
        <f aca="false">IFERROR(L122+M11+M106,0)</f>
        <v>0</v>
      </c>
      <c r="N122" s="55" t="n">
        <f aca="false">IFERROR(M122+N11+N106,0)</f>
        <v>0</v>
      </c>
      <c r="O122" s="55" t="n">
        <f aca="false">IFERROR(N122+O11+O106,0)</f>
        <v>0</v>
      </c>
      <c r="P122" s="55" t="n">
        <f aca="false">IFERROR(O122+P11+P106,0)</f>
        <v>0</v>
      </c>
      <c r="Q122" s="55" t="n">
        <f aca="false">IFERROR(P122+Q11+Q106,0)</f>
        <v>0</v>
      </c>
      <c r="R122" s="55" t="n">
        <f aca="false">IFERROR(Q122+R11+R106,0)</f>
        <v>0</v>
      </c>
      <c r="S122" s="55" t="n">
        <f aca="false">IFERROR(R122+S11+S106,0)</f>
        <v>0</v>
      </c>
      <c r="T122" s="55" t="n">
        <f aca="false">IFERROR(S122+T11+T106,0)</f>
        <v>0</v>
      </c>
      <c r="U122" s="55" t="n">
        <f aca="false">IFERROR(T122+U11+U106,0)</f>
        <v>0</v>
      </c>
      <c r="V122" s="55" t="n">
        <f aca="false">IFERROR(U122+V11+V106,0)</f>
        <v>0</v>
      </c>
      <c r="W122" s="55" t="n">
        <f aca="false">IFERROR(V122+W11+W106,0)</f>
        <v>0</v>
      </c>
      <c r="X122" s="55" t="n">
        <f aca="false">IFERROR(W122+X11+X106,0)</f>
        <v>0</v>
      </c>
      <c r="Y122" s="55" t="n">
        <f aca="false">IFERROR(X122+Y11+Y106,0)</f>
        <v>0</v>
      </c>
      <c r="Z122" s="55" t="n">
        <f aca="false">IFERROR(Y122+Z11+Z106,0)</f>
        <v>0</v>
      </c>
      <c r="AA122" s="55" t="n">
        <f aca="false">IFERROR(Z122+AA11+AA106,0)</f>
        <v>0</v>
      </c>
      <c r="AB122" s="55" t="n">
        <f aca="false">IFERROR(AA122+AB11+AB106,0)</f>
        <v>0</v>
      </c>
      <c r="AC122" s="55" t="n">
        <f aca="false">IFERROR(AB122+AC11+AC106,0)</f>
        <v>0</v>
      </c>
      <c r="AD122" s="55" t="n">
        <f aca="false">IFERROR(AC122+AD11+AD106,0)</f>
        <v>0</v>
      </c>
      <c r="AE122" s="55" t="n">
        <f aca="false">IFERROR(AD122+AE11+AE106,0)</f>
        <v>0</v>
      </c>
      <c r="AF122" s="55" t="n">
        <f aca="false">IFERROR(AE122+AF11+AF106,0)</f>
        <v>0</v>
      </c>
      <c r="AG122" s="55" t="n">
        <f aca="false">IFERROR(AF122+AG11+AG106,0)</f>
        <v>0</v>
      </c>
      <c r="AH122" s="55" t="n">
        <f aca="false">IFERROR(AG122+AH11+AH106,0)</f>
        <v>0</v>
      </c>
      <c r="AI122" s="55" t="n">
        <f aca="false">IFERROR(AH122+AI11+AI106,0)</f>
        <v>0</v>
      </c>
      <c r="AJ122" s="55" t="n">
        <f aca="false">IFERROR(AI122+AJ11+AJ106,0)</f>
        <v>0</v>
      </c>
      <c r="AK122" s="55" t="n">
        <f aca="false">IFERROR(AJ122+AK11+AK106,0)</f>
        <v>0</v>
      </c>
      <c r="AL122" s="55" t="n">
        <f aca="false">IFERROR(AK122+AL11+AL106,0)</f>
        <v>0</v>
      </c>
    </row>
    <row r="123" customFormat="false" ht="15" hidden="false" customHeight="false" outlineLevel="0" collapsed="false">
      <c r="B123" s="13"/>
      <c r="C123" s="370" t="str">
        <f aca="false">C107</f>
        <v>Nursery trays</v>
      </c>
      <c r="D123" s="30" t="s">
        <v>626</v>
      </c>
      <c r="E123" s="30"/>
      <c r="H123" s="55" t="n">
        <f aca="false">IFERROR(H12+H107,0)</f>
        <v>0</v>
      </c>
      <c r="I123" s="55" t="n">
        <f aca="false">IFERROR(H123+I12+I107,0)</f>
        <v>0</v>
      </c>
      <c r="J123" s="55" t="n">
        <f aca="false">IFERROR(I123+J12+J107,0)</f>
        <v>0</v>
      </c>
      <c r="K123" s="55" t="n">
        <f aca="false">IFERROR(J123+K12+K107,0)</f>
        <v>0</v>
      </c>
      <c r="L123" s="55" t="n">
        <f aca="false">IFERROR(K123+L12+L107,0)</f>
        <v>0</v>
      </c>
      <c r="M123" s="55" t="n">
        <f aca="false">IFERROR(L123+M12+M107,0)</f>
        <v>0</v>
      </c>
      <c r="N123" s="55" t="n">
        <f aca="false">IFERROR(M123+N12+N107,0)</f>
        <v>0</v>
      </c>
      <c r="O123" s="55" t="n">
        <f aca="false">IFERROR(N123+O12+O107,0)</f>
        <v>0</v>
      </c>
      <c r="P123" s="55" t="n">
        <f aca="false">IFERROR(O123+P12+P107,0)</f>
        <v>0</v>
      </c>
      <c r="Q123" s="55" t="n">
        <f aca="false">IFERROR(P123+Q12+Q107,0)</f>
        <v>0</v>
      </c>
      <c r="R123" s="55" t="n">
        <f aca="false">IFERROR(Q123+R12+R107,0)</f>
        <v>0</v>
      </c>
      <c r="S123" s="55" t="n">
        <f aca="false">IFERROR(R123+S12+S107,0)</f>
        <v>0</v>
      </c>
      <c r="T123" s="55" t="n">
        <f aca="false">IFERROR(S123+T12+T107,0)</f>
        <v>0</v>
      </c>
      <c r="U123" s="55" t="n">
        <f aca="false">IFERROR(T123+U12+U107,0)</f>
        <v>0</v>
      </c>
      <c r="V123" s="55" t="n">
        <f aca="false">IFERROR(U123+V12+V107,0)</f>
        <v>0</v>
      </c>
      <c r="W123" s="55" t="n">
        <f aca="false">IFERROR(V123+W12+W107,0)</f>
        <v>0</v>
      </c>
      <c r="X123" s="55" t="n">
        <f aca="false">IFERROR(W123+X12+X107,0)</f>
        <v>0</v>
      </c>
      <c r="Y123" s="55" t="n">
        <f aca="false">IFERROR(X123+Y12+Y107,0)</f>
        <v>0</v>
      </c>
      <c r="Z123" s="55" t="n">
        <f aca="false">IFERROR(Y123+Z12+Z107,0)</f>
        <v>0</v>
      </c>
      <c r="AA123" s="55" t="n">
        <f aca="false">IFERROR(Z123+AA12+AA107,0)</f>
        <v>0</v>
      </c>
      <c r="AB123" s="55" t="n">
        <f aca="false">IFERROR(AA123+AB12+AB107,0)</f>
        <v>0</v>
      </c>
      <c r="AC123" s="55" t="n">
        <f aca="false">IFERROR(AB123+AC12+AC107,0)</f>
        <v>0</v>
      </c>
      <c r="AD123" s="55" t="n">
        <f aca="false">IFERROR(AC123+AD12+AD107,0)</f>
        <v>0</v>
      </c>
      <c r="AE123" s="55" t="n">
        <f aca="false">IFERROR(AD123+AE12+AE107,0)</f>
        <v>0</v>
      </c>
      <c r="AF123" s="55" t="n">
        <f aca="false">IFERROR(AE123+AF12+AF107,0)</f>
        <v>0</v>
      </c>
      <c r="AG123" s="55" t="n">
        <f aca="false">IFERROR(AF123+AG12+AG107,0)</f>
        <v>0</v>
      </c>
      <c r="AH123" s="55" t="n">
        <f aca="false">IFERROR(AG123+AH12+AH107,0)</f>
        <v>0</v>
      </c>
      <c r="AI123" s="55" t="n">
        <f aca="false">IFERROR(AH123+AI12+AI107,0)</f>
        <v>0</v>
      </c>
      <c r="AJ123" s="55" t="n">
        <f aca="false">IFERROR(AI123+AJ12+AJ107,0)</f>
        <v>0</v>
      </c>
      <c r="AK123" s="55" t="n">
        <f aca="false">IFERROR(AJ123+AK12+AK107,0)</f>
        <v>0</v>
      </c>
      <c r="AL123" s="55" t="n">
        <f aca="false">IFERROR(AK123+AL12+AL107,0)</f>
        <v>0</v>
      </c>
    </row>
    <row r="124" customFormat="false" ht="15" hidden="false" customHeight="false" outlineLevel="0" collapsed="false">
      <c r="B124" s="13"/>
      <c r="C124" s="370" t="str">
        <f aca="false">C108</f>
        <v>Plantation - Vehicles</v>
      </c>
      <c r="D124" s="30" t="s">
        <v>310</v>
      </c>
      <c r="E124" s="30"/>
      <c r="H124" s="55" t="n">
        <f aca="false">IFERROR(H13+H108,0)</f>
        <v>0</v>
      </c>
      <c r="I124" s="55" t="n">
        <f aca="false">IFERROR(H124+I13+I108,0)</f>
        <v>0</v>
      </c>
      <c r="J124" s="55" t="n">
        <f aca="false">IFERROR(I124+J13+J108,0)</f>
        <v>0</v>
      </c>
      <c r="K124" s="55" t="n">
        <f aca="false">IFERROR(J124+K13+K108,0)</f>
        <v>0</v>
      </c>
      <c r="L124" s="55" t="n">
        <f aca="false">IFERROR(K124+L13+L108,0)</f>
        <v>0</v>
      </c>
      <c r="M124" s="55" t="n">
        <f aca="false">IFERROR(L124+M13+M108,0)</f>
        <v>0</v>
      </c>
      <c r="N124" s="55" t="n">
        <f aca="false">IFERROR(M124+N13+N108,0)</f>
        <v>0</v>
      </c>
      <c r="O124" s="55" t="n">
        <f aca="false">IFERROR(N124+O13+O108,0)</f>
        <v>0</v>
      </c>
      <c r="P124" s="55" t="n">
        <f aca="false">IFERROR(O124+P13+P108,0)</f>
        <v>0</v>
      </c>
      <c r="Q124" s="55" t="n">
        <f aca="false">IFERROR(P124+Q13+Q108,0)</f>
        <v>0</v>
      </c>
      <c r="R124" s="55" t="n">
        <f aca="false">IFERROR(Q124+R13+R108,0)</f>
        <v>0</v>
      </c>
      <c r="S124" s="55" t="n">
        <f aca="false">IFERROR(R124+S13+S108,0)</f>
        <v>0</v>
      </c>
      <c r="T124" s="55" t="n">
        <f aca="false">IFERROR(S124+T13+T108,0)</f>
        <v>0</v>
      </c>
      <c r="U124" s="55" t="n">
        <f aca="false">IFERROR(T124+U13+U108,0)</f>
        <v>0</v>
      </c>
      <c r="V124" s="55" t="n">
        <f aca="false">IFERROR(U124+V13+V108,0)</f>
        <v>0</v>
      </c>
      <c r="W124" s="55" t="n">
        <f aca="false">IFERROR(V124+W13+W108,0)</f>
        <v>0</v>
      </c>
      <c r="X124" s="55" t="n">
        <f aca="false">IFERROR(W124+X13+X108,0)</f>
        <v>0</v>
      </c>
      <c r="Y124" s="55" t="n">
        <f aca="false">IFERROR(X124+Y13+Y108,0)</f>
        <v>0</v>
      </c>
      <c r="Z124" s="55" t="n">
        <f aca="false">IFERROR(Y124+Z13+Z108,0)</f>
        <v>0</v>
      </c>
      <c r="AA124" s="55" t="n">
        <f aca="false">IFERROR(Z124+AA13+AA108,0)</f>
        <v>0</v>
      </c>
      <c r="AB124" s="55" t="n">
        <f aca="false">IFERROR(AA124+AB13+AB108,0)</f>
        <v>0</v>
      </c>
      <c r="AC124" s="55" t="n">
        <f aca="false">IFERROR(AB124+AC13+AC108,0)</f>
        <v>0</v>
      </c>
      <c r="AD124" s="55" t="n">
        <f aca="false">IFERROR(AC124+AD13+AD108,0)</f>
        <v>0</v>
      </c>
      <c r="AE124" s="55" t="n">
        <f aca="false">IFERROR(AD124+AE13+AE108,0)</f>
        <v>0</v>
      </c>
      <c r="AF124" s="55" t="n">
        <f aca="false">IFERROR(AE124+AF13+AF108,0)</f>
        <v>0</v>
      </c>
      <c r="AG124" s="55" t="n">
        <f aca="false">IFERROR(AF124+AG13+AG108,0)</f>
        <v>0</v>
      </c>
      <c r="AH124" s="55" t="n">
        <f aca="false">IFERROR(AG124+AH13+AH108,0)</f>
        <v>0</v>
      </c>
      <c r="AI124" s="55" t="n">
        <f aca="false">IFERROR(AH124+AI13+AI108,0)</f>
        <v>0</v>
      </c>
      <c r="AJ124" s="55" t="n">
        <f aca="false">IFERROR(AI124+AJ13+AJ108,0)</f>
        <v>0</v>
      </c>
      <c r="AK124" s="55" t="n">
        <f aca="false">IFERROR(AJ124+AK13+AK108,0)</f>
        <v>0</v>
      </c>
      <c r="AL124" s="55" t="n">
        <f aca="false">IFERROR(AK124+AL13+AL108,0)</f>
        <v>0</v>
      </c>
    </row>
    <row r="125" customFormat="false" ht="15" hidden="false" customHeight="false" outlineLevel="0" collapsed="false">
      <c r="B125" s="13"/>
      <c r="C125" s="370" t="str">
        <f aca="false">C109</f>
        <v>Plantation - Office Equipment</v>
      </c>
      <c r="D125" s="30" t="s">
        <v>608</v>
      </c>
      <c r="E125" s="30"/>
      <c r="H125" s="55" t="n">
        <f aca="false">IFERROR(H14+H109,0)</f>
        <v>0</v>
      </c>
      <c r="I125" s="55" t="n">
        <f aca="false">IFERROR(H125+I14+I109,0)</f>
        <v>0</v>
      </c>
      <c r="J125" s="55" t="n">
        <f aca="false">IFERROR(I125+J14+J109,0)</f>
        <v>0</v>
      </c>
      <c r="K125" s="55" t="n">
        <f aca="false">IFERROR(J125+K14+K109,0)</f>
        <v>0</v>
      </c>
      <c r="L125" s="55" t="n">
        <f aca="false">IFERROR(K125+L14+L109,0)</f>
        <v>0</v>
      </c>
      <c r="M125" s="55" t="n">
        <f aca="false">IFERROR(L125+M14+M109,0)</f>
        <v>0</v>
      </c>
      <c r="N125" s="55" t="n">
        <f aca="false">IFERROR(M125+N14+N109,0)</f>
        <v>0</v>
      </c>
      <c r="O125" s="55" t="n">
        <f aca="false">IFERROR(N125+O14+O109,0)</f>
        <v>0</v>
      </c>
      <c r="P125" s="55" t="n">
        <f aca="false">IFERROR(O125+P14+P109,0)</f>
        <v>0</v>
      </c>
      <c r="Q125" s="55" t="n">
        <f aca="false">IFERROR(P125+Q14+Q109,0)</f>
        <v>0</v>
      </c>
      <c r="R125" s="55" t="n">
        <f aca="false">IFERROR(Q125+R14+R109,0)</f>
        <v>0</v>
      </c>
      <c r="S125" s="55" t="n">
        <f aca="false">IFERROR(R125+S14+S109,0)</f>
        <v>0</v>
      </c>
      <c r="T125" s="55" t="n">
        <f aca="false">IFERROR(S125+T14+T109,0)</f>
        <v>0</v>
      </c>
      <c r="U125" s="55" t="n">
        <f aca="false">IFERROR(T125+U14+U109,0)</f>
        <v>0</v>
      </c>
      <c r="V125" s="55" t="n">
        <f aca="false">IFERROR(U125+V14+V109,0)</f>
        <v>0</v>
      </c>
      <c r="W125" s="55" t="n">
        <f aca="false">IFERROR(V125+W14+W109,0)</f>
        <v>0</v>
      </c>
      <c r="X125" s="55" t="n">
        <f aca="false">IFERROR(W125+X14+X109,0)</f>
        <v>0</v>
      </c>
      <c r="Y125" s="55" t="n">
        <f aca="false">IFERROR(X125+Y14+Y109,0)</f>
        <v>0</v>
      </c>
      <c r="Z125" s="55" t="n">
        <f aca="false">IFERROR(Y125+Z14+Z109,0)</f>
        <v>0</v>
      </c>
      <c r="AA125" s="55" t="n">
        <f aca="false">IFERROR(Z125+AA14+AA109,0)</f>
        <v>0</v>
      </c>
      <c r="AB125" s="55" t="n">
        <f aca="false">IFERROR(AA125+AB14+AB109,0)</f>
        <v>0</v>
      </c>
      <c r="AC125" s="55" t="n">
        <f aca="false">IFERROR(AB125+AC14+AC109,0)</f>
        <v>0</v>
      </c>
      <c r="AD125" s="55" t="n">
        <f aca="false">IFERROR(AC125+AD14+AD109,0)</f>
        <v>0</v>
      </c>
      <c r="AE125" s="55" t="n">
        <f aca="false">IFERROR(AD125+AE14+AE109,0)</f>
        <v>0</v>
      </c>
      <c r="AF125" s="55" t="n">
        <f aca="false">IFERROR(AE125+AF14+AF109,0)</f>
        <v>0</v>
      </c>
      <c r="AG125" s="55" t="n">
        <f aca="false">IFERROR(AF125+AG14+AG109,0)</f>
        <v>0</v>
      </c>
      <c r="AH125" s="55" t="n">
        <f aca="false">IFERROR(AG125+AH14+AH109,0)</f>
        <v>0</v>
      </c>
      <c r="AI125" s="55" t="n">
        <f aca="false">IFERROR(AH125+AI14+AI109,0)</f>
        <v>0</v>
      </c>
      <c r="AJ125" s="55" t="n">
        <f aca="false">IFERROR(AI125+AJ14+AJ109,0)</f>
        <v>0</v>
      </c>
      <c r="AK125" s="55" t="n">
        <f aca="false">IFERROR(AJ125+AK14+AK109,0)</f>
        <v>0</v>
      </c>
      <c r="AL125" s="55" t="n">
        <f aca="false">IFERROR(AK125+AL14+AL109,0)</f>
        <v>0</v>
      </c>
    </row>
    <row r="126" customFormat="false" ht="15" hidden="false" customHeight="false" outlineLevel="0" collapsed="false">
      <c r="B126" s="13"/>
      <c r="C126" s="370" t="str">
        <f aca="false">C110</f>
        <v>Processing Plants - Land</v>
      </c>
      <c r="D126" s="30" t="s">
        <v>292</v>
      </c>
      <c r="E126" s="30"/>
      <c r="H126" s="55" t="n">
        <f aca="false">IFERROR(H15+H110,0)</f>
        <v>0</v>
      </c>
      <c r="I126" s="55" t="n">
        <f aca="false">IFERROR(H126+I15+I110,0)</f>
        <v>22050</v>
      </c>
      <c r="J126" s="55" t="n">
        <f aca="false">IFERROR(I126+J15+J110,0)</f>
        <v>45202.5</v>
      </c>
      <c r="K126" s="55" t="n">
        <f aca="false">IFERROR(J126+K15+K110,0)</f>
        <v>69512.625</v>
      </c>
      <c r="L126" s="55" t="n">
        <f aca="false">IFERROR(K126+L15+L110,0)</f>
        <v>95038.25625</v>
      </c>
      <c r="M126" s="55" t="n">
        <f aca="false">IFERROR(L126+M15+M110,0)</f>
        <v>121840.1690625</v>
      </c>
      <c r="N126" s="55" t="n">
        <f aca="false">IFERROR(M126+N15+N110,0)</f>
        <v>149982.177515625</v>
      </c>
      <c r="O126" s="55" t="n">
        <f aca="false">IFERROR(N126+O15+O110,0)</f>
        <v>179531.286391406</v>
      </c>
      <c r="P126" s="55" t="n">
        <f aca="false">IFERROR(O126+P15+P110,0)</f>
        <v>210557.850710977</v>
      </c>
      <c r="Q126" s="55" t="n">
        <f aca="false">IFERROR(P126+Q15+Q110,0)</f>
        <v>243135.743246525</v>
      </c>
      <c r="R126" s="55" t="n">
        <f aca="false">IFERROR(Q126+R15+R110,0)</f>
        <v>243135.743246525</v>
      </c>
      <c r="S126" s="55" t="n">
        <f aca="false">IFERROR(R126+S15+S110,0)</f>
        <v>243135.743246525</v>
      </c>
      <c r="T126" s="55" t="n">
        <f aca="false">IFERROR(S126+T15+T110,0)</f>
        <v>243135.743246525</v>
      </c>
      <c r="U126" s="55" t="n">
        <f aca="false">IFERROR(T126+U15+U110,0)</f>
        <v>243135.743246525</v>
      </c>
      <c r="V126" s="55" t="n">
        <f aca="false">IFERROR(U126+V15+V110,0)</f>
        <v>243135.743246525</v>
      </c>
      <c r="W126" s="55" t="n">
        <f aca="false">IFERROR(V126+W15+W110,0)</f>
        <v>243135.743246525</v>
      </c>
      <c r="X126" s="55" t="n">
        <f aca="false">IFERROR(W126+X15+X110,0)</f>
        <v>243135.743246525</v>
      </c>
      <c r="Y126" s="55" t="n">
        <f aca="false">IFERROR(X126+Y15+Y110,0)</f>
        <v>243135.743246525</v>
      </c>
      <c r="Z126" s="55" t="n">
        <f aca="false">IFERROR(Y126+Z15+Z110,0)</f>
        <v>243135.743246525</v>
      </c>
      <c r="AA126" s="55" t="n">
        <f aca="false">IFERROR(Z126+AA15+AA110,0)</f>
        <v>243135.743246525</v>
      </c>
      <c r="AB126" s="55" t="n">
        <f aca="false">IFERROR(AA126+AB15+AB110,0)</f>
        <v>243135.743246525</v>
      </c>
      <c r="AC126" s="55" t="n">
        <f aca="false">IFERROR(AB126+AC15+AC110,0)</f>
        <v>243135.743246525</v>
      </c>
      <c r="AD126" s="55" t="n">
        <f aca="false">IFERROR(AC126+AD15+AD110,0)</f>
        <v>243135.743246525</v>
      </c>
      <c r="AE126" s="55" t="n">
        <f aca="false">IFERROR(AD126+AE15+AE110,0)</f>
        <v>243135.743246525</v>
      </c>
      <c r="AF126" s="55" t="n">
        <f aca="false">IFERROR(AE126+AF15+AF110,0)</f>
        <v>243135.743246525</v>
      </c>
      <c r="AG126" s="55" t="n">
        <f aca="false">IFERROR(AF126+AG15+AG110,0)</f>
        <v>243135.743246525</v>
      </c>
      <c r="AH126" s="55" t="n">
        <f aca="false">IFERROR(AG126+AH15+AH110,0)</f>
        <v>243135.743246525</v>
      </c>
      <c r="AI126" s="55" t="n">
        <f aca="false">IFERROR(AH126+AI15+AI110,0)</f>
        <v>243135.743246525</v>
      </c>
      <c r="AJ126" s="55" t="n">
        <f aca="false">IFERROR(AI126+AJ15+AJ110,0)</f>
        <v>243135.743246525</v>
      </c>
      <c r="AK126" s="55" t="n">
        <f aca="false">IFERROR(AJ126+AK15+AK110,0)</f>
        <v>243135.743246525</v>
      </c>
      <c r="AL126" s="55" t="n">
        <f aca="false">IFERROR(AK126+AL15+AL110,0)</f>
        <v>243135.743246525</v>
      </c>
    </row>
    <row r="127" customFormat="false" ht="15" hidden="false" customHeight="false" outlineLevel="0" collapsed="false">
      <c r="B127" s="13"/>
      <c r="C127" s="370" t="str">
        <f aca="false">C111</f>
        <v>Processing Plants - Building</v>
      </c>
      <c r="D127" s="30" t="s">
        <v>779</v>
      </c>
      <c r="E127" s="30"/>
      <c r="H127" s="55" t="n">
        <f aca="false">IFERROR(H16+H111,0)</f>
        <v>0</v>
      </c>
      <c r="I127" s="55" t="n">
        <f aca="false">IFERROR(H127+I16+I111,0)</f>
        <v>0</v>
      </c>
      <c r="J127" s="55" t="n">
        <f aca="false">IFERROR(I127+J16+J111,0)</f>
        <v>0</v>
      </c>
      <c r="K127" s="55" t="n">
        <f aca="false">IFERROR(J127+K16+K111,0)</f>
        <v>0</v>
      </c>
      <c r="L127" s="55" t="n">
        <f aca="false">IFERROR(K127+L16+L111,0)</f>
        <v>0</v>
      </c>
      <c r="M127" s="55" t="n">
        <f aca="false">IFERROR(L127+M16+M111,0)</f>
        <v>0</v>
      </c>
      <c r="N127" s="55" t="n">
        <f aca="false">IFERROR(M127+N16+N111,0)</f>
        <v>0</v>
      </c>
      <c r="O127" s="55" t="n">
        <f aca="false">IFERROR(N127+O16+O111,0)</f>
        <v>0</v>
      </c>
      <c r="P127" s="55" t="n">
        <f aca="false">IFERROR(O127+P16+P111,0)</f>
        <v>0</v>
      </c>
      <c r="Q127" s="55" t="n">
        <f aca="false">IFERROR(P127+Q16+Q111,0)</f>
        <v>0</v>
      </c>
      <c r="R127" s="55" t="n">
        <f aca="false">IFERROR(Q127+R16+R111,0)</f>
        <v>0</v>
      </c>
      <c r="S127" s="55" t="n">
        <f aca="false">IFERROR(R127+S16+S111,0)</f>
        <v>0</v>
      </c>
      <c r="T127" s="55" t="n">
        <f aca="false">IFERROR(S127+T16+T111,0)</f>
        <v>0</v>
      </c>
      <c r="U127" s="55" t="n">
        <f aca="false">IFERROR(T127+U16+U111,0)</f>
        <v>0</v>
      </c>
      <c r="V127" s="55" t="n">
        <f aca="false">IFERROR(U127+V16+V111,0)</f>
        <v>0</v>
      </c>
      <c r="W127" s="55" t="n">
        <f aca="false">IFERROR(V127+W16+W111,0)</f>
        <v>0</v>
      </c>
      <c r="X127" s="55" t="n">
        <f aca="false">IFERROR(W127+X16+X111,0)</f>
        <v>0</v>
      </c>
      <c r="Y127" s="55" t="n">
        <f aca="false">IFERROR(X127+Y16+Y111,0)</f>
        <v>0</v>
      </c>
      <c r="Z127" s="55" t="n">
        <f aca="false">IFERROR(Y127+Z16+Z111,0)</f>
        <v>0</v>
      </c>
      <c r="AA127" s="55" t="n">
        <f aca="false">IFERROR(Z127+AA16+AA111,0)</f>
        <v>0</v>
      </c>
      <c r="AB127" s="55" t="n">
        <f aca="false">IFERROR(AA127+AB16+AB111,0)</f>
        <v>0</v>
      </c>
      <c r="AC127" s="55" t="n">
        <f aca="false">IFERROR(AB127+AC16+AC111,0)</f>
        <v>0</v>
      </c>
      <c r="AD127" s="55" t="n">
        <f aca="false">IFERROR(AC127+AD16+AD111,0)</f>
        <v>0</v>
      </c>
      <c r="AE127" s="55" t="n">
        <f aca="false">IFERROR(AD127+AE16+AE111,0)</f>
        <v>0</v>
      </c>
      <c r="AF127" s="55" t="n">
        <f aca="false">IFERROR(AE127+AF16+AF111,0)</f>
        <v>0</v>
      </c>
      <c r="AG127" s="55" t="n">
        <f aca="false">IFERROR(AF127+AG16+AG111,0)</f>
        <v>0</v>
      </c>
      <c r="AH127" s="55" t="n">
        <f aca="false">IFERROR(AG127+AH16+AH111,0)</f>
        <v>0</v>
      </c>
      <c r="AI127" s="55" t="n">
        <f aca="false">IFERROR(AH127+AI16+AI111,0)</f>
        <v>0</v>
      </c>
      <c r="AJ127" s="55" t="n">
        <f aca="false">IFERROR(AI127+AJ16+AJ111,0)</f>
        <v>0</v>
      </c>
      <c r="AK127" s="55" t="n">
        <f aca="false">IFERROR(AJ127+AK16+AK111,0)</f>
        <v>0</v>
      </c>
      <c r="AL127" s="55" t="n">
        <f aca="false">IFERROR(AK127+AL16+AL111,0)</f>
        <v>0</v>
      </c>
    </row>
    <row r="128" customFormat="false" ht="15" hidden="false" customHeight="false" outlineLevel="0" collapsed="false">
      <c r="B128" s="13"/>
      <c r="C128" s="370" t="str">
        <f aca="false">C112</f>
        <v>Processing Plants - Equipment</v>
      </c>
      <c r="D128" s="30" t="s">
        <v>626</v>
      </c>
      <c r="E128" s="30"/>
      <c r="H128" s="55" t="n">
        <f aca="false">IFERROR(H17+H112,0)</f>
        <v>0</v>
      </c>
      <c r="I128" s="55" t="n">
        <f aca="false">IFERROR(H128+I17+I112,0)</f>
        <v>0</v>
      </c>
      <c r="J128" s="55" t="n">
        <f aca="false">IFERROR(I128+J17+J112,0)</f>
        <v>0</v>
      </c>
      <c r="K128" s="55" t="n">
        <f aca="false">IFERROR(J128+K17+K112,0)</f>
        <v>0</v>
      </c>
      <c r="L128" s="55" t="n">
        <f aca="false">IFERROR(K128+L17+L112,0)</f>
        <v>0</v>
      </c>
      <c r="M128" s="55" t="n">
        <f aca="false">IFERROR(L128+M17+M112,0)</f>
        <v>0</v>
      </c>
      <c r="N128" s="55" t="n">
        <f aca="false">IFERROR(M128+N17+N112,0)</f>
        <v>0</v>
      </c>
      <c r="O128" s="55" t="n">
        <f aca="false">IFERROR(N128+O17+O112,0)</f>
        <v>0</v>
      </c>
      <c r="P128" s="55" t="n">
        <f aca="false">IFERROR(O128+P17+P112,0)</f>
        <v>0</v>
      </c>
      <c r="Q128" s="55" t="n">
        <f aca="false">IFERROR(P128+Q17+Q112,0)</f>
        <v>0</v>
      </c>
      <c r="R128" s="55" t="n">
        <f aca="false">IFERROR(Q128+R17+R112,0)</f>
        <v>0</v>
      </c>
      <c r="S128" s="55" t="n">
        <f aca="false">IFERROR(R128+S17+S112,0)</f>
        <v>0</v>
      </c>
      <c r="T128" s="55" t="n">
        <f aca="false">IFERROR(S128+T17+T112,0)</f>
        <v>0</v>
      </c>
      <c r="U128" s="55" t="n">
        <f aca="false">IFERROR(T128+U17+U112,0)</f>
        <v>0</v>
      </c>
      <c r="V128" s="55" t="n">
        <f aca="false">IFERROR(U128+V17+V112,0)</f>
        <v>0</v>
      </c>
      <c r="W128" s="55" t="n">
        <f aca="false">IFERROR(V128+W17+W112,0)</f>
        <v>0</v>
      </c>
      <c r="X128" s="55" t="n">
        <f aca="false">IFERROR(W128+X17+X112,0)</f>
        <v>0</v>
      </c>
      <c r="Y128" s="55" t="n">
        <f aca="false">IFERROR(X128+Y17+Y112,0)</f>
        <v>0</v>
      </c>
      <c r="Z128" s="55" t="n">
        <f aca="false">IFERROR(Y128+Z17+Z112,0)</f>
        <v>0</v>
      </c>
      <c r="AA128" s="55" t="n">
        <f aca="false">IFERROR(Z128+AA17+AA112,0)</f>
        <v>0</v>
      </c>
      <c r="AB128" s="55" t="n">
        <f aca="false">IFERROR(AA128+AB17+AB112,0)</f>
        <v>0</v>
      </c>
      <c r="AC128" s="55" t="n">
        <f aca="false">IFERROR(AB128+AC17+AC112,0)</f>
        <v>0</v>
      </c>
      <c r="AD128" s="55" t="n">
        <f aca="false">IFERROR(AC128+AD17+AD112,0)</f>
        <v>0</v>
      </c>
      <c r="AE128" s="55" t="n">
        <f aca="false">IFERROR(AD128+AE17+AE112,0)</f>
        <v>0</v>
      </c>
      <c r="AF128" s="55" t="n">
        <f aca="false">IFERROR(AE128+AF17+AF112,0)</f>
        <v>0</v>
      </c>
      <c r="AG128" s="55" t="n">
        <f aca="false">IFERROR(AF128+AG17+AG112,0)</f>
        <v>0</v>
      </c>
      <c r="AH128" s="55" t="n">
        <f aca="false">IFERROR(AG128+AH17+AH112,0)</f>
        <v>0</v>
      </c>
      <c r="AI128" s="55" t="n">
        <f aca="false">IFERROR(AH128+AI17+AI112,0)</f>
        <v>0</v>
      </c>
      <c r="AJ128" s="55" t="n">
        <f aca="false">IFERROR(AI128+AJ17+AJ112,0)</f>
        <v>0</v>
      </c>
      <c r="AK128" s="55" t="n">
        <f aca="false">IFERROR(AJ128+AK17+AK112,0)</f>
        <v>0</v>
      </c>
      <c r="AL128" s="55" t="n">
        <f aca="false">IFERROR(AK128+AL17+AL112,0)</f>
        <v>0</v>
      </c>
    </row>
    <row r="129" customFormat="false" ht="15" hidden="false" customHeight="false" outlineLevel="0" collapsed="false">
      <c r="B129" s="13"/>
      <c r="C129" s="370" t="str">
        <f aca="false">C113</f>
        <v>Processing Plants - Vehicles</v>
      </c>
      <c r="D129" s="30" t="s">
        <v>310</v>
      </c>
      <c r="E129" s="30"/>
      <c r="H129" s="55" t="n">
        <f aca="false">IFERROR(H18+H113,0)</f>
        <v>0</v>
      </c>
      <c r="I129" s="55" t="n">
        <f aca="false">IFERROR(H129+I18+I113,0)</f>
        <v>0</v>
      </c>
      <c r="J129" s="55" t="n">
        <f aca="false">IFERROR(I129+J18+J113,0)</f>
        <v>0</v>
      </c>
      <c r="K129" s="55" t="n">
        <f aca="false">IFERROR(J129+K18+K113,0)</f>
        <v>0</v>
      </c>
      <c r="L129" s="55" t="n">
        <f aca="false">IFERROR(K129+L18+L113,0)</f>
        <v>0</v>
      </c>
      <c r="M129" s="55" t="n">
        <f aca="false">IFERROR(L129+M18+M113,0)</f>
        <v>0</v>
      </c>
      <c r="N129" s="55" t="n">
        <f aca="false">IFERROR(M129+N18+N113,0)</f>
        <v>0</v>
      </c>
      <c r="O129" s="55" t="n">
        <f aca="false">IFERROR(N129+O18+O113,0)</f>
        <v>0</v>
      </c>
      <c r="P129" s="55" t="n">
        <f aca="false">IFERROR(O129+P18+P113,0)</f>
        <v>0</v>
      </c>
      <c r="Q129" s="55" t="n">
        <f aca="false">IFERROR(P129+Q18+Q113,0)</f>
        <v>0</v>
      </c>
      <c r="R129" s="55" t="n">
        <f aca="false">IFERROR(Q129+R18+R113,0)</f>
        <v>0</v>
      </c>
      <c r="S129" s="55" t="n">
        <f aca="false">IFERROR(R129+S18+S113,0)</f>
        <v>0</v>
      </c>
      <c r="T129" s="55" t="n">
        <f aca="false">IFERROR(S129+T18+T113,0)</f>
        <v>0</v>
      </c>
      <c r="U129" s="55" t="n">
        <f aca="false">IFERROR(T129+U18+U113,0)</f>
        <v>0</v>
      </c>
      <c r="V129" s="55" t="n">
        <f aca="false">IFERROR(U129+V18+V113,0)</f>
        <v>0</v>
      </c>
      <c r="W129" s="55" t="n">
        <f aca="false">IFERROR(V129+W18+W113,0)</f>
        <v>0</v>
      </c>
      <c r="X129" s="55" t="n">
        <f aca="false">IFERROR(W129+X18+X113,0)</f>
        <v>0</v>
      </c>
      <c r="Y129" s="55" t="n">
        <f aca="false">IFERROR(X129+Y18+Y113,0)</f>
        <v>0</v>
      </c>
      <c r="Z129" s="55" t="n">
        <f aca="false">IFERROR(Y129+Z18+Z113,0)</f>
        <v>0</v>
      </c>
      <c r="AA129" s="55" t="n">
        <f aca="false">IFERROR(Z129+AA18+AA113,0)</f>
        <v>0</v>
      </c>
      <c r="AB129" s="55" t="n">
        <f aca="false">IFERROR(AA129+AB18+AB113,0)</f>
        <v>0</v>
      </c>
      <c r="AC129" s="55" t="n">
        <f aca="false">IFERROR(AB129+AC18+AC113,0)</f>
        <v>0</v>
      </c>
      <c r="AD129" s="55" t="n">
        <f aca="false">IFERROR(AC129+AD18+AD113,0)</f>
        <v>0</v>
      </c>
      <c r="AE129" s="55" t="n">
        <f aca="false">IFERROR(AD129+AE18+AE113,0)</f>
        <v>0</v>
      </c>
      <c r="AF129" s="55" t="n">
        <f aca="false">IFERROR(AE129+AF18+AF113,0)</f>
        <v>0</v>
      </c>
      <c r="AG129" s="55" t="n">
        <f aca="false">IFERROR(AF129+AG18+AG113,0)</f>
        <v>0</v>
      </c>
      <c r="AH129" s="55" t="n">
        <f aca="false">IFERROR(AG129+AH18+AH113,0)</f>
        <v>0</v>
      </c>
      <c r="AI129" s="55" t="n">
        <f aca="false">IFERROR(AH129+AI18+AI113,0)</f>
        <v>0</v>
      </c>
      <c r="AJ129" s="55" t="n">
        <f aca="false">IFERROR(AI129+AJ18+AJ113,0)</f>
        <v>0</v>
      </c>
      <c r="AK129" s="55" t="n">
        <f aca="false">IFERROR(AJ129+AK18+AK113,0)</f>
        <v>0</v>
      </c>
      <c r="AL129" s="55" t="n">
        <f aca="false">IFERROR(AK129+AL18+AL113,0)</f>
        <v>0</v>
      </c>
    </row>
    <row r="130" customFormat="false" ht="15" hidden="false" customHeight="false" outlineLevel="0" collapsed="false">
      <c r="B130" s="13"/>
      <c r="C130" s="370" t="str">
        <f aca="false">C114</f>
        <v>Productive Activities OH - Office Equipment</v>
      </c>
      <c r="D130" s="30" t="s">
        <v>608</v>
      </c>
      <c r="E130" s="30"/>
      <c r="H130" s="55" t="n">
        <f aca="false">IFERROR(H19+H114,0)</f>
        <v>0</v>
      </c>
      <c r="I130" s="55" t="n">
        <f aca="false">IFERROR(H130+I19+I114,0)</f>
        <v>0</v>
      </c>
      <c r="J130" s="55" t="n">
        <f aca="false">IFERROR(I130+J19+J114,0)</f>
        <v>0</v>
      </c>
      <c r="K130" s="55" t="n">
        <f aca="false">IFERROR(J130+K19+K114,0)</f>
        <v>0</v>
      </c>
      <c r="L130" s="55" t="n">
        <f aca="false">IFERROR(K130+L19+L114,0)</f>
        <v>0</v>
      </c>
      <c r="M130" s="55" t="n">
        <f aca="false">IFERROR(L130+M19+M114,0)</f>
        <v>0</v>
      </c>
      <c r="N130" s="55" t="n">
        <f aca="false">IFERROR(M130+N19+N114,0)</f>
        <v>0</v>
      </c>
      <c r="O130" s="55" t="n">
        <f aca="false">IFERROR(N130+O19+O114,0)</f>
        <v>0</v>
      </c>
      <c r="P130" s="55" t="n">
        <f aca="false">IFERROR(O130+P19+P114,0)</f>
        <v>0</v>
      </c>
      <c r="Q130" s="55" t="n">
        <f aca="false">IFERROR(P130+Q19+Q114,0)</f>
        <v>0</v>
      </c>
      <c r="R130" s="55" t="n">
        <f aca="false">IFERROR(Q130+R19+R114,0)</f>
        <v>0</v>
      </c>
      <c r="S130" s="55" t="n">
        <f aca="false">IFERROR(R130+S19+S114,0)</f>
        <v>0</v>
      </c>
      <c r="T130" s="55" t="n">
        <f aca="false">IFERROR(S130+T19+T114,0)</f>
        <v>0</v>
      </c>
      <c r="U130" s="55" t="n">
        <f aca="false">IFERROR(T130+U19+U114,0)</f>
        <v>0</v>
      </c>
      <c r="V130" s="55" t="n">
        <f aca="false">IFERROR(U130+V19+V114,0)</f>
        <v>0</v>
      </c>
      <c r="W130" s="55" t="n">
        <f aca="false">IFERROR(V130+W19+W114,0)</f>
        <v>0</v>
      </c>
      <c r="X130" s="55" t="n">
        <f aca="false">IFERROR(W130+X19+X114,0)</f>
        <v>0</v>
      </c>
      <c r="Y130" s="55" t="n">
        <f aca="false">IFERROR(X130+Y19+Y114,0)</f>
        <v>0</v>
      </c>
      <c r="Z130" s="55" t="n">
        <f aca="false">IFERROR(Y130+Z19+Z114,0)</f>
        <v>0</v>
      </c>
      <c r="AA130" s="55" t="n">
        <f aca="false">IFERROR(Z130+AA19+AA114,0)</f>
        <v>0</v>
      </c>
      <c r="AB130" s="55" t="n">
        <f aca="false">IFERROR(AA130+AB19+AB114,0)</f>
        <v>0</v>
      </c>
      <c r="AC130" s="55" t="n">
        <f aca="false">IFERROR(AB130+AC19+AC114,0)</f>
        <v>0</v>
      </c>
      <c r="AD130" s="55" t="n">
        <f aca="false">IFERROR(AC130+AD19+AD114,0)</f>
        <v>0</v>
      </c>
      <c r="AE130" s="55" t="n">
        <f aca="false">IFERROR(AD130+AE19+AE114,0)</f>
        <v>0</v>
      </c>
      <c r="AF130" s="55" t="n">
        <f aca="false">IFERROR(AE130+AF19+AF114,0)</f>
        <v>0</v>
      </c>
      <c r="AG130" s="55" t="n">
        <f aca="false">IFERROR(AF130+AG19+AG114,0)</f>
        <v>0</v>
      </c>
      <c r="AH130" s="55" t="n">
        <f aca="false">IFERROR(AG130+AH19+AH114,0)</f>
        <v>0</v>
      </c>
      <c r="AI130" s="55" t="n">
        <f aca="false">IFERROR(AH130+AI19+AI114,0)</f>
        <v>0</v>
      </c>
      <c r="AJ130" s="55" t="n">
        <f aca="false">IFERROR(AI130+AJ19+AJ114,0)</f>
        <v>0</v>
      </c>
      <c r="AK130" s="55" t="n">
        <f aca="false">IFERROR(AJ130+AK19+AK114,0)</f>
        <v>0</v>
      </c>
      <c r="AL130" s="55" t="n">
        <f aca="false">IFERROR(AK130+AL19+AL114,0)</f>
        <v>0</v>
      </c>
    </row>
    <row r="131" customFormat="false" ht="15" hidden="false" customHeight="false" outlineLevel="0" collapsed="false">
      <c r="B131" s="13"/>
      <c r="C131" s="370" t="str">
        <f aca="false">C115</f>
        <v>Productive Activities OH - Vehicles</v>
      </c>
      <c r="D131" s="30" t="s">
        <v>310</v>
      </c>
      <c r="E131" s="30"/>
      <c r="H131" s="55" t="n">
        <f aca="false">IFERROR(H20+H115,0)</f>
        <v>0</v>
      </c>
      <c r="I131" s="55" t="n">
        <f aca="false">IFERROR(H131+I20+I115,0)</f>
        <v>0</v>
      </c>
      <c r="J131" s="55" t="n">
        <f aca="false">IFERROR(I131+J20+J115,0)</f>
        <v>0</v>
      </c>
      <c r="K131" s="55" t="n">
        <f aca="false">IFERROR(J131+K20+K115,0)</f>
        <v>0</v>
      </c>
      <c r="L131" s="55" t="n">
        <f aca="false">IFERROR(K131+L20+L115,0)</f>
        <v>0</v>
      </c>
      <c r="M131" s="55" t="n">
        <f aca="false">IFERROR(L131+M20+M115,0)</f>
        <v>0</v>
      </c>
      <c r="N131" s="55" t="n">
        <f aca="false">IFERROR(M131+N20+N115,0)</f>
        <v>0</v>
      </c>
      <c r="O131" s="55" t="n">
        <f aca="false">IFERROR(N131+O20+O115,0)</f>
        <v>0</v>
      </c>
      <c r="P131" s="55" t="n">
        <f aca="false">IFERROR(O131+P20+P115,0)</f>
        <v>0</v>
      </c>
      <c r="Q131" s="55" t="n">
        <f aca="false">IFERROR(P131+Q20+Q115,0)</f>
        <v>0</v>
      </c>
      <c r="R131" s="55" t="n">
        <f aca="false">IFERROR(Q131+R20+R115,0)</f>
        <v>0</v>
      </c>
      <c r="S131" s="55" t="n">
        <f aca="false">IFERROR(R131+S20+S115,0)</f>
        <v>0</v>
      </c>
      <c r="T131" s="55" t="n">
        <f aca="false">IFERROR(S131+T20+T115,0)</f>
        <v>0</v>
      </c>
      <c r="U131" s="55" t="n">
        <f aca="false">IFERROR(T131+U20+U115,0)</f>
        <v>0</v>
      </c>
      <c r="V131" s="55" t="n">
        <f aca="false">IFERROR(U131+V20+V115,0)</f>
        <v>0</v>
      </c>
      <c r="W131" s="55" t="n">
        <f aca="false">IFERROR(V131+W20+W115,0)</f>
        <v>0</v>
      </c>
      <c r="X131" s="55" t="n">
        <f aca="false">IFERROR(W131+X20+X115,0)</f>
        <v>0</v>
      </c>
      <c r="Y131" s="55" t="n">
        <f aca="false">IFERROR(X131+Y20+Y115,0)</f>
        <v>0</v>
      </c>
      <c r="Z131" s="55" t="n">
        <f aca="false">IFERROR(Y131+Z20+Z115,0)</f>
        <v>0</v>
      </c>
      <c r="AA131" s="55" t="n">
        <f aca="false">IFERROR(Z131+AA20+AA115,0)</f>
        <v>0</v>
      </c>
      <c r="AB131" s="55" t="n">
        <f aca="false">IFERROR(AA131+AB20+AB115,0)</f>
        <v>0</v>
      </c>
      <c r="AC131" s="55" t="n">
        <f aca="false">IFERROR(AB131+AC20+AC115,0)</f>
        <v>0</v>
      </c>
      <c r="AD131" s="55" t="n">
        <f aca="false">IFERROR(AC131+AD20+AD115,0)</f>
        <v>0</v>
      </c>
      <c r="AE131" s="55" t="n">
        <f aca="false">IFERROR(AD131+AE20+AE115,0)</f>
        <v>0</v>
      </c>
      <c r="AF131" s="55" t="n">
        <f aca="false">IFERROR(AE131+AF20+AF115,0)</f>
        <v>0</v>
      </c>
      <c r="AG131" s="55" t="n">
        <f aca="false">IFERROR(AF131+AG20+AG115,0)</f>
        <v>0</v>
      </c>
      <c r="AH131" s="55" t="n">
        <f aca="false">IFERROR(AG131+AH20+AH115,0)</f>
        <v>0</v>
      </c>
      <c r="AI131" s="55" t="n">
        <f aca="false">IFERROR(AH131+AI20+AI115,0)</f>
        <v>0</v>
      </c>
      <c r="AJ131" s="55" t="n">
        <f aca="false">IFERROR(AI131+AJ20+AJ115,0)</f>
        <v>0</v>
      </c>
      <c r="AK131" s="55" t="n">
        <f aca="false">IFERROR(AJ131+AK20+AK115,0)</f>
        <v>0</v>
      </c>
      <c r="AL131" s="55" t="n">
        <f aca="false">IFERROR(AK131+AL20+AL115,0)</f>
        <v>0</v>
      </c>
    </row>
    <row r="132" customFormat="false" ht="15" hidden="false" customHeight="false" outlineLevel="0" collapsed="false">
      <c r="B132" s="13"/>
      <c r="C132" s="13" t="str">
        <f aca="false">"Total "&amp;C118</f>
        <v>Total Net Book Value</v>
      </c>
      <c r="D132" s="30"/>
      <c r="E132" s="30"/>
      <c r="H132" s="61" t="n">
        <f aca="false">SUM(H119:H131)</f>
        <v>76500</v>
      </c>
      <c r="I132" s="61" t="n">
        <f aca="false">SUM(I119:I131)</f>
        <v>176580</v>
      </c>
      <c r="J132" s="61" t="n">
        <f aca="false">SUM(J119:J131)</f>
        <v>199732.5</v>
      </c>
      <c r="K132" s="61" t="n">
        <f aca="false">SUM(K119:K131)</f>
        <v>224042.625</v>
      </c>
      <c r="L132" s="61" t="n">
        <f aca="false">SUM(L119:L131)</f>
        <v>249568.25625</v>
      </c>
      <c r="M132" s="61" t="n">
        <f aca="false">SUM(M119:M131)</f>
        <v>276370.1690625</v>
      </c>
      <c r="N132" s="61" t="n">
        <f aca="false">SUM(N119:N131)</f>
        <v>304512.177515625</v>
      </c>
      <c r="O132" s="61" t="n">
        <f aca="false">SUM(O119:O131)</f>
        <v>334061.286391406</v>
      </c>
      <c r="P132" s="61" t="n">
        <f aca="false">SUM(P119:P131)</f>
        <v>365087.850710977</v>
      </c>
      <c r="Q132" s="61" t="n">
        <f aca="false">SUM(Q119:Q131)</f>
        <v>397665.743246525</v>
      </c>
      <c r="R132" s="61" t="n">
        <f aca="false">SUM(R119:R131)</f>
        <v>397665.743246525</v>
      </c>
      <c r="S132" s="61" t="n">
        <f aca="false">SUM(S119:S131)</f>
        <v>397665.743246525</v>
      </c>
      <c r="T132" s="61" t="n">
        <f aca="false">SUM(T119:T131)</f>
        <v>397665.743246525</v>
      </c>
      <c r="U132" s="61" t="n">
        <f aca="false">SUM(U119:U131)</f>
        <v>397665.743246525</v>
      </c>
      <c r="V132" s="61" t="n">
        <f aca="false">SUM(V119:V131)</f>
        <v>397665.743246525</v>
      </c>
      <c r="W132" s="61" t="n">
        <f aca="false">SUM(W119:W131)</f>
        <v>397665.743246525</v>
      </c>
      <c r="X132" s="61" t="n">
        <f aca="false">SUM(X119:X131)</f>
        <v>397665.743246525</v>
      </c>
      <c r="Y132" s="61" t="n">
        <f aca="false">SUM(Y119:Y131)</f>
        <v>397665.743246525</v>
      </c>
      <c r="Z132" s="61" t="n">
        <f aca="false">SUM(Z119:Z131)</f>
        <v>397665.743246525</v>
      </c>
      <c r="AA132" s="61" t="n">
        <f aca="false">SUM(AA119:AA131)</f>
        <v>397665.743246525</v>
      </c>
      <c r="AB132" s="61" t="n">
        <f aca="false">SUM(AB119:AB131)</f>
        <v>397665.743246525</v>
      </c>
      <c r="AC132" s="61" t="n">
        <f aca="false">SUM(AC119:AC131)</f>
        <v>397665.743246525</v>
      </c>
      <c r="AD132" s="61" t="n">
        <f aca="false">SUM(AD119:AD131)</f>
        <v>397665.743246525</v>
      </c>
      <c r="AE132" s="61" t="n">
        <f aca="false">SUM(AE119:AE131)</f>
        <v>397665.743246525</v>
      </c>
      <c r="AF132" s="61" t="n">
        <f aca="false">SUM(AF119:AF131)</f>
        <v>397665.743246525</v>
      </c>
      <c r="AG132" s="61" t="n">
        <f aca="false">SUM(AG119:AG131)</f>
        <v>397665.743246525</v>
      </c>
      <c r="AH132" s="61" t="n">
        <f aca="false">SUM(AH119:AH131)</f>
        <v>397665.743246525</v>
      </c>
      <c r="AI132" s="61" t="n">
        <f aca="false">SUM(AI119:AI131)</f>
        <v>397665.743246525</v>
      </c>
      <c r="AJ132" s="61" t="n">
        <f aca="false">SUM(AJ119:AJ131)</f>
        <v>397665.743246525</v>
      </c>
      <c r="AK132" s="61" t="n">
        <f aca="false">SUM(AK119:AK131)</f>
        <v>397665.743246525</v>
      </c>
      <c r="AL132" s="61" t="n">
        <f aca="false">SUM(AL119:AL131)</f>
        <v>397665.743246525</v>
      </c>
    </row>
    <row r="134" customFormat="false" ht="15" hidden="false" customHeight="false" outlineLevel="0" collapsed="false">
      <c r="B134" s="182" t="s">
        <v>780</v>
      </c>
      <c r="C134" s="182"/>
      <c r="D134" s="183"/>
      <c r="E134" s="182"/>
      <c r="F134" s="182"/>
      <c r="G134" s="463"/>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2"/>
      <c r="AH134" s="182"/>
      <c r="AI134" s="182"/>
      <c r="AJ134" s="182"/>
      <c r="AK134" s="182"/>
      <c r="AL134" s="182"/>
    </row>
    <row r="135" customFormat="false" ht="15" hidden="false" customHeight="false" outlineLevel="0" collapsed="false">
      <c r="B135" s="269"/>
      <c r="C135" s="269"/>
      <c r="D135" s="318"/>
      <c r="E135" s="269"/>
      <c r="F135" s="269"/>
      <c r="G135" s="359"/>
      <c r="H135" s="269"/>
      <c r="I135" s="269"/>
      <c r="J135" s="269"/>
      <c r="K135" s="269"/>
      <c r="L135" s="269"/>
      <c r="M135" s="269"/>
      <c r="N135" s="269"/>
      <c r="O135" s="269"/>
      <c r="P135" s="269"/>
      <c r="Q135" s="269"/>
      <c r="R135" s="269"/>
      <c r="S135" s="269"/>
      <c r="T135" s="269"/>
      <c r="U135" s="269"/>
      <c r="V135" s="269"/>
      <c r="W135" s="269"/>
      <c r="X135" s="269"/>
      <c r="Y135" s="269"/>
      <c r="Z135" s="269"/>
      <c r="AA135" s="269"/>
      <c r="AB135" s="269"/>
      <c r="AC135" s="269"/>
      <c r="AD135" s="269"/>
      <c r="AE135" s="269"/>
      <c r="AF135" s="269"/>
      <c r="AG135" s="269"/>
      <c r="AH135" s="269"/>
      <c r="AI135" s="269"/>
      <c r="AJ135" s="269"/>
      <c r="AK135" s="269"/>
      <c r="AL135" s="269"/>
    </row>
    <row r="136" customFormat="false" ht="15" hidden="false" customHeight="false" outlineLevel="0" collapsed="false">
      <c r="B136" s="13" t="s">
        <v>778</v>
      </c>
      <c r="H136" s="21"/>
      <c r="I136" s="21"/>
      <c r="J136" s="21"/>
      <c r="K136" s="21"/>
      <c r="L136" s="21"/>
      <c r="M136" s="21"/>
      <c r="N136" s="21"/>
      <c r="O136" s="21"/>
    </row>
    <row r="137" customFormat="false" ht="15" hidden="false" customHeight="false" outlineLevel="0" collapsed="false">
      <c r="C137" s="30" t="s">
        <v>292</v>
      </c>
      <c r="H137" s="55" t="n">
        <f aca="false">SUMIF($D$119:$D$131,$C137,H$119:H$131)</f>
        <v>76500</v>
      </c>
      <c r="I137" s="55" t="n">
        <f aca="false">SUMIF($D$119:$D$131,$C137,I$119:I$131)</f>
        <v>176580</v>
      </c>
      <c r="J137" s="55" t="n">
        <f aca="false">SUMIF($D$119:$D$131,$C137,J$119:J$131)</f>
        <v>199732.5</v>
      </c>
      <c r="K137" s="55" t="n">
        <f aca="false">SUMIF($D$119:$D$131,$C137,K$119:K$131)</f>
        <v>224042.625</v>
      </c>
      <c r="L137" s="55" t="n">
        <f aca="false">SUMIF($D$119:$D$131,$C137,L$119:L$131)</f>
        <v>249568.25625</v>
      </c>
      <c r="M137" s="55" t="n">
        <f aca="false">SUMIF($D$119:$D$131,$C137,M$119:M$131)</f>
        <v>276370.1690625</v>
      </c>
      <c r="N137" s="55" t="n">
        <f aca="false">SUMIF($D$119:$D$131,$C137,N$119:N$131)</f>
        <v>304512.177515625</v>
      </c>
      <c r="O137" s="55" t="n">
        <f aca="false">SUMIF($D$119:$D$131,$C137,O$119:O$131)</f>
        <v>334061.286391406</v>
      </c>
      <c r="P137" s="55" t="n">
        <f aca="false">SUMIF($D$119:$D$131,$C137,P$119:P$131)</f>
        <v>365087.850710977</v>
      </c>
      <c r="Q137" s="55" t="n">
        <f aca="false">SUMIF($D$119:$D$131,$C137,Q$119:Q$131)</f>
        <v>397665.743246525</v>
      </c>
      <c r="R137" s="55" t="n">
        <f aca="false">SUMIF($D$119:$D$131,$C137,R$119:R$131)</f>
        <v>397665.743246525</v>
      </c>
      <c r="S137" s="55" t="n">
        <f aca="false">SUMIF($D$119:$D$131,$C137,S$119:S$131)</f>
        <v>397665.743246525</v>
      </c>
      <c r="T137" s="55" t="n">
        <f aca="false">SUMIF($D$119:$D$131,$C137,T$119:T$131)</f>
        <v>397665.743246525</v>
      </c>
      <c r="U137" s="55" t="n">
        <f aca="false">SUMIF($D$119:$D$131,$C137,U$119:U$131)</f>
        <v>397665.743246525</v>
      </c>
      <c r="V137" s="55" t="n">
        <f aca="false">SUMIF($D$119:$D$131,$C137,V$119:V$131)</f>
        <v>397665.743246525</v>
      </c>
      <c r="W137" s="55" t="n">
        <f aca="false">SUMIF($D$119:$D$131,$C137,W$119:W$131)</f>
        <v>397665.743246525</v>
      </c>
      <c r="X137" s="55" t="n">
        <f aca="false">SUMIF($D$119:$D$131,$C137,X$119:X$131)</f>
        <v>397665.743246525</v>
      </c>
      <c r="Y137" s="55" t="n">
        <f aca="false">SUMIF($D$119:$D$131,$C137,Y$119:Y$131)</f>
        <v>397665.743246525</v>
      </c>
      <c r="Z137" s="55" t="n">
        <f aca="false">SUMIF($D$119:$D$131,$C137,Z$119:Z$131)</f>
        <v>397665.743246525</v>
      </c>
      <c r="AA137" s="55" t="n">
        <f aca="false">SUMIF($D$119:$D$131,$C137,AA$119:AA$131)</f>
        <v>397665.743246525</v>
      </c>
      <c r="AB137" s="55" t="n">
        <f aca="false">SUMIF($D$119:$D$131,$C137,AB$119:AB$131)</f>
        <v>397665.743246525</v>
      </c>
      <c r="AC137" s="55" t="n">
        <f aca="false">SUMIF($D$119:$D$131,$C137,AC$119:AC$131)</f>
        <v>397665.743246525</v>
      </c>
      <c r="AD137" s="55" t="n">
        <f aca="false">SUMIF($D$119:$D$131,$C137,AD$119:AD$131)</f>
        <v>397665.743246525</v>
      </c>
      <c r="AE137" s="55" t="n">
        <f aca="false">SUMIF($D$119:$D$131,$C137,AE$119:AE$131)</f>
        <v>397665.743246525</v>
      </c>
      <c r="AF137" s="55" t="n">
        <f aca="false">SUMIF($D$119:$D$131,$C137,AF$119:AF$131)</f>
        <v>397665.743246525</v>
      </c>
      <c r="AG137" s="55" t="n">
        <f aca="false">SUMIF($D$119:$D$131,$C137,AG$119:AG$131)</f>
        <v>397665.743246525</v>
      </c>
      <c r="AH137" s="55" t="n">
        <f aca="false">SUMIF($D$119:$D$131,$C137,AH$119:AH$131)</f>
        <v>397665.743246525</v>
      </c>
      <c r="AI137" s="55" t="n">
        <f aca="false">SUMIF($D$119:$D$131,$C137,AI$119:AI$131)</f>
        <v>397665.743246525</v>
      </c>
      <c r="AJ137" s="55" t="n">
        <f aca="false">SUMIF($D$119:$D$131,$C137,AJ$119:AJ$131)</f>
        <v>397665.743246525</v>
      </c>
      <c r="AK137" s="55" t="n">
        <f aca="false">SUMIF($D$119:$D$131,$C137,AK$119:AK$131)</f>
        <v>397665.743246525</v>
      </c>
      <c r="AL137" s="55" t="n">
        <f aca="false">SUMIF($D$119:$D$131,$C137,AL$119:AL$131)</f>
        <v>397665.743246525</v>
      </c>
    </row>
    <row r="138" customFormat="false" ht="15" hidden="false" customHeight="false" outlineLevel="0" collapsed="false">
      <c r="C138" s="30" t="s">
        <v>779</v>
      </c>
      <c r="H138" s="55" t="n">
        <f aca="false">SUMIF($D$119:$D$131,$C138,H$119:H$131)</f>
        <v>0</v>
      </c>
      <c r="I138" s="55" t="n">
        <f aca="false">SUMIF($D$119:$D$131,$C138,I$119:I$131)</f>
        <v>0</v>
      </c>
      <c r="J138" s="55" t="n">
        <f aca="false">SUMIF($D$119:$D$131,$C138,J$119:J$131)</f>
        <v>0</v>
      </c>
      <c r="K138" s="55" t="n">
        <f aca="false">SUMIF($D$119:$D$131,$C138,K$119:K$131)</f>
        <v>0</v>
      </c>
      <c r="L138" s="55" t="n">
        <f aca="false">SUMIF($D$119:$D$131,$C138,L$119:L$131)</f>
        <v>0</v>
      </c>
      <c r="M138" s="55" t="n">
        <f aca="false">SUMIF($D$119:$D$131,$C138,M$119:M$131)</f>
        <v>0</v>
      </c>
      <c r="N138" s="55" t="n">
        <f aca="false">SUMIF($D$119:$D$131,$C138,N$119:N$131)</f>
        <v>0</v>
      </c>
      <c r="O138" s="55" t="n">
        <f aca="false">SUMIF($D$119:$D$131,$C138,O$119:O$131)</f>
        <v>0</v>
      </c>
      <c r="P138" s="55" t="n">
        <f aca="false">SUMIF($D$119:$D$131,$C138,P$119:P$131)</f>
        <v>0</v>
      </c>
      <c r="Q138" s="55" t="n">
        <f aca="false">SUMIF($D$119:$D$131,$C138,Q$119:Q$131)</f>
        <v>0</v>
      </c>
      <c r="R138" s="55" t="n">
        <f aca="false">SUMIF($D$119:$D$131,$C138,R$119:R$131)</f>
        <v>0</v>
      </c>
      <c r="S138" s="55" t="n">
        <f aca="false">SUMIF($D$119:$D$131,$C138,S$119:S$131)</f>
        <v>0</v>
      </c>
      <c r="T138" s="55" t="n">
        <f aca="false">SUMIF($D$119:$D$131,$C138,T$119:T$131)</f>
        <v>0</v>
      </c>
      <c r="U138" s="55" t="n">
        <f aca="false">SUMIF($D$119:$D$131,$C138,U$119:U$131)</f>
        <v>0</v>
      </c>
      <c r="V138" s="55" t="n">
        <f aca="false">SUMIF($D$119:$D$131,$C138,V$119:V$131)</f>
        <v>0</v>
      </c>
      <c r="W138" s="55" t="n">
        <f aca="false">SUMIF($D$119:$D$131,$C138,W$119:W$131)</f>
        <v>0</v>
      </c>
      <c r="X138" s="55" t="n">
        <f aca="false">SUMIF($D$119:$D$131,$C138,X$119:X$131)</f>
        <v>0</v>
      </c>
      <c r="Y138" s="55" t="n">
        <f aca="false">SUMIF($D$119:$D$131,$C138,Y$119:Y$131)</f>
        <v>0</v>
      </c>
      <c r="Z138" s="55" t="n">
        <f aca="false">SUMIF($D$119:$D$131,$C138,Z$119:Z$131)</f>
        <v>0</v>
      </c>
      <c r="AA138" s="55" t="n">
        <f aca="false">SUMIF($D$119:$D$131,$C138,AA$119:AA$131)</f>
        <v>0</v>
      </c>
      <c r="AB138" s="55" t="n">
        <f aca="false">SUMIF($D$119:$D$131,$C138,AB$119:AB$131)</f>
        <v>0</v>
      </c>
      <c r="AC138" s="55" t="n">
        <f aca="false">SUMIF($D$119:$D$131,$C138,AC$119:AC$131)</f>
        <v>0</v>
      </c>
      <c r="AD138" s="55" t="n">
        <f aca="false">SUMIF($D$119:$D$131,$C138,AD$119:AD$131)</f>
        <v>0</v>
      </c>
      <c r="AE138" s="55" t="n">
        <f aca="false">SUMIF($D$119:$D$131,$C138,AE$119:AE$131)</f>
        <v>0</v>
      </c>
      <c r="AF138" s="55" t="n">
        <f aca="false">SUMIF($D$119:$D$131,$C138,AF$119:AF$131)</f>
        <v>0</v>
      </c>
      <c r="AG138" s="55" t="n">
        <f aca="false">SUMIF($D$119:$D$131,$C138,AG$119:AG$131)</f>
        <v>0</v>
      </c>
      <c r="AH138" s="55" t="n">
        <f aca="false">SUMIF($D$119:$D$131,$C138,AH$119:AH$131)</f>
        <v>0</v>
      </c>
      <c r="AI138" s="55" t="n">
        <f aca="false">SUMIF($D$119:$D$131,$C138,AI$119:AI$131)</f>
        <v>0</v>
      </c>
      <c r="AJ138" s="55" t="n">
        <f aca="false">SUMIF($D$119:$D$131,$C138,AJ$119:AJ$131)</f>
        <v>0</v>
      </c>
      <c r="AK138" s="55" t="n">
        <f aca="false">SUMIF($D$119:$D$131,$C138,AK$119:AK$131)</f>
        <v>0</v>
      </c>
      <c r="AL138" s="55" t="n">
        <f aca="false">SUMIF($D$119:$D$131,$C138,AL$119:AL$131)</f>
        <v>0</v>
      </c>
    </row>
    <row r="139" customFormat="false" ht="15" hidden="false" customHeight="false" outlineLevel="0" collapsed="false">
      <c r="C139" s="30" t="s">
        <v>310</v>
      </c>
      <c r="H139" s="55" t="n">
        <f aca="false">SUMIF($D$119:$D$131,$C139,H$119:H$131)</f>
        <v>0</v>
      </c>
      <c r="I139" s="55" t="n">
        <f aca="false">SUMIF($D$119:$D$131,$C139,I$119:I$131)</f>
        <v>0</v>
      </c>
      <c r="J139" s="55" t="n">
        <f aca="false">SUMIF($D$119:$D$131,$C139,J$119:J$131)</f>
        <v>0</v>
      </c>
      <c r="K139" s="55" t="n">
        <f aca="false">SUMIF($D$119:$D$131,$C139,K$119:K$131)</f>
        <v>0</v>
      </c>
      <c r="L139" s="55" t="n">
        <f aca="false">SUMIF($D$119:$D$131,$C139,L$119:L$131)</f>
        <v>0</v>
      </c>
      <c r="M139" s="55" t="n">
        <f aca="false">SUMIF($D$119:$D$131,$C139,M$119:M$131)</f>
        <v>0</v>
      </c>
      <c r="N139" s="55" t="n">
        <f aca="false">SUMIF($D$119:$D$131,$C139,N$119:N$131)</f>
        <v>0</v>
      </c>
      <c r="O139" s="55" t="n">
        <f aca="false">SUMIF($D$119:$D$131,$C139,O$119:O$131)</f>
        <v>0</v>
      </c>
      <c r="P139" s="55" t="n">
        <f aca="false">SUMIF($D$119:$D$131,$C139,P$119:P$131)</f>
        <v>0</v>
      </c>
      <c r="Q139" s="55" t="n">
        <f aca="false">SUMIF($D$119:$D$131,$C139,Q$119:Q$131)</f>
        <v>0</v>
      </c>
      <c r="R139" s="55" t="n">
        <f aca="false">SUMIF($D$119:$D$131,$C139,R$119:R$131)</f>
        <v>0</v>
      </c>
      <c r="S139" s="55" t="n">
        <f aca="false">SUMIF($D$119:$D$131,$C139,S$119:S$131)</f>
        <v>0</v>
      </c>
      <c r="T139" s="55" t="n">
        <f aca="false">SUMIF($D$119:$D$131,$C139,T$119:T$131)</f>
        <v>0</v>
      </c>
      <c r="U139" s="55" t="n">
        <f aca="false">SUMIF($D$119:$D$131,$C139,U$119:U$131)</f>
        <v>0</v>
      </c>
      <c r="V139" s="55" t="n">
        <f aca="false">SUMIF($D$119:$D$131,$C139,V$119:V$131)</f>
        <v>0</v>
      </c>
      <c r="W139" s="55" t="n">
        <f aca="false">SUMIF($D$119:$D$131,$C139,W$119:W$131)</f>
        <v>0</v>
      </c>
      <c r="X139" s="55" t="n">
        <f aca="false">SUMIF($D$119:$D$131,$C139,X$119:X$131)</f>
        <v>0</v>
      </c>
      <c r="Y139" s="55" t="n">
        <f aca="false">SUMIF($D$119:$D$131,$C139,Y$119:Y$131)</f>
        <v>0</v>
      </c>
      <c r="Z139" s="55" t="n">
        <f aca="false">SUMIF($D$119:$D$131,$C139,Z$119:Z$131)</f>
        <v>0</v>
      </c>
      <c r="AA139" s="55" t="n">
        <f aca="false">SUMIF($D$119:$D$131,$C139,AA$119:AA$131)</f>
        <v>0</v>
      </c>
      <c r="AB139" s="55" t="n">
        <f aca="false">SUMIF($D$119:$D$131,$C139,AB$119:AB$131)</f>
        <v>0</v>
      </c>
      <c r="AC139" s="55" t="n">
        <f aca="false">SUMIF($D$119:$D$131,$C139,AC$119:AC$131)</f>
        <v>0</v>
      </c>
      <c r="AD139" s="55" t="n">
        <f aca="false">SUMIF($D$119:$D$131,$C139,AD$119:AD$131)</f>
        <v>0</v>
      </c>
      <c r="AE139" s="55" t="n">
        <f aca="false">SUMIF($D$119:$D$131,$C139,AE$119:AE$131)</f>
        <v>0</v>
      </c>
      <c r="AF139" s="55" t="n">
        <f aca="false">SUMIF($D$119:$D$131,$C139,AF$119:AF$131)</f>
        <v>0</v>
      </c>
      <c r="AG139" s="55" t="n">
        <f aca="false">SUMIF($D$119:$D$131,$C139,AG$119:AG$131)</f>
        <v>0</v>
      </c>
      <c r="AH139" s="55" t="n">
        <f aca="false">SUMIF($D$119:$D$131,$C139,AH$119:AH$131)</f>
        <v>0</v>
      </c>
      <c r="AI139" s="55" t="n">
        <f aca="false">SUMIF($D$119:$D$131,$C139,AI$119:AI$131)</f>
        <v>0</v>
      </c>
      <c r="AJ139" s="55" t="n">
        <f aca="false">SUMIF($D$119:$D$131,$C139,AJ$119:AJ$131)</f>
        <v>0</v>
      </c>
      <c r="AK139" s="55" t="n">
        <f aca="false">SUMIF($D$119:$D$131,$C139,AK$119:AK$131)</f>
        <v>0</v>
      </c>
      <c r="AL139" s="55" t="n">
        <f aca="false">SUMIF($D$119:$D$131,$C139,AL$119:AL$131)</f>
        <v>0</v>
      </c>
    </row>
    <row r="140" customFormat="false" ht="15" hidden="false" customHeight="false" outlineLevel="0" collapsed="false">
      <c r="C140" s="30" t="s">
        <v>626</v>
      </c>
      <c r="H140" s="55" t="n">
        <f aca="false">SUMIF($D$119:$D$131,$C140,H$119:H$131)</f>
        <v>0</v>
      </c>
      <c r="I140" s="55" t="n">
        <f aca="false">SUMIF($D$119:$D$131,$C140,I$119:I$131)</f>
        <v>0</v>
      </c>
      <c r="J140" s="55" t="n">
        <f aca="false">SUMIF($D$119:$D$131,$C140,J$119:J$131)</f>
        <v>0</v>
      </c>
      <c r="K140" s="55" t="n">
        <f aca="false">SUMIF($D$119:$D$131,$C140,K$119:K$131)</f>
        <v>0</v>
      </c>
      <c r="L140" s="55" t="n">
        <f aca="false">SUMIF($D$119:$D$131,$C140,L$119:L$131)</f>
        <v>0</v>
      </c>
      <c r="M140" s="55" t="n">
        <f aca="false">SUMIF($D$119:$D$131,$C140,M$119:M$131)</f>
        <v>0</v>
      </c>
      <c r="N140" s="55" t="n">
        <f aca="false">SUMIF($D$119:$D$131,$C140,N$119:N$131)</f>
        <v>0</v>
      </c>
      <c r="O140" s="55" t="n">
        <f aca="false">SUMIF($D$119:$D$131,$C140,O$119:O$131)</f>
        <v>0</v>
      </c>
      <c r="P140" s="55" t="n">
        <f aca="false">SUMIF($D$119:$D$131,$C140,P$119:P$131)</f>
        <v>0</v>
      </c>
      <c r="Q140" s="55" t="n">
        <f aca="false">SUMIF($D$119:$D$131,$C140,Q$119:Q$131)</f>
        <v>0</v>
      </c>
      <c r="R140" s="55" t="n">
        <f aca="false">SUMIF($D$119:$D$131,$C140,R$119:R$131)</f>
        <v>0</v>
      </c>
      <c r="S140" s="55" t="n">
        <f aca="false">SUMIF($D$119:$D$131,$C140,S$119:S$131)</f>
        <v>0</v>
      </c>
      <c r="T140" s="55" t="n">
        <f aca="false">SUMIF($D$119:$D$131,$C140,T$119:T$131)</f>
        <v>0</v>
      </c>
      <c r="U140" s="55" t="n">
        <f aca="false">SUMIF($D$119:$D$131,$C140,U$119:U$131)</f>
        <v>0</v>
      </c>
      <c r="V140" s="55" t="n">
        <f aca="false">SUMIF($D$119:$D$131,$C140,V$119:V$131)</f>
        <v>0</v>
      </c>
      <c r="W140" s="55" t="n">
        <f aca="false">SUMIF($D$119:$D$131,$C140,W$119:W$131)</f>
        <v>0</v>
      </c>
      <c r="X140" s="55" t="n">
        <f aca="false">SUMIF($D$119:$D$131,$C140,X$119:X$131)</f>
        <v>0</v>
      </c>
      <c r="Y140" s="55" t="n">
        <f aca="false">SUMIF($D$119:$D$131,$C140,Y$119:Y$131)</f>
        <v>0</v>
      </c>
      <c r="Z140" s="55" t="n">
        <f aca="false">SUMIF($D$119:$D$131,$C140,Z$119:Z$131)</f>
        <v>0</v>
      </c>
      <c r="AA140" s="55" t="n">
        <f aca="false">SUMIF($D$119:$D$131,$C140,AA$119:AA$131)</f>
        <v>0</v>
      </c>
      <c r="AB140" s="55" t="n">
        <f aca="false">SUMIF($D$119:$D$131,$C140,AB$119:AB$131)</f>
        <v>0</v>
      </c>
      <c r="AC140" s="55" t="n">
        <f aca="false">SUMIF($D$119:$D$131,$C140,AC$119:AC$131)</f>
        <v>0</v>
      </c>
      <c r="AD140" s="55" t="n">
        <f aca="false">SUMIF($D$119:$D$131,$C140,AD$119:AD$131)</f>
        <v>0</v>
      </c>
      <c r="AE140" s="55" t="n">
        <f aca="false">SUMIF($D$119:$D$131,$C140,AE$119:AE$131)</f>
        <v>0</v>
      </c>
      <c r="AF140" s="55" t="n">
        <f aca="false">SUMIF($D$119:$D$131,$C140,AF$119:AF$131)</f>
        <v>0</v>
      </c>
      <c r="AG140" s="55" t="n">
        <f aca="false">SUMIF($D$119:$D$131,$C140,AG$119:AG$131)</f>
        <v>0</v>
      </c>
      <c r="AH140" s="55" t="n">
        <f aca="false">SUMIF($D$119:$D$131,$C140,AH$119:AH$131)</f>
        <v>0</v>
      </c>
      <c r="AI140" s="55" t="n">
        <f aca="false">SUMIF($D$119:$D$131,$C140,AI$119:AI$131)</f>
        <v>0</v>
      </c>
      <c r="AJ140" s="55" t="n">
        <f aca="false">SUMIF($D$119:$D$131,$C140,AJ$119:AJ$131)</f>
        <v>0</v>
      </c>
      <c r="AK140" s="55" t="n">
        <f aca="false">SUMIF($D$119:$D$131,$C140,AK$119:AK$131)</f>
        <v>0</v>
      </c>
      <c r="AL140" s="55" t="n">
        <f aca="false">SUMIF($D$119:$D$131,$C140,AL$119:AL$131)</f>
        <v>0</v>
      </c>
    </row>
    <row r="141" customFormat="false" ht="15" hidden="false" customHeight="false" outlineLevel="0" collapsed="false">
      <c r="C141" s="30" t="s">
        <v>552</v>
      </c>
      <c r="H141" s="55" t="n">
        <f aca="false">SUMIF($D$119:$D$131,$C141,H$119:H$131)</f>
        <v>0</v>
      </c>
      <c r="I141" s="55" t="n">
        <f aca="false">SUMIF($D$119:$D$131,$C141,I$119:I$131)</f>
        <v>0</v>
      </c>
      <c r="J141" s="55" t="n">
        <f aca="false">SUMIF($D$119:$D$131,$C141,J$119:J$131)</f>
        <v>0</v>
      </c>
      <c r="K141" s="55" t="n">
        <f aca="false">SUMIF($D$119:$D$131,$C141,K$119:K$131)</f>
        <v>0</v>
      </c>
      <c r="L141" s="55" t="n">
        <f aca="false">SUMIF($D$119:$D$131,$C141,L$119:L$131)</f>
        <v>0</v>
      </c>
      <c r="M141" s="55" t="n">
        <f aca="false">SUMIF($D$119:$D$131,$C141,M$119:M$131)</f>
        <v>0</v>
      </c>
      <c r="N141" s="55" t="n">
        <f aca="false">SUMIF($D$119:$D$131,$C141,N$119:N$131)</f>
        <v>0</v>
      </c>
      <c r="O141" s="55" t="n">
        <f aca="false">SUMIF($D$119:$D$131,$C141,O$119:O$131)</f>
        <v>0</v>
      </c>
      <c r="P141" s="55" t="n">
        <f aca="false">SUMIF($D$119:$D$131,$C141,P$119:P$131)</f>
        <v>0</v>
      </c>
      <c r="Q141" s="55" t="n">
        <f aca="false">SUMIF($D$119:$D$131,$C141,Q$119:Q$131)</f>
        <v>0</v>
      </c>
      <c r="R141" s="55" t="n">
        <f aca="false">SUMIF($D$119:$D$131,$C141,R$119:R$131)</f>
        <v>0</v>
      </c>
      <c r="S141" s="55" t="n">
        <f aca="false">SUMIF($D$119:$D$131,$C141,S$119:S$131)</f>
        <v>0</v>
      </c>
      <c r="T141" s="55" t="n">
        <f aca="false">SUMIF($D$119:$D$131,$C141,T$119:T$131)</f>
        <v>0</v>
      </c>
      <c r="U141" s="55" t="n">
        <f aca="false">SUMIF($D$119:$D$131,$C141,U$119:U$131)</f>
        <v>0</v>
      </c>
      <c r="V141" s="55" t="n">
        <f aca="false">SUMIF($D$119:$D$131,$C141,V$119:V$131)</f>
        <v>0</v>
      </c>
      <c r="W141" s="55" t="n">
        <f aca="false">SUMIF($D$119:$D$131,$C141,W$119:W$131)</f>
        <v>0</v>
      </c>
      <c r="X141" s="55" t="n">
        <f aca="false">SUMIF($D$119:$D$131,$C141,X$119:X$131)</f>
        <v>0</v>
      </c>
      <c r="Y141" s="55" t="n">
        <f aca="false">SUMIF($D$119:$D$131,$C141,Y$119:Y$131)</f>
        <v>0</v>
      </c>
      <c r="Z141" s="55" t="n">
        <f aca="false">SUMIF($D$119:$D$131,$C141,Z$119:Z$131)</f>
        <v>0</v>
      </c>
      <c r="AA141" s="55" t="n">
        <f aca="false">SUMIF($D$119:$D$131,$C141,AA$119:AA$131)</f>
        <v>0</v>
      </c>
      <c r="AB141" s="55" t="n">
        <f aca="false">SUMIF($D$119:$D$131,$C141,AB$119:AB$131)</f>
        <v>0</v>
      </c>
      <c r="AC141" s="55" t="n">
        <f aca="false">SUMIF($D$119:$D$131,$C141,AC$119:AC$131)</f>
        <v>0</v>
      </c>
      <c r="AD141" s="55" t="n">
        <f aca="false">SUMIF($D$119:$D$131,$C141,AD$119:AD$131)</f>
        <v>0</v>
      </c>
      <c r="AE141" s="55" t="n">
        <f aca="false">SUMIF($D$119:$D$131,$C141,AE$119:AE$131)</f>
        <v>0</v>
      </c>
      <c r="AF141" s="55" t="n">
        <f aca="false">SUMIF($D$119:$D$131,$C141,AF$119:AF$131)</f>
        <v>0</v>
      </c>
      <c r="AG141" s="55" t="n">
        <f aca="false">SUMIF($D$119:$D$131,$C141,AG$119:AG$131)</f>
        <v>0</v>
      </c>
      <c r="AH141" s="55" t="n">
        <f aca="false">SUMIF($D$119:$D$131,$C141,AH$119:AH$131)</f>
        <v>0</v>
      </c>
      <c r="AI141" s="55" t="n">
        <f aca="false">SUMIF($D$119:$D$131,$C141,AI$119:AI$131)</f>
        <v>0</v>
      </c>
      <c r="AJ141" s="55" t="n">
        <f aca="false">SUMIF($D$119:$D$131,$C141,AJ$119:AJ$131)</f>
        <v>0</v>
      </c>
      <c r="AK141" s="55" t="n">
        <f aca="false">SUMIF($D$119:$D$131,$C141,AK$119:AK$131)</f>
        <v>0</v>
      </c>
      <c r="AL141" s="55" t="n">
        <f aca="false">SUMIF($D$119:$D$131,$C141,AL$119:AL$131)</f>
        <v>0</v>
      </c>
    </row>
    <row r="142" customFormat="false" ht="15" hidden="false" customHeight="false" outlineLevel="0" collapsed="false">
      <c r="B142" s="56"/>
      <c r="C142" s="208" t="s">
        <v>608</v>
      </c>
      <c r="D142" s="56"/>
      <c r="E142" s="56"/>
      <c r="F142" s="56"/>
      <c r="G142" s="393"/>
      <c r="H142" s="59" t="n">
        <f aca="false">SUMIF($D$119:$D$131,$C142,H$119:H$131)</f>
        <v>0</v>
      </c>
      <c r="I142" s="59" t="n">
        <f aca="false">SUMIF($D$119:$D$131,$C142,I$119:I$131)</f>
        <v>0</v>
      </c>
      <c r="J142" s="59" t="n">
        <f aca="false">SUMIF($D$119:$D$131,$C142,J$119:J$131)</f>
        <v>0</v>
      </c>
      <c r="K142" s="59" t="n">
        <f aca="false">SUMIF($D$119:$D$131,$C142,K$119:K$131)</f>
        <v>0</v>
      </c>
      <c r="L142" s="59" t="n">
        <f aca="false">SUMIF($D$119:$D$131,$C142,L$119:L$131)</f>
        <v>0</v>
      </c>
      <c r="M142" s="59" t="n">
        <f aca="false">SUMIF($D$119:$D$131,$C142,M$119:M$131)</f>
        <v>0</v>
      </c>
      <c r="N142" s="59" t="n">
        <f aca="false">SUMIF($D$119:$D$131,$C142,N$119:N$131)</f>
        <v>0</v>
      </c>
      <c r="O142" s="59" t="n">
        <f aca="false">SUMIF($D$119:$D$131,$C142,O$119:O$131)</f>
        <v>0</v>
      </c>
      <c r="P142" s="59" t="n">
        <f aca="false">SUMIF($D$119:$D$131,$C142,P$119:P$131)</f>
        <v>0</v>
      </c>
      <c r="Q142" s="59" t="n">
        <f aca="false">SUMIF($D$119:$D$131,$C142,Q$119:Q$131)</f>
        <v>0</v>
      </c>
      <c r="R142" s="59" t="n">
        <f aca="false">SUMIF($D$119:$D$131,$C142,R$119:R$131)</f>
        <v>0</v>
      </c>
      <c r="S142" s="59" t="n">
        <f aca="false">SUMIF($D$119:$D$131,$C142,S$119:S$131)</f>
        <v>0</v>
      </c>
      <c r="T142" s="59" t="n">
        <f aca="false">SUMIF($D$119:$D$131,$C142,T$119:T$131)</f>
        <v>0</v>
      </c>
      <c r="U142" s="59" t="n">
        <f aca="false">SUMIF($D$119:$D$131,$C142,U$119:U$131)</f>
        <v>0</v>
      </c>
      <c r="V142" s="59" t="n">
        <f aca="false">SUMIF($D$119:$D$131,$C142,V$119:V$131)</f>
        <v>0</v>
      </c>
      <c r="W142" s="59" t="n">
        <f aca="false">SUMIF($D$119:$D$131,$C142,W$119:W$131)</f>
        <v>0</v>
      </c>
      <c r="X142" s="59" t="n">
        <f aca="false">SUMIF($D$119:$D$131,$C142,X$119:X$131)</f>
        <v>0</v>
      </c>
      <c r="Y142" s="59" t="n">
        <f aca="false">SUMIF($D$119:$D$131,$C142,Y$119:Y$131)</f>
        <v>0</v>
      </c>
      <c r="Z142" s="59" t="n">
        <f aca="false">SUMIF($D$119:$D$131,$C142,Z$119:Z$131)</f>
        <v>0</v>
      </c>
      <c r="AA142" s="59" t="n">
        <f aca="false">SUMIF($D$119:$D$131,$C142,AA$119:AA$131)</f>
        <v>0</v>
      </c>
      <c r="AB142" s="59" t="n">
        <f aca="false">SUMIF($D$119:$D$131,$C142,AB$119:AB$131)</f>
        <v>0</v>
      </c>
      <c r="AC142" s="59" t="n">
        <f aca="false">SUMIF($D$119:$D$131,$C142,AC$119:AC$131)</f>
        <v>0</v>
      </c>
      <c r="AD142" s="59" t="n">
        <f aca="false">SUMIF($D$119:$D$131,$C142,AD$119:AD$131)</f>
        <v>0</v>
      </c>
      <c r="AE142" s="59" t="n">
        <f aca="false">SUMIF($D$119:$D$131,$C142,AE$119:AE$131)</f>
        <v>0</v>
      </c>
      <c r="AF142" s="59" t="n">
        <f aca="false">SUMIF($D$119:$D$131,$C142,AF$119:AF$131)</f>
        <v>0</v>
      </c>
      <c r="AG142" s="59" t="n">
        <f aca="false">SUMIF($D$119:$D$131,$C142,AG$119:AG$131)</f>
        <v>0</v>
      </c>
      <c r="AH142" s="59" t="n">
        <f aca="false">SUMIF($D$119:$D$131,$C142,AH$119:AH$131)</f>
        <v>0</v>
      </c>
      <c r="AI142" s="59" t="n">
        <f aca="false">SUMIF($D$119:$D$131,$C142,AI$119:AI$131)</f>
        <v>0</v>
      </c>
      <c r="AJ142" s="59" t="n">
        <f aca="false">SUMIF($D$119:$D$131,$C142,AJ$119:AJ$131)</f>
        <v>0</v>
      </c>
      <c r="AK142" s="59" t="n">
        <f aca="false">SUMIF($D$119:$D$131,$C142,AK$119:AK$131)</f>
        <v>0</v>
      </c>
      <c r="AL142" s="59" t="n">
        <f aca="false">SUMIF($D$119:$D$131,$C142,AL$119:AL$131)</f>
        <v>0</v>
      </c>
    </row>
    <row r="143" customFormat="false" ht="15" hidden="false" customHeight="false" outlineLevel="0" collapsed="false">
      <c r="B143" s="13" t="str">
        <f aca="false">"Total "&amp;B136</f>
        <v>Total Net Book Value</v>
      </c>
      <c r="H143" s="60" t="n">
        <f aca="false">SUM(H137:H142)</f>
        <v>76500</v>
      </c>
      <c r="I143" s="60" t="n">
        <f aca="false">SUM(I137:I142)</f>
        <v>176580</v>
      </c>
      <c r="J143" s="60" t="n">
        <f aca="false">SUM(J137:J142)</f>
        <v>199732.5</v>
      </c>
      <c r="K143" s="60" t="n">
        <f aca="false">SUM(K137:K142)</f>
        <v>224042.625</v>
      </c>
      <c r="L143" s="60" t="n">
        <f aca="false">SUM(L137:L142)</f>
        <v>249568.25625</v>
      </c>
      <c r="M143" s="60" t="n">
        <f aca="false">SUM(M137:M142)</f>
        <v>276370.1690625</v>
      </c>
      <c r="N143" s="60" t="n">
        <f aca="false">SUM(N137:N142)</f>
        <v>304512.177515625</v>
      </c>
      <c r="O143" s="60" t="n">
        <f aca="false">SUM(O137:O142)</f>
        <v>334061.286391406</v>
      </c>
      <c r="P143" s="60" t="n">
        <f aca="false">SUM(P137:P142)</f>
        <v>365087.850710977</v>
      </c>
      <c r="Q143" s="60" t="n">
        <f aca="false">SUM(Q137:Q142)</f>
        <v>397665.743246525</v>
      </c>
      <c r="R143" s="60" t="n">
        <f aca="false">SUM(R137:R142)</f>
        <v>397665.743246525</v>
      </c>
      <c r="S143" s="60" t="n">
        <f aca="false">SUM(S137:S142)</f>
        <v>397665.743246525</v>
      </c>
      <c r="T143" s="60" t="n">
        <f aca="false">SUM(T137:T142)</f>
        <v>397665.743246525</v>
      </c>
      <c r="U143" s="60" t="n">
        <f aca="false">SUM(U137:U142)</f>
        <v>397665.743246525</v>
      </c>
      <c r="V143" s="60" t="n">
        <f aca="false">SUM(V137:V142)</f>
        <v>397665.743246525</v>
      </c>
      <c r="W143" s="60" t="n">
        <f aca="false">SUM(W137:W142)</f>
        <v>397665.743246525</v>
      </c>
      <c r="X143" s="60" t="n">
        <f aca="false">SUM(X137:X142)</f>
        <v>397665.743246525</v>
      </c>
      <c r="Y143" s="60" t="n">
        <f aca="false">SUM(Y137:Y142)</f>
        <v>397665.743246525</v>
      </c>
      <c r="Z143" s="60" t="n">
        <f aca="false">SUM(Z137:Z142)</f>
        <v>397665.743246525</v>
      </c>
      <c r="AA143" s="60" t="n">
        <f aca="false">SUM(AA137:AA142)</f>
        <v>397665.743246525</v>
      </c>
      <c r="AB143" s="60" t="n">
        <f aca="false">SUM(AB137:AB142)</f>
        <v>397665.743246525</v>
      </c>
      <c r="AC143" s="60" t="n">
        <f aca="false">SUM(AC137:AC142)</f>
        <v>397665.743246525</v>
      </c>
      <c r="AD143" s="60" t="n">
        <f aca="false">SUM(AD137:AD142)</f>
        <v>397665.743246525</v>
      </c>
      <c r="AE143" s="60" t="n">
        <f aca="false">SUM(AE137:AE142)</f>
        <v>397665.743246525</v>
      </c>
      <c r="AF143" s="60" t="n">
        <f aca="false">SUM(AF137:AF142)</f>
        <v>397665.743246525</v>
      </c>
      <c r="AG143" s="60" t="n">
        <f aca="false">SUM(AG137:AG142)</f>
        <v>397665.743246525</v>
      </c>
      <c r="AH143" s="60" t="n">
        <f aca="false">SUM(AH137:AH142)</f>
        <v>397665.743246525</v>
      </c>
      <c r="AI143" s="60" t="n">
        <f aca="false">SUM(AI137:AI142)</f>
        <v>397665.743246525</v>
      </c>
      <c r="AJ143" s="60" t="n">
        <f aca="false">SUM(AJ137:AJ142)</f>
        <v>397665.743246525</v>
      </c>
      <c r="AK143" s="60" t="n">
        <f aca="false">SUM(AK137:AK142)</f>
        <v>397665.743246525</v>
      </c>
      <c r="AL143" s="60" t="n">
        <f aca="false">SUM(AL137:AL142)</f>
        <v>397665.743246525</v>
      </c>
    </row>
    <row r="144" customFormat="false" ht="15" hidden="false" customHeight="false" outlineLevel="0" collapsed="false">
      <c r="H144" s="21"/>
    </row>
    <row r="145" customFormat="false" ht="15" hidden="false" customHeight="false" outlineLevel="0" collapsed="false">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row>
    <row r="146" customFormat="false" ht="15" hidden="false" customHeight="false" outlineLevel="0" collapsed="false">
      <c r="H146" s="21"/>
    </row>
    <row r="147" customFormat="false" ht="15" hidden="false" customHeight="false" outlineLevel="0" collapsed="false">
      <c r="H147" s="21"/>
    </row>
    <row r="148" customFormat="false" ht="15" hidden="false" customHeight="false" outlineLevel="0" collapsed="false">
      <c r="C148" s="30"/>
      <c r="H148" s="21"/>
    </row>
    <row r="149" customFormat="false" ht="15" hidden="false" customHeight="false" outlineLevel="0" collapsed="false">
      <c r="C149" s="30"/>
      <c r="H149" s="21"/>
    </row>
    <row r="150" customFormat="false" ht="15" hidden="false" customHeight="false" outlineLevel="0" collapsed="false">
      <c r="C150" s="30"/>
      <c r="H150" s="21"/>
    </row>
    <row r="151" customFormat="false" ht="15" hidden="false" customHeight="false" outlineLevel="0" collapsed="false">
      <c r="C151" s="30"/>
      <c r="H151" s="21"/>
    </row>
    <row r="152" customFormat="false" ht="15" hidden="false" customHeight="false" outlineLevel="0" collapsed="false">
      <c r="C152" s="30"/>
      <c r="H152" s="21"/>
    </row>
    <row r="153" customFormat="false" ht="15" hidden="false" customHeight="false" outlineLevel="0" collapsed="false">
      <c r="C153" s="30"/>
      <c r="H153" s="21"/>
    </row>
    <row r="154" customFormat="false" ht="15" hidden="false" customHeight="false" outlineLevel="0" collapsed="false">
      <c r="H154" s="21"/>
    </row>
    <row r="155" customFormat="false" ht="15" hidden="false" customHeight="false" outlineLevel="0" collapsed="false">
      <c r="H155" s="21"/>
    </row>
    <row r="156" customFormat="false" ht="15" hidden="false" customHeight="false" outlineLevel="0" collapsed="false">
      <c r="H156" s="21"/>
    </row>
    <row r="157" customFormat="false" ht="15" hidden="false" customHeight="false" outlineLevel="0" collapsed="false">
      <c r="H157"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31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3"/>
    <col collapsed="false" customWidth="true" hidden="false" outlineLevel="0" max="2" min="2" style="0" width="42.16"/>
    <col collapsed="false" customWidth="true" hidden="false" outlineLevel="0" max="3" min="3" style="0" width="13.5"/>
    <col collapsed="false" customWidth="true" hidden="false" outlineLevel="0" max="4" min="4" style="0" width="9.16"/>
    <col collapsed="false" customWidth="true" hidden="false" outlineLevel="0" max="5" min="5" style="0" width="56.5"/>
    <col collapsed="false" customWidth="true" hidden="false" outlineLevel="0" max="6" min="6" style="464" width="66.5"/>
  </cols>
  <sheetData>
    <row r="2" customFormat="false" ht="17.35" hidden="false" customHeight="false" outlineLevel="0" collapsed="false">
      <c r="B2" s="5" t="str">
        <f aca="false">'1. Project Summary'!B2</f>
        <v>Projections - Serious Shea</v>
      </c>
    </row>
    <row r="3" customFormat="false" ht="15" hidden="false" customHeight="false" outlineLevel="0" collapsed="false">
      <c r="B3" s="1" t="str">
        <f aca="false">'1. Project Summary'!B3</f>
        <v>(in EUR, unless otherwise stated)</v>
      </c>
    </row>
    <row r="5" customFormat="false" ht="15" hidden="false" customHeight="false" outlineLevel="0" collapsed="false">
      <c r="B5" s="6" t="s">
        <v>781</v>
      </c>
      <c r="C5" s="6"/>
      <c r="D5" s="23"/>
      <c r="E5" s="23"/>
      <c r="F5" s="465"/>
    </row>
    <row r="7" customFormat="false" ht="15" hidden="false" customHeight="false" outlineLevel="0" collapsed="false">
      <c r="B7" s="0" t="s">
        <v>782</v>
      </c>
      <c r="D7" s="466" t="str">
        <f aca="false">'1. Project Summary'!F13</f>
        <v>Nominal</v>
      </c>
    </row>
    <row r="9" customFormat="false" ht="15" hidden="false" customHeight="false" outlineLevel="0" collapsed="false">
      <c r="B9" s="13" t="s">
        <v>783</v>
      </c>
    </row>
    <row r="10" customFormat="false" ht="15" hidden="false" customHeight="false" outlineLevel="0" collapsed="false">
      <c r="B10" s="18" t="s">
        <v>784</v>
      </c>
      <c r="C10" s="352" t="n">
        <f aca="false">SUM('7.CFS'!H21:AK21)</f>
        <v>0</v>
      </c>
      <c r="D10" s="95" t="n">
        <f aca="false">C10/$C$12</f>
        <v>0</v>
      </c>
    </row>
    <row r="11" customFormat="false" ht="15" hidden="false" customHeight="false" outlineLevel="0" collapsed="false">
      <c r="B11" s="18" t="s">
        <v>785</v>
      </c>
      <c r="C11" s="352" t="n">
        <f aca="false">SUM('7.CFS'!H23:J23)</f>
        <v>5000000</v>
      </c>
      <c r="D11" s="95" t="n">
        <f aca="false">C11/$C$12</f>
        <v>1</v>
      </c>
    </row>
    <row r="12" customFormat="false" ht="15" hidden="false" customHeight="false" outlineLevel="0" collapsed="false">
      <c r="C12" s="467" t="n">
        <f aca="false">SUM(C10:C11)</f>
        <v>5000000</v>
      </c>
      <c r="D12" s="468" t="n">
        <f aca="false">SUM(D10:D11)</f>
        <v>1</v>
      </c>
    </row>
    <row r="14" customFormat="false" ht="15" hidden="false" customHeight="false" outlineLevel="0" collapsed="false">
      <c r="B14" s="13" t="s">
        <v>786</v>
      </c>
      <c r="D14" s="13" t="s">
        <v>99</v>
      </c>
      <c r="E14" s="167" t="s">
        <v>88</v>
      </c>
      <c r="F14" s="469" t="s">
        <v>787</v>
      </c>
    </row>
    <row r="15" customFormat="false" ht="24.05" hidden="false" customHeight="false" outlineLevel="0" collapsed="false">
      <c r="B15" s="1" t="s">
        <v>788</v>
      </c>
      <c r="D15" s="470" t="n">
        <v>0.02421817</v>
      </c>
      <c r="E15" s="30" t="s">
        <v>789</v>
      </c>
      <c r="F15" s="471" t="s">
        <v>790</v>
      </c>
    </row>
    <row r="16" customFormat="false" ht="15" hidden="false" customHeight="false" outlineLevel="0" collapsed="false">
      <c r="B16" s="1"/>
      <c r="D16" s="472"/>
    </row>
    <row r="17" customFormat="false" ht="15" hidden="false" customHeight="false" outlineLevel="0" collapsed="false">
      <c r="B17" s="1" t="s">
        <v>791</v>
      </c>
      <c r="D17" s="473" t="n">
        <f aca="false">D11/D12</f>
        <v>1</v>
      </c>
    </row>
    <row r="18" customFormat="false" ht="15" hidden="false" customHeight="false" outlineLevel="0" collapsed="false">
      <c r="B18" s="1" t="s">
        <v>792</v>
      </c>
      <c r="C18" s="33" t="str">
        <f aca="false">'1. Project Summary'!F8</f>
        <v>Senegal</v>
      </c>
      <c r="D18" s="473" t="n">
        <v>0.3</v>
      </c>
      <c r="F18" s="471" t="s">
        <v>793</v>
      </c>
    </row>
    <row r="19" customFormat="false" ht="15" hidden="false" customHeight="false" outlineLevel="0" collapsed="false">
      <c r="B19" s="1" t="s">
        <v>794</v>
      </c>
      <c r="D19" s="474" t="n">
        <v>0.84</v>
      </c>
      <c r="E19" s="30" t="s">
        <v>795</v>
      </c>
      <c r="F19" s="471" t="s">
        <v>796</v>
      </c>
    </row>
    <row r="20" customFormat="false" ht="15" hidden="false" customHeight="false" outlineLevel="0" collapsed="false">
      <c r="B20" s="276" t="s">
        <v>797</v>
      </c>
      <c r="C20" s="227"/>
      <c r="D20" s="475" t="n">
        <f aca="false">D19*(1+(1-D18)*D17)</f>
        <v>1.428</v>
      </c>
    </row>
    <row r="21" customFormat="false" ht="15" hidden="false" customHeight="false" outlineLevel="0" collapsed="false">
      <c r="B21" s="1"/>
      <c r="D21" s="472"/>
    </row>
    <row r="22" customFormat="false" ht="15" hidden="false" customHeight="false" outlineLevel="0" collapsed="false">
      <c r="B22" s="1" t="s">
        <v>798</v>
      </c>
      <c r="D22" s="470" t="n">
        <f aca="false">AVERAGE(5.5%,6%)</f>
        <v>0.0575</v>
      </c>
      <c r="E22" s="30" t="s">
        <v>799</v>
      </c>
      <c r="F22" s="471" t="s">
        <v>800</v>
      </c>
    </row>
    <row r="23" customFormat="false" ht="15" hidden="false" customHeight="false" outlineLevel="0" collapsed="false">
      <c r="B23" s="1" t="s">
        <v>801</v>
      </c>
      <c r="C23" s="33" t="str">
        <f aca="false">'1. Project Summary'!F8</f>
        <v>Senegal</v>
      </c>
      <c r="D23" s="470" t="n">
        <v>0.0621</v>
      </c>
      <c r="E23" s="30" t="s">
        <v>802</v>
      </c>
      <c r="F23" s="471" t="s">
        <v>803</v>
      </c>
    </row>
    <row r="24" customFormat="false" ht="15" hidden="false" customHeight="false" outlineLevel="0" collapsed="false">
      <c r="B24" s="0" t="s">
        <v>804</v>
      </c>
      <c r="D24" s="472"/>
    </row>
    <row r="25" customFormat="false" ht="15" hidden="false" customHeight="false" outlineLevel="0" collapsed="false">
      <c r="B25" s="1" t="s">
        <v>805</v>
      </c>
      <c r="D25" s="472"/>
    </row>
    <row r="26" customFormat="false" ht="15" hidden="false" customHeight="false" outlineLevel="0" collapsed="false">
      <c r="B26" s="276" t="s">
        <v>806</v>
      </c>
      <c r="C26" s="227"/>
      <c r="D26" s="476" t="n">
        <f aca="false">SUM(D22:D25)</f>
        <v>0.1196</v>
      </c>
    </row>
    <row r="27" customFormat="false" ht="15" hidden="false" customHeight="false" outlineLevel="0" collapsed="false">
      <c r="B27" s="1"/>
      <c r="D27" s="472"/>
    </row>
    <row r="28" customFormat="false" ht="15" hidden="false" customHeight="false" outlineLevel="0" collapsed="false">
      <c r="B28" s="1" t="s">
        <v>786</v>
      </c>
      <c r="D28" s="472" t="n">
        <f aca="false">D15+D26*D20</f>
        <v>0.19500697</v>
      </c>
    </row>
    <row r="29" customFormat="false" ht="15" hidden="false" customHeight="false" outlineLevel="0" collapsed="false">
      <c r="B29" s="1"/>
      <c r="D29" s="472"/>
    </row>
    <row r="30" customFormat="false" ht="15" hidden="false" customHeight="false" outlineLevel="0" collapsed="false">
      <c r="B30" s="8" t="s">
        <v>807</v>
      </c>
      <c r="C30" s="33" t="s">
        <v>808</v>
      </c>
      <c r="D30" s="472"/>
    </row>
    <row r="31" customFormat="false" ht="15" hidden="false" customHeight="false" outlineLevel="0" collapsed="false">
      <c r="B31" s="477" t="s">
        <v>809</v>
      </c>
      <c r="C31" s="404" t="n">
        <f aca="false">SUM('9.BS Items'!$H60:$J60)/SUM('9.BS Items'!$H$84:$J$84)</f>
        <v>0</v>
      </c>
      <c r="D31" s="478" t="n">
        <f aca="false">'9.BS Items'!D64</f>
        <v>0.07</v>
      </c>
      <c r="E31" s="30"/>
      <c r="F31" s="469"/>
    </row>
    <row r="32" customFormat="false" ht="15" hidden="false" customHeight="false" outlineLevel="0" collapsed="false">
      <c r="B32" s="477" t="s">
        <v>810</v>
      </c>
      <c r="C32" s="404" t="n">
        <f aca="false">SUM('9.BS Items'!$H68:$J68)/SUM('9.BS Items'!$H$84:$J$84)</f>
        <v>1</v>
      </c>
      <c r="D32" s="479" t="n">
        <f aca="false">'9.BS Items'!D72</f>
        <v>0.07</v>
      </c>
      <c r="E32" s="480"/>
      <c r="F32" s="481"/>
    </row>
    <row r="33" customFormat="false" ht="15" hidden="false" customHeight="false" outlineLevel="0" collapsed="false">
      <c r="B33" s="477" t="s">
        <v>811</v>
      </c>
      <c r="C33" s="404" t="n">
        <f aca="false">SUM('9.BS Items'!$H76:$J76)/SUM('9.BS Items'!$H$84:$J$84)</f>
        <v>0</v>
      </c>
      <c r="D33" s="479" t="n">
        <f aca="false">'9.BS Items'!D80</f>
        <v>0.07</v>
      </c>
      <c r="E33" s="480"/>
      <c r="F33" s="481"/>
    </row>
    <row r="34" customFormat="false" ht="15" hidden="false" customHeight="false" outlineLevel="0" collapsed="false">
      <c r="B34" s="1" t="s">
        <v>812</v>
      </c>
      <c r="D34" s="472" t="n">
        <f aca="false">$C$31*D31+$C$32*D32+$C$33*$D$33</f>
        <v>0.07</v>
      </c>
    </row>
    <row r="35" customFormat="false" ht="15" hidden="false" customHeight="false" outlineLevel="0" collapsed="false">
      <c r="B35" s="1" t="s">
        <v>813</v>
      </c>
      <c r="D35" s="472" t="n">
        <f aca="false">D34*(1-D18)</f>
        <v>0.049</v>
      </c>
    </row>
    <row r="36" customFormat="false" ht="15" hidden="false" customHeight="false" outlineLevel="0" collapsed="false">
      <c r="B36" s="56"/>
      <c r="C36" s="56"/>
      <c r="D36" s="482"/>
    </row>
    <row r="37" customFormat="false" ht="15" hidden="false" customHeight="false" outlineLevel="0" collapsed="false">
      <c r="B37" s="13" t="s">
        <v>814</v>
      </c>
      <c r="D37" s="483" t="n">
        <f aca="false">D34*$D$11+D28*$D$10</f>
        <v>0.07</v>
      </c>
    </row>
    <row r="38" customFormat="false" ht="15" hidden="false" customHeight="false" outlineLevel="0" collapsed="false">
      <c r="B38" s="13" t="s">
        <v>815</v>
      </c>
      <c r="D38" s="483" t="n">
        <f aca="false">D35*$D$11+D28*$D$10</f>
        <v>0.049</v>
      </c>
    </row>
    <row r="39" customFormat="false" ht="15" hidden="false" customHeight="false" outlineLevel="0" collapsed="false">
      <c r="D39" s="483"/>
    </row>
    <row r="40" customFormat="false" ht="15" hidden="false" customHeight="false" outlineLevel="0" collapsed="false">
      <c r="B40" s="13" t="s">
        <v>816</v>
      </c>
      <c r="D40" s="483" t="n">
        <f aca="false">(1+D37)/(1+D41)-1</f>
        <v>0.0490196078431373</v>
      </c>
    </row>
    <row r="41" customFormat="false" ht="15" hidden="false" customHeight="false" outlineLevel="0" collapsed="false">
      <c r="B41" s="0" t="s">
        <v>817</v>
      </c>
      <c r="D41" s="94" t="n">
        <v>0.02</v>
      </c>
      <c r="E41" s="33" t="s">
        <v>818</v>
      </c>
    </row>
    <row r="43" customFormat="false" ht="15" hidden="false" customHeight="false" outlineLevel="0" collapsed="false">
      <c r="B43" s="0" t="s">
        <v>819</v>
      </c>
      <c r="D43" s="484" t="n">
        <v>0.135</v>
      </c>
    </row>
    <row r="45" customFormat="false" ht="15" hidden="false" customHeight="false" outlineLevel="0" collapsed="false">
      <c r="B45" s="6" t="s">
        <v>820</v>
      </c>
      <c r="C45" s="6"/>
      <c r="D45" s="23"/>
      <c r="E45" s="23"/>
      <c r="F45" s="465"/>
    </row>
    <row r="46" customFormat="false" ht="15" hidden="false" customHeight="false" outlineLevel="0" collapsed="false">
      <c r="B46" s="477" t="s">
        <v>821</v>
      </c>
      <c r="C46" s="1"/>
      <c r="D46" s="1"/>
      <c r="E46" s="1" t="s">
        <v>822</v>
      </c>
    </row>
    <row r="47" customFormat="false" ht="15" hidden="false" customHeight="false" outlineLevel="0" collapsed="false">
      <c r="B47" s="477" t="s">
        <v>823</v>
      </c>
      <c r="C47" s="1"/>
      <c r="D47" s="1"/>
      <c r="E47" s="1" t="s">
        <v>824</v>
      </c>
    </row>
    <row r="48" customFormat="false" ht="15" hidden="false" customHeight="false" outlineLevel="0" collapsed="false">
      <c r="B48" s="477" t="s">
        <v>825</v>
      </c>
      <c r="C48" s="1"/>
      <c r="D48" s="1"/>
      <c r="E48" s="1" t="s">
        <v>826</v>
      </c>
    </row>
    <row r="49" customFormat="false" ht="15" hidden="false" customHeight="false" outlineLevel="0" collapsed="false">
      <c r="B49" s="477" t="s">
        <v>827</v>
      </c>
      <c r="C49" s="1"/>
      <c r="D49" s="1"/>
      <c r="E49" s="1" t="s">
        <v>828</v>
      </c>
    </row>
    <row r="50" customFormat="false" ht="15" hidden="false" customHeight="false" outlineLevel="0" collapsed="false">
      <c r="B50" s="477" t="s">
        <v>829</v>
      </c>
      <c r="C50" s="1"/>
      <c r="D50" s="1"/>
      <c r="E50" s="1" t="s">
        <v>830</v>
      </c>
    </row>
    <row r="53" customFormat="false" ht="15" hidden="false" customHeight="false" outlineLevel="0" collapsed="false">
      <c r="B53" s="477"/>
      <c r="C53" s="307"/>
    </row>
    <row r="314" customFormat="false" ht="15" hidden="false" customHeight="false" outlineLevel="0" collapsed="false">
      <c r="O314" s="33" t="n">
        <f aca="false">$E314*O$5</f>
        <v>0</v>
      </c>
    </row>
  </sheetData>
  <hyperlinks>
    <hyperlink ref="F18" r:id="rId1" display="https://taxsummaries.pwc.com/senegal"/>
    <hyperlink ref="F19" r:id="rId2" display="https://pages.stern.nyu.edu/~adamodar/New_Home_Page/datafile/Betas.html "/>
    <hyperlink ref="F22" r:id="rId3" display="https://www.kroll.com/en/insights/publications/cost-of-capital/recommended-eurozone-equity-risk-premium-corresponding-risk-free-rates "/>
    <hyperlink ref="F23" r:id="rId4" display="https://pages.stern.nyu.edu/~adamodar/New_Home_Page/datafile/ctryprem.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92"/>
  <sheetViews>
    <sheetView showFormulas="false" showGridLines="false" showRowColHeaders="true" showZeros="true" rightToLeft="false" tabSelected="false" showOutlineSymbols="true" defaultGridColor="true" view="normal" topLeftCell="A38" colorId="64" zoomScale="110" zoomScaleNormal="110" zoomScalePageLayoutView="100" workbookViewId="0">
      <selection pane="topLeft" activeCell="E49" activeCellId="0" sqref="E49"/>
    </sheetView>
  </sheetViews>
  <sheetFormatPr defaultColWidth="8.83203125" defaultRowHeight="15" zeroHeight="false" outlineLevelRow="0" outlineLevelCol="0"/>
  <cols>
    <col collapsed="false" customWidth="true" hidden="false" outlineLevel="0" max="2" min="2" style="0" width="22.5"/>
    <col collapsed="false" customWidth="true" hidden="false" outlineLevel="0" max="5" min="3" style="0" width="12.33"/>
    <col collapsed="false" customWidth="true" hidden="false" outlineLevel="0" max="8" min="6" style="0" width="10.66"/>
    <col collapsed="false" customWidth="true" hidden="false" outlineLevel="0" max="11" min="9" style="0" width="11.83"/>
    <col collapsed="false" customWidth="true" hidden="false" outlineLevel="0" max="13" min="12" style="0" width="11.67"/>
    <col collapsed="false" customWidth="true" hidden="false" outlineLevel="0" max="15" min="14" style="55" width="11.67"/>
    <col collapsed="false" customWidth="true" hidden="false" outlineLevel="0" max="17" min="16" style="55" width="11.83"/>
    <col collapsed="false" customWidth="true" hidden="false" outlineLevel="0" max="18" min="18" style="0" width="11.83"/>
    <col collapsed="false" customWidth="true" hidden="false" outlineLevel="0" max="19" min="19" style="0" width="13.16"/>
    <col collapsed="false" customWidth="true" hidden="false" outlineLevel="0" max="29" min="20" style="0" width="11.83"/>
    <col collapsed="false" customWidth="true" hidden="false" outlineLevel="0" max="30" min="30" style="0" width="13.16"/>
    <col collapsed="false" customWidth="true" hidden="false" outlineLevel="0" max="33" min="31" style="0" width="11.83"/>
    <col collapsed="false" customWidth="true" hidden="false" outlineLevel="0" max="40" min="34" style="0" width="11.67"/>
    <col collapsed="false" customWidth="true" hidden="false" outlineLevel="0" max="42" min="41" style="0" width="10.51"/>
  </cols>
  <sheetData>
    <row r="2" customFormat="false" ht="15" hidden="false" customHeight="false" outlineLevel="0" collapsed="false">
      <c r="B2" s="485" t="s">
        <v>831</v>
      </c>
      <c r="C2" s="485"/>
      <c r="D2" s="485"/>
      <c r="E2" s="485"/>
      <c r="F2" s="13"/>
      <c r="G2" s="13"/>
      <c r="H2" s="13"/>
      <c r="I2" s="13"/>
      <c r="J2" s="13"/>
      <c r="K2" s="13"/>
      <c r="L2" s="13"/>
      <c r="M2" s="13"/>
      <c r="N2" s="13"/>
      <c r="O2" s="13"/>
      <c r="P2" s="13"/>
      <c r="Q2" s="13"/>
      <c r="R2" s="13"/>
      <c r="S2" s="13"/>
      <c r="T2" s="13"/>
      <c r="U2" s="13"/>
      <c r="V2" s="13"/>
    </row>
    <row r="3" customFormat="false" ht="15" hidden="false" customHeight="false" outlineLevel="0" collapsed="false">
      <c r="B3" s="486" t="s">
        <v>568</v>
      </c>
      <c r="C3" s="487" t="s">
        <v>129</v>
      </c>
      <c r="D3" s="487"/>
      <c r="E3" s="487"/>
    </row>
    <row r="4" customFormat="false" ht="15" hidden="false" customHeight="false" outlineLevel="0" collapsed="false">
      <c r="B4" s="486"/>
      <c r="C4" s="488" t="s">
        <v>832</v>
      </c>
      <c r="D4" s="488" t="s">
        <v>833</v>
      </c>
      <c r="E4" s="488" t="s">
        <v>834</v>
      </c>
    </row>
    <row r="5" customFormat="false" ht="15" hidden="false" customHeight="false" outlineLevel="0" collapsed="false">
      <c r="B5" s="489" t="n">
        <v>2024</v>
      </c>
      <c r="C5" s="186" t="n">
        <f aca="false">0</f>
        <v>0</v>
      </c>
      <c r="D5" s="186" t="n">
        <f aca="false">0</f>
        <v>0</v>
      </c>
      <c r="E5" s="186" t="n">
        <f aca="false">0</f>
        <v>0</v>
      </c>
    </row>
    <row r="6" customFormat="false" ht="15" hidden="false" customHeight="false" outlineLevel="0" collapsed="false">
      <c r="B6" s="489" t="n">
        <f aca="false">B5+1</f>
        <v>2025</v>
      </c>
      <c r="C6" s="490" t="n">
        <v>1640</v>
      </c>
      <c r="D6" s="490" t="n">
        <v>2028</v>
      </c>
      <c r="E6" s="490" t="n">
        <v>2448</v>
      </c>
    </row>
    <row r="7" customFormat="false" ht="15" hidden="false" customHeight="false" outlineLevel="0" collapsed="false">
      <c r="B7" s="489" t="n">
        <f aca="false">B6+1</f>
        <v>2026</v>
      </c>
      <c r="C7" s="490" t="n">
        <v>35324</v>
      </c>
      <c r="D7" s="490" t="n">
        <v>43692</v>
      </c>
      <c r="E7" s="490" t="n">
        <v>52676</v>
      </c>
    </row>
    <row r="8" customFormat="false" ht="15" hidden="false" customHeight="false" outlineLevel="0" collapsed="false">
      <c r="B8" s="489" t="n">
        <f aca="false">B7+1</f>
        <v>2027</v>
      </c>
      <c r="C8" s="490" t="n">
        <v>69008</v>
      </c>
      <c r="D8" s="490" t="n">
        <v>85356</v>
      </c>
      <c r="E8" s="490" t="n">
        <v>102908</v>
      </c>
    </row>
    <row r="9" customFormat="false" ht="15" hidden="false" customHeight="false" outlineLevel="0" collapsed="false">
      <c r="B9" s="489" t="n">
        <f aca="false">B8+1</f>
        <v>2028</v>
      </c>
      <c r="C9" s="490" t="n">
        <v>102696</v>
      </c>
      <c r="D9" s="490" t="n">
        <v>127016</v>
      </c>
      <c r="E9" s="490" t="n">
        <v>153140</v>
      </c>
    </row>
    <row r="10" customFormat="false" ht="15" hidden="false" customHeight="false" outlineLevel="0" collapsed="false">
      <c r="B10" s="489" t="n">
        <f aca="false">B9+1</f>
        <v>2029</v>
      </c>
      <c r="C10" s="490" t="n">
        <v>140060</v>
      </c>
      <c r="D10" s="490" t="n">
        <v>173232</v>
      </c>
      <c r="E10" s="490" t="n">
        <v>208864</v>
      </c>
    </row>
    <row r="11" customFormat="false" ht="15" hidden="false" customHeight="false" outlineLevel="0" collapsed="false">
      <c r="B11" s="489" t="n">
        <f aca="false">B10+1</f>
        <v>2030</v>
      </c>
      <c r="C11" s="490" t="n">
        <v>177428</v>
      </c>
      <c r="D11" s="490" t="n">
        <v>219448</v>
      </c>
      <c r="E11" s="490" t="n">
        <v>264584</v>
      </c>
    </row>
    <row r="12" customFormat="false" ht="15" hidden="false" customHeight="false" outlineLevel="0" collapsed="false">
      <c r="B12" s="489" t="n">
        <f aca="false">B11+1</f>
        <v>2031</v>
      </c>
      <c r="C12" s="490" t="n">
        <v>214792</v>
      </c>
      <c r="D12" s="490" t="n">
        <v>265664</v>
      </c>
      <c r="E12" s="490" t="n">
        <v>320304</v>
      </c>
    </row>
    <row r="13" customFormat="false" ht="15" hidden="false" customHeight="false" outlineLevel="0" collapsed="false">
      <c r="B13" s="489" t="n">
        <f aca="false">B12+1</f>
        <v>2032</v>
      </c>
      <c r="C13" s="490" t="n">
        <v>252160</v>
      </c>
      <c r="D13" s="490" t="n">
        <v>311880</v>
      </c>
      <c r="E13" s="490" t="n">
        <v>376028</v>
      </c>
      <c r="I13" s="55"/>
      <c r="J13" s="55"/>
      <c r="K13" s="55"/>
      <c r="L13" s="55"/>
      <c r="M13" s="55"/>
      <c r="R13" s="55"/>
      <c r="S13" s="55"/>
      <c r="T13" s="55"/>
      <c r="U13" s="55"/>
      <c r="V13" s="55"/>
      <c r="W13" s="55"/>
      <c r="X13" s="55"/>
      <c r="Y13" s="55"/>
      <c r="Z13" s="55"/>
      <c r="AA13" s="55"/>
      <c r="AB13" s="55"/>
      <c r="AC13" s="55"/>
      <c r="AD13" s="55"/>
      <c r="AE13" s="55"/>
      <c r="AF13" s="55"/>
      <c r="AG13" s="55"/>
      <c r="AH13" s="55"/>
      <c r="AI13" s="55"/>
      <c r="AJ13" s="55"/>
      <c r="AK13" s="55"/>
      <c r="AL13" s="55"/>
    </row>
    <row r="14" customFormat="false" ht="15" hidden="false" customHeight="false" outlineLevel="0" collapsed="false">
      <c r="B14" s="489" t="n">
        <f aca="false">B13+1</f>
        <v>2033</v>
      </c>
      <c r="C14" s="490" t="n">
        <v>252160</v>
      </c>
      <c r="D14" s="490" t="n">
        <v>311880</v>
      </c>
      <c r="E14" s="490" t="n">
        <v>376028</v>
      </c>
      <c r="I14" s="55"/>
      <c r="J14" s="55"/>
      <c r="K14" s="55"/>
      <c r="L14" s="55"/>
      <c r="M14" s="55"/>
      <c r="R14" s="55"/>
      <c r="S14" s="55"/>
      <c r="T14" s="55"/>
      <c r="U14" s="55"/>
      <c r="V14" s="55"/>
      <c r="W14" s="55"/>
      <c r="X14" s="55"/>
      <c r="Y14" s="55"/>
      <c r="Z14" s="55"/>
      <c r="AA14" s="55"/>
      <c r="AB14" s="55"/>
      <c r="AC14" s="55"/>
      <c r="AD14" s="55"/>
      <c r="AE14" s="55"/>
      <c r="AF14" s="55"/>
      <c r="AG14" s="55"/>
      <c r="AH14" s="55"/>
      <c r="AI14" s="55"/>
      <c r="AJ14" s="55"/>
      <c r="AK14" s="55"/>
      <c r="AL14" s="55"/>
    </row>
    <row r="15" customFormat="false" ht="15" hidden="false" customHeight="false" outlineLevel="0" collapsed="false">
      <c r="B15" s="489" t="n">
        <f aca="false">B14+1</f>
        <v>2034</v>
      </c>
      <c r="C15" s="490" t="n">
        <v>252160</v>
      </c>
      <c r="D15" s="490" t="n">
        <v>311880</v>
      </c>
      <c r="E15" s="490" t="n">
        <v>376028</v>
      </c>
      <c r="I15" s="55"/>
      <c r="J15" s="55"/>
      <c r="K15" s="55"/>
      <c r="L15" s="55"/>
      <c r="M15" s="55"/>
      <c r="R15" s="55"/>
      <c r="S15" s="55"/>
      <c r="T15" s="55"/>
      <c r="U15" s="55"/>
      <c r="V15" s="55"/>
      <c r="W15" s="55"/>
      <c r="X15" s="55"/>
      <c r="Y15" s="55"/>
      <c r="Z15" s="55"/>
      <c r="AA15" s="55"/>
      <c r="AB15" s="55"/>
      <c r="AC15" s="55"/>
      <c r="AD15" s="55"/>
      <c r="AE15" s="55"/>
      <c r="AF15" s="55"/>
      <c r="AG15" s="55"/>
      <c r="AH15" s="55"/>
      <c r="AI15" s="55"/>
      <c r="AJ15" s="55"/>
      <c r="AK15" s="55"/>
      <c r="AL15" s="55"/>
    </row>
    <row r="16" customFormat="false" ht="15" hidden="false" customHeight="false" outlineLevel="0" collapsed="false">
      <c r="B16" s="489" t="n">
        <f aca="false">B15+1</f>
        <v>2035</v>
      </c>
      <c r="C16" s="490" t="n">
        <v>252160</v>
      </c>
      <c r="D16" s="490" t="n">
        <v>311880</v>
      </c>
      <c r="E16" s="490" t="n">
        <v>376028</v>
      </c>
    </row>
    <row r="17" customFormat="false" ht="15" hidden="false" customHeight="false" outlineLevel="0" collapsed="false">
      <c r="B17" s="489" t="n">
        <f aca="false">B16+1</f>
        <v>2036</v>
      </c>
      <c r="C17" s="490" t="n">
        <v>252160</v>
      </c>
      <c r="D17" s="490" t="n">
        <v>311880</v>
      </c>
      <c r="E17" s="490" t="n">
        <v>376028</v>
      </c>
    </row>
    <row r="18" customFormat="false" ht="15" hidden="false" customHeight="false" outlineLevel="0" collapsed="false">
      <c r="B18" s="489" t="n">
        <f aca="false">B17+1</f>
        <v>2037</v>
      </c>
      <c r="C18" s="490" t="n">
        <v>252160</v>
      </c>
      <c r="D18" s="490" t="n">
        <v>311880</v>
      </c>
      <c r="E18" s="490" t="n">
        <v>376028</v>
      </c>
    </row>
    <row r="19" customFormat="false" ht="15" hidden="false" customHeight="false" outlineLevel="0" collapsed="false">
      <c r="B19" s="489" t="n">
        <f aca="false">B18+1</f>
        <v>2038</v>
      </c>
      <c r="C19" s="490" t="n">
        <v>252160</v>
      </c>
      <c r="D19" s="490" t="n">
        <v>311880</v>
      </c>
      <c r="E19" s="490" t="n">
        <v>376028</v>
      </c>
    </row>
    <row r="20" customFormat="false" ht="15" hidden="false" customHeight="false" outlineLevel="0" collapsed="false">
      <c r="B20" s="489" t="n">
        <f aca="false">B19+1</f>
        <v>2039</v>
      </c>
      <c r="C20" s="490" t="n">
        <v>252160</v>
      </c>
      <c r="D20" s="490" t="n">
        <v>311880</v>
      </c>
      <c r="E20" s="490" t="n">
        <v>376028</v>
      </c>
    </row>
    <row r="21" customFormat="false" ht="15" hidden="false" customHeight="false" outlineLevel="0" collapsed="false">
      <c r="B21" s="489" t="n">
        <f aca="false">B20+1</f>
        <v>2040</v>
      </c>
      <c r="C21" s="490" t="n">
        <v>252160</v>
      </c>
      <c r="D21" s="490" t="n">
        <v>311880</v>
      </c>
      <c r="E21" s="490" t="n">
        <v>376028</v>
      </c>
    </row>
    <row r="22" customFormat="false" ht="15" hidden="false" customHeight="false" outlineLevel="0" collapsed="false">
      <c r="B22" s="489" t="n">
        <f aca="false">B21+1</f>
        <v>2041</v>
      </c>
      <c r="C22" s="490" t="n">
        <v>252160</v>
      </c>
      <c r="D22" s="490" t="n">
        <v>311880</v>
      </c>
      <c r="E22" s="490" t="n">
        <v>376028</v>
      </c>
    </row>
    <row r="23" customFormat="false" ht="15" hidden="false" customHeight="false" outlineLevel="0" collapsed="false">
      <c r="B23" s="489" t="n">
        <f aca="false">B22+1</f>
        <v>2042</v>
      </c>
      <c r="C23" s="490" t="n">
        <v>252160</v>
      </c>
      <c r="D23" s="490" t="n">
        <v>311880</v>
      </c>
      <c r="E23" s="490" t="n">
        <v>376028</v>
      </c>
    </row>
    <row r="24" customFormat="false" ht="15" hidden="false" customHeight="false" outlineLevel="0" collapsed="false">
      <c r="B24" s="489" t="n">
        <f aca="false">B23+1</f>
        <v>2043</v>
      </c>
      <c r="C24" s="490" t="n">
        <v>252160</v>
      </c>
      <c r="D24" s="490" t="n">
        <v>311880</v>
      </c>
      <c r="E24" s="490" t="n">
        <v>376028</v>
      </c>
    </row>
    <row r="25" customFormat="false" ht="15" hidden="false" customHeight="false" outlineLevel="0" collapsed="false">
      <c r="B25" s="489" t="n">
        <f aca="false">B24+1</f>
        <v>2044</v>
      </c>
      <c r="C25" s="490" t="n">
        <v>252160</v>
      </c>
      <c r="D25" s="490" t="n">
        <v>311880</v>
      </c>
      <c r="E25" s="490" t="n">
        <v>376028</v>
      </c>
    </row>
    <row r="26" customFormat="false" ht="15" hidden="false" customHeight="false" outlineLevel="0" collapsed="false">
      <c r="B26" s="489" t="n">
        <f aca="false">B25+1</f>
        <v>2045</v>
      </c>
      <c r="C26" s="490" t="n">
        <v>252160</v>
      </c>
      <c r="D26" s="490" t="n">
        <v>311880</v>
      </c>
      <c r="E26" s="490" t="n">
        <v>376028</v>
      </c>
    </row>
    <row r="27" customFormat="false" ht="15" hidden="false" customHeight="false" outlineLevel="0" collapsed="false">
      <c r="B27" s="489" t="n">
        <f aca="false">B26+1</f>
        <v>2046</v>
      </c>
      <c r="C27" s="490" t="n">
        <v>252160</v>
      </c>
      <c r="D27" s="490" t="n">
        <v>311880</v>
      </c>
      <c r="E27" s="490" t="n">
        <v>376028</v>
      </c>
    </row>
    <row r="28" customFormat="false" ht="15" hidden="false" customHeight="false" outlineLevel="0" collapsed="false">
      <c r="B28" s="489" t="n">
        <f aca="false">B27+1</f>
        <v>2047</v>
      </c>
      <c r="C28" s="490" t="n">
        <v>252160</v>
      </c>
      <c r="D28" s="490" t="n">
        <v>311880</v>
      </c>
      <c r="E28" s="490" t="n">
        <v>376028</v>
      </c>
    </row>
    <row r="29" customFormat="false" ht="15" hidden="false" customHeight="false" outlineLevel="0" collapsed="false">
      <c r="B29" s="489" t="n">
        <f aca="false">B28+1</f>
        <v>2048</v>
      </c>
      <c r="C29" s="490" t="n">
        <v>252160</v>
      </c>
      <c r="D29" s="490" t="n">
        <v>311880</v>
      </c>
      <c r="E29" s="490" t="n">
        <v>376028</v>
      </c>
    </row>
    <row r="30" customFormat="false" ht="15" hidden="false" customHeight="false" outlineLevel="0" collapsed="false">
      <c r="B30" s="489" t="n">
        <f aca="false">B29+1</f>
        <v>2049</v>
      </c>
      <c r="C30" s="490" t="n">
        <v>252160</v>
      </c>
      <c r="D30" s="490" t="n">
        <v>311880</v>
      </c>
      <c r="E30" s="490" t="n">
        <v>376028</v>
      </c>
    </row>
    <row r="31" customFormat="false" ht="15" hidden="false" customHeight="false" outlineLevel="0" collapsed="false">
      <c r="B31" s="489" t="n">
        <f aca="false">B30+1</f>
        <v>2050</v>
      </c>
      <c r="C31" s="490" t="n">
        <v>252160</v>
      </c>
      <c r="D31" s="490" t="n">
        <v>311880</v>
      </c>
      <c r="E31" s="490" t="n">
        <v>376028</v>
      </c>
    </row>
    <row r="32" customFormat="false" ht="15" hidden="false" customHeight="false" outlineLevel="0" collapsed="false">
      <c r="B32" s="489" t="n">
        <f aca="false">B31+1</f>
        <v>2051</v>
      </c>
      <c r="C32" s="490" t="n">
        <v>252160</v>
      </c>
      <c r="D32" s="490" t="n">
        <v>311880</v>
      </c>
      <c r="E32" s="490" t="n">
        <v>376028</v>
      </c>
    </row>
    <row r="33" customFormat="false" ht="15" hidden="false" customHeight="false" outlineLevel="0" collapsed="false">
      <c r="B33" s="489" t="n">
        <f aca="false">B32+1</f>
        <v>2052</v>
      </c>
      <c r="C33" s="490" t="n">
        <v>252160</v>
      </c>
      <c r="D33" s="490" t="n">
        <v>311880</v>
      </c>
      <c r="E33" s="490" t="n">
        <v>376028</v>
      </c>
    </row>
    <row r="34" customFormat="false" ht="15" hidden="false" customHeight="false" outlineLevel="0" collapsed="false">
      <c r="B34" s="489" t="n">
        <f aca="false">B33+1</f>
        <v>2053</v>
      </c>
      <c r="C34" s="490" t="n">
        <v>252160</v>
      </c>
      <c r="D34" s="490" t="n">
        <v>311880</v>
      </c>
      <c r="E34" s="490" t="n">
        <v>376028</v>
      </c>
    </row>
    <row r="35" customFormat="false" ht="15" hidden="false" customHeight="false" outlineLevel="0" collapsed="false">
      <c r="B35" s="489" t="n">
        <v>2054</v>
      </c>
      <c r="C35" s="490" t="n">
        <v>252160</v>
      </c>
      <c r="D35" s="490" t="n">
        <v>311880</v>
      </c>
      <c r="E35" s="490" t="n">
        <v>376028</v>
      </c>
    </row>
    <row r="36" customFormat="false" ht="15" hidden="false" customHeight="false" outlineLevel="0" collapsed="false">
      <c r="B36" s="491" t="s">
        <v>138</v>
      </c>
      <c r="C36" s="492" t="n">
        <f aca="false">SUM(C5:C35)</f>
        <v>6540628</v>
      </c>
      <c r="D36" s="492" t="n">
        <f aca="false">SUM(D5:D35)</f>
        <v>8089676</v>
      </c>
      <c r="E36" s="492" t="n">
        <f aca="false">SUM(E5:E35)</f>
        <v>9753568</v>
      </c>
    </row>
    <row r="38" customFormat="false" ht="15" hidden="false" customHeight="false" outlineLevel="0" collapsed="false">
      <c r="B38" s="493" t="s">
        <v>835</v>
      </c>
    </row>
    <row r="40" customFormat="false" ht="15" hidden="false" customHeight="false" outlineLevel="0" collapsed="false">
      <c r="B40" s="494" t="s">
        <v>836</v>
      </c>
      <c r="C40" s="495" t="s">
        <v>138</v>
      </c>
      <c r="D40" s="13"/>
      <c r="E40" s="167" t="n">
        <v>2024</v>
      </c>
      <c r="F40" s="167" t="n">
        <f aca="false">E40+1</f>
        <v>2025</v>
      </c>
      <c r="G40" s="167" t="n">
        <f aca="false">F40+1</f>
        <v>2026</v>
      </c>
      <c r="H40" s="167" t="n">
        <f aca="false">G40+1</f>
        <v>2027</v>
      </c>
      <c r="I40" s="167" t="n">
        <f aca="false">H40+1</f>
        <v>2028</v>
      </c>
      <c r="J40" s="167" t="n">
        <f aca="false">I40+1</f>
        <v>2029</v>
      </c>
      <c r="K40" s="167" t="n">
        <f aca="false">J40+1</f>
        <v>2030</v>
      </c>
      <c r="L40" s="167" t="n">
        <f aca="false">K40+1</f>
        <v>2031</v>
      </c>
      <c r="M40" s="167" t="n">
        <f aca="false">L40+1</f>
        <v>2032</v>
      </c>
      <c r="N40" s="167" t="n">
        <f aca="false">M40+1</f>
        <v>2033</v>
      </c>
      <c r="O40" s="167" t="n">
        <f aca="false">N40+1</f>
        <v>2034</v>
      </c>
      <c r="P40" s="167" t="n">
        <f aca="false">O40+1</f>
        <v>2035</v>
      </c>
      <c r="Q40" s="167" t="n">
        <f aca="false">P40+1</f>
        <v>2036</v>
      </c>
      <c r="R40" s="167" t="n">
        <f aca="false">Q40+1</f>
        <v>2037</v>
      </c>
      <c r="S40" s="167" t="n">
        <f aca="false">R40+1</f>
        <v>2038</v>
      </c>
      <c r="T40" s="167" t="n">
        <f aca="false">S40+1</f>
        <v>2039</v>
      </c>
      <c r="U40" s="167" t="n">
        <f aca="false">T40+1</f>
        <v>2040</v>
      </c>
      <c r="V40" s="167" t="n">
        <f aca="false">U40+1</f>
        <v>2041</v>
      </c>
      <c r="W40" s="167" t="n">
        <f aca="false">V40+1</f>
        <v>2042</v>
      </c>
      <c r="X40" s="167" t="n">
        <f aca="false">W40+1</f>
        <v>2043</v>
      </c>
      <c r="Y40" s="167" t="n">
        <f aca="false">X40+1</f>
        <v>2044</v>
      </c>
      <c r="Z40" s="167" t="n">
        <f aca="false">Y40+1</f>
        <v>2045</v>
      </c>
      <c r="AA40" s="167" t="n">
        <f aca="false">Z40+1</f>
        <v>2046</v>
      </c>
      <c r="AB40" s="167" t="n">
        <f aca="false">AA40+1</f>
        <v>2047</v>
      </c>
      <c r="AC40" s="167" t="n">
        <f aca="false">AB40+1</f>
        <v>2048</v>
      </c>
      <c r="AD40" s="167" t="n">
        <f aca="false">AC40+1</f>
        <v>2049</v>
      </c>
      <c r="AE40" s="167" t="n">
        <f aca="false">AD40+1</f>
        <v>2050</v>
      </c>
      <c r="AF40" s="167" t="n">
        <f aca="false">AE40+1</f>
        <v>2051</v>
      </c>
      <c r="AG40" s="167" t="n">
        <f aca="false">AF40+1</f>
        <v>2052</v>
      </c>
      <c r="AH40" s="167" t="n">
        <f aca="false">AG40+1</f>
        <v>2053</v>
      </c>
      <c r="AI40" s="167" t="n">
        <f aca="false">AH40+1</f>
        <v>2054</v>
      </c>
      <c r="AJ40" s="167"/>
      <c r="AK40" s="167"/>
      <c r="AL40" s="167"/>
      <c r="AM40" s="167"/>
      <c r="AN40" s="167"/>
      <c r="AO40" s="167"/>
    </row>
    <row r="41" customFormat="false" ht="15" hidden="false" customHeight="false" outlineLevel="0" collapsed="false">
      <c r="B41" s="0" t="s">
        <v>837</v>
      </c>
      <c r="C41" s="21" t="n">
        <f aca="false">SUM(E41:AI41)</f>
        <v>6540628</v>
      </c>
      <c r="E41" s="55" t="n">
        <v>0</v>
      </c>
      <c r="F41" s="55" t="n">
        <v>1640</v>
      </c>
      <c r="G41" s="55" t="n">
        <v>35324</v>
      </c>
      <c r="H41" s="55" t="n">
        <v>69008</v>
      </c>
      <c r="I41" s="55" t="n">
        <v>102696</v>
      </c>
      <c r="J41" s="55" t="n">
        <v>140060</v>
      </c>
      <c r="K41" s="55" t="n">
        <v>177428</v>
      </c>
      <c r="L41" s="55" t="n">
        <v>214792</v>
      </c>
      <c r="M41" s="55" t="n">
        <v>252160</v>
      </c>
      <c r="N41" s="55" t="n">
        <v>252160</v>
      </c>
      <c r="O41" s="55" t="n">
        <v>252160</v>
      </c>
      <c r="P41" s="55" t="n">
        <v>252160</v>
      </c>
      <c r="Q41" s="55" t="n">
        <v>252160</v>
      </c>
      <c r="R41" s="55" t="n">
        <v>252160</v>
      </c>
      <c r="S41" s="55" t="n">
        <v>252160</v>
      </c>
      <c r="T41" s="55" t="n">
        <v>252160</v>
      </c>
      <c r="U41" s="55" t="n">
        <v>252160</v>
      </c>
      <c r="V41" s="55" t="n">
        <v>252160</v>
      </c>
      <c r="W41" s="55" t="n">
        <v>252160</v>
      </c>
      <c r="X41" s="55" t="n">
        <v>252160</v>
      </c>
      <c r="Y41" s="55" t="n">
        <v>252160</v>
      </c>
      <c r="Z41" s="55" t="n">
        <v>252160</v>
      </c>
      <c r="AA41" s="55" t="n">
        <v>252160</v>
      </c>
      <c r="AB41" s="55" t="n">
        <v>252160</v>
      </c>
      <c r="AC41" s="55" t="n">
        <v>252160</v>
      </c>
      <c r="AD41" s="55" t="n">
        <v>252160</v>
      </c>
      <c r="AE41" s="55" t="n">
        <v>252160</v>
      </c>
      <c r="AF41" s="55" t="n">
        <v>252160</v>
      </c>
      <c r="AG41" s="55" t="n">
        <v>252160</v>
      </c>
      <c r="AH41" s="55" t="n">
        <v>252160</v>
      </c>
      <c r="AI41" s="55" t="n">
        <v>252160</v>
      </c>
      <c r="AJ41" s="55"/>
      <c r="AK41" s="55"/>
      <c r="AL41" s="55"/>
      <c r="AM41" s="55"/>
      <c r="AN41" s="55"/>
      <c r="AO41" s="55"/>
    </row>
    <row r="42" customFormat="false" ht="15" hidden="false" customHeight="false" outlineLevel="0" collapsed="false">
      <c r="B42" s="0" t="s">
        <v>838</v>
      </c>
      <c r="C42" s="21" t="n">
        <f aca="false">SUM(E42:AI42)</f>
        <v>8089676</v>
      </c>
      <c r="E42" s="55" t="n">
        <v>0</v>
      </c>
      <c r="F42" s="55" t="n">
        <v>2028</v>
      </c>
      <c r="G42" s="55" t="n">
        <v>43692</v>
      </c>
      <c r="H42" s="55" t="n">
        <v>85356</v>
      </c>
      <c r="I42" s="55" t="n">
        <v>127016</v>
      </c>
      <c r="J42" s="55" t="n">
        <v>173232</v>
      </c>
      <c r="K42" s="55" t="n">
        <v>219448</v>
      </c>
      <c r="L42" s="55" t="n">
        <v>265664</v>
      </c>
      <c r="M42" s="55" t="n">
        <v>311880</v>
      </c>
      <c r="N42" s="55" t="n">
        <v>311880</v>
      </c>
      <c r="O42" s="55" t="n">
        <v>311880</v>
      </c>
      <c r="P42" s="55" t="n">
        <v>311880</v>
      </c>
      <c r="Q42" s="55" t="n">
        <v>311880</v>
      </c>
      <c r="R42" s="55" t="n">
        <v>311880</v>
      </c>
      <c r="S42" s="55" t="n">
        <v>311880</v>
      </c>
      <c r="T42" s="55" t="n">
        <v>311880</v>
      </c>
      <c r="U42" s="55" t="n">
        <v>311880</v>
      </c>
      <c r="V42" s="55" t="n">
        <v>311880</v>
      </c>
      <c r="W42" s="55" t="n">
        <v>311880</v>
      </c>
      <c r="X42" s="55" t="n">
        <v>311880</v>
      </c>
      <c r="Y42" s="55" t="n">
        <v>311880</v>
      </c>
      <c r="Z42" s="55" t="n">
        <v>311880</v>
      </c>
      <c r="AA42" s="55" t="n">
        <v>311880</v>
      </c>
      <c r="AB42" s="55" t="n">
        <v>311880</v>
      </c>
      <c r="AC42" s="55" t="n">
        <v>311880</v>
      </c>
      <c r="AD42" s="55" t="n">
        <v>311880</v>
      </c>
      <c r="AE42" s="55" t="n">
        <v>311880</v>
      </c>
      <c r="AF42" s="55" t="n">
        <v>311880</v>
      </c>
      <c r="AG42" s="55" t="n">
        <v>311880</v>
      </c>
      <c r="AH42" s="55" t="n">
        <v>311880</v>
      </c>
      <c r="AI42" s="55" t="n">
        <v>311880</v>
      </c>
      <c r="AJ42" s="55"/>
      <c r="AK42" s="55"/>
      <c r="AL42" s="55"/>
      <c r="AM42" s="55"/>
      <c r="AN42" s="55"/>
      <c r="AO42" s="55"/>
    </row>
    <row r="43" customFormat="false" ht="15" hidden="false" customHeight="false" outlineLevel="0" collapsed="false">
      <c r="B43" s="0" t="s">
        <v>839</v>
      </c>
      <c r="C43" s="21" t="n">
        <f aca="false">SUM(E43:AI43)</f>
        <v>9753568</v>
      </c>
      <c r="E43" s="55" t="n">
        <v>0</v>
      </c>
      <c r="F43" s="55" t="n">
        <v>2448</v>
      </c>
      <c r="G43" s="55" t="n">
        <v>52676</v>
      </c>
      <c r="H43" s="55" t="n">
        <v>102908</v>
      </c>
      <c r="I43" s="55" t="n">
        <v>153140</v>
      </c>
      <c r="J43" s="55" t="n">
        <v>208864</v>
      </c>
      <c r="K43" s="55" t="n">
        <v>264584</v>
      </c>
      <c r="L43" s="55" t="n">
        <v>320304</v>
      </c>
      <c r="M43" s="55" t="n">
        <v>376028</v>
      </c>
      <c r="N43" s="55" t="n">
        <v>376028</v>
      </c>
      <c r="O43" s="55" t="n">
        <v>376028</v>
      </c>
      <c r="P43" s="55" t="n">
        <v>376028</v>
      </c>
      <c r="Q43" s="55" t="n">
        <v>376028</v>
      </c>
      <c r="R43" s="55" t="n">
        <v>376028</v>
      </c>
      <c r="S43" s="55" t="n">
        <v>376028</v>
      </c>
      <c r="T43" s="55" t="n">
        <v>376028</v>
      </c>
      <c r="U43" s="55" t="n">
        <v>376028</v>
      </c>
      <c r="V43" s="55" t="n">
        <v>376028</v>
      </c>
      <c r="W43" s="55" t="n">
        <v>376028</v>
      </c>
      <c r="X43" s="55" t="n">
        <v>376028</v>
      </c>
      <c r="Y43" s="55" t="n">
        <v>376028</v>
      </c>
      <c r="Z43" s="55" t="n">
        <v>376028</v>
      </c>
      <c r="AA43" s="55" t="n">
        <v>376028</v>
      </c>
      <c r="AB43" s="55" t="n">
        <v>376028</v>
      </c>
      <c r="AC43" s="55" t="n">
        <v>376028</v>
      </c>
      <c r="AD43" s="55" t="n">
        <v>376028</v>
      </c>
      <c r="AE43" s="55" t="n">
        <v>376028</v>
      </c>
      <c r="AF43" s="55" t="n">
        <v>376028</v>
      </c>
      <c r="AG43" s="55" t="n">
        <v>376028</v>
      </c>
      <c r="AH43" s="55" t="n">
        <v>376028</v>
      </c>
      <c r="AI43" s="55" t="n">
        <v>376028</v>
      </c>
      <c r="AJ43" s="55"/>
      <c r="AK43" s="55"/>
      <c r="AL43" s="55"/>
      <c r="AM43" s="55"/>
      <c r="AN43" s="55"/>
      <c r="AO43" s="55"/>
    </row>
    <row r="44" customFormat="false" ht="15" hidden="false" customHeight="false" outlineLevel="0" collapsed="false">
      <c r="B44" s="13"/>
      <c r="C44" s="61"/>
      <c r="D44" s="61"/>
      <c r="E44" s="61"/>
      <c r="F44" s="61"/>
      <c r="G44" s="61"/>
      <c r="H44" s="61"/>
      <c r="I44" s="61"/>
      <c r="J44" s="61"/>
      <c r="K44" s="61"/>
      <c r="L44" s="61"/>
      <c r="M44" s="61"/>
      <c r="N44" s="61"/>
      <c r="O44" s="61"/>
      <c r="P44" s="61"/>
      <c r="Q44" s="61"/>
      <c r="R44" s="61"/>
      <c r="S44" s="61"/>
      <c r="T44" s="61"/>
      <c r="U44" s="61"/>
      <c r="V44" s="61"/>
      <c r="W44" s="61"/>
      <c r="X44" s="61"/>
      <c r="Y44" s="61"/>
      <c r="Z44" s="61"/>
      <c r="AA44" s="55"/>
      <c r="AB44" s="55"/>
      <c r="AC44" s="55"/>
      <c r="AD44" s="55"/>
      <c r="AE44" s="55"/>
      <c r="AF44" s="55"/>
      <c r="AG44" s="55"/>
      <c r="AH44" s="55"/>
      <c r="AI44" s="55"/>
      <c r="AJ44" s="55"/>
    </row>
    <row r="45" customFormat="false" ht="15" hidden="false" customHeight="false" outlineLevel="0" collapsed="false">
      <c r="B45" s="13"/>
      <c r="C45" s="61"/>
      <c r="D45" s="61"/>
      <c r="E45" s="61"/>
      <c r="F45" s="61"/>
      <c r="G45" s="61"/>
      <c r="H45" s="61"/>
      <c r="I45" s="61"/>
      <c r="J45" s="61"/>
      <c r="K45" s="61"/>
      <c r="L45" s="61"/>
      <c r="M45" s="61"/>
      <c r="N45" s="61"/>
      <c r="O45" s="61"/>
      <c r="P45" s="61"/>
      <c r="Q45" s="61"/>
      <c r="R45" s="61"/>
      <c r="S45" s="61"/>
      <c r="T45" s="61"/>
      <c r="U45" s="61"/>
      <c r="V45" s="61"/>
      <c r="W45" s="61"/>
      <c r="X45" s="61"/>
      <c r="Y45" s="61"/>
      <c r="Z45" s="61"/>
      <c r="AA45" s="13"/>
    </row>
    <row r="48" customFormat="false" ht="15" hidden="false" customHeight="false" outlineLevel="0" collapsed="false">
      <c r="E48" s="13" t="s">
        <v>840</v>
      </c>
    </row>
    <row r="49" customFormat="false" ht="15" hidden="false" customHeight="false" outlineLevel="0" collapsed="false">
      <c r="F49" s="55" t="n">
        <v>1640</v>
      </c>
      <c r="G49" s="55" t="n">
        <v>35324</v>
      </c>
      <c r="H49" s="55" t="n">
        <v>69008</v>
      </c>
      <c r="I49" s="55" t="n">
        <v>102696</v>
      </c>
      <c r="J49" s="55" t="n">
        <v>140060</v>
      </c>
      <c r="K49" s="55" t="n">
        <v>177428</v>
      </c>
      <c r="L49" s="55" t="n">
        <v>214792</v>
      </c>
      <c r="M49" s="55" t="n">
        <v>252160</v>
      </c>
      <c r="N49" s="55" t="n">
        <v>252160</v>
      </c>
      <c r="O49" s="55" t="n">
        <v>252160</v>
      </c>
      <c r="P49" s="55" t="n">
        <v>252160</v>
      </c>
      <c r="Q49" s="55" t="n">
        <v>252160</v>
      </c>
      <c r="R49" s="55" t="n">
        <v>252160</v>
      </c>
      <c r="S49" s="55" t="n">
        <v>252160</v>
      </c>
      <c r="T49" s="55" t="n">
        <v>252160</v>
      </c>
      <c r="U49" s="55" t="n">
        <v>252160</v>
      </c>
      <c r="V49" s="55" t="n">
        <v>252160</v>
      </c>
      <c r="W49" s="55" t="n">
        <v>252160</v>
      </c>
      <c r="X49" s="55" t="n">
        <v>252160</v>
      </c>
      <c r="Y49" s="55" t="n">
        <v>252160</v>
      </c>
      <c r="Z49" s="55" t="n">
        <v>252160</v>
      </c>
      <c r="AA49" s="55" t="n">
        <v>252160</v>
      </c>
      <c r="AB49" s="55" t="n">
        <v>252160</v>
      </c>
      <c r="AC49" s="55" t="n">
        <v>252160</v>
      </c>
      <c r="AD49" s="55" t="n">
        <v>252160</v>
      </c>
      <c r="AE49" s="55" t="n">
        <v>252160</v>
      </c>
      <c r="AF49" s="55" t="n">
        <v>252160</v>
      </c>
      <c r="AG49" s="55" t="n">
        <v>252160</v>
      </c>
      <c r="AH49" s="55" t="n">
        <v>252160</v>
      </c>
      <c r="AI49" s="55" t="n">
        <v>252160</v>
      </c>
    </row>
    <row r="50" customFormat="false" ht="15" hidden="false" customHeight="false" outlineLevel="0" collapsed="false">
      <c r="F50" s="55" t="n">
        <v>2028</v>
      </c>
      <c r="G50" s="55" t="n">
        <v>43692</v>
      </c>
      <c r="H50" s="55" t="n">
        <v>85356</v>
      </c>
      <c r="I50" s="55" t="n">
        <v>127016</v>
      </c>
      <c r="J50" s="55" t="n">
        <v>173232</v>
      </c>
      <c r="K50" s="55" t="n">
        <v>219448</v>
      </c>
      <c r="L50" s="55" t="n">
        <v>265664</v>
      </c>
      <c r="M50" s="55" t="n">
        <v>311880</v>
      </c>
      <c r="N50" s="55" t="n">
        <v>311880</v>
      </c>
      <c r="O50" s="55" t="n">
        <v>311880</v>
      </c>
      <c r="P50" s="55" t="n">
        <v>311880</v>
      </c>
      <c r="Q50" s="55" t="n">
        <v>311880</v>
      </c>
      <c r="R50" s="55" t="n">
        <v>311880</v>
      </c>
      <c r="S50" s="55" t="n">
        <v>311880</v>
      </c>
      <c r="T50" s="55" t="n">
        <v>311880</v>
      </c>
      <c r="U50" s="55" t="n">
        <v>311880</v>
      </c>
      <c r="V50" s="55" t="n">
        <v>311880</v>
      </c>
      <c r="W50" s="55" t="n">
        <v>311880</v>
      </c>
      <c r="X50" s="55" t="n">
        <v>311880</v>
      </c>
      <c r="Y50" s="55" t="n">
        <v>311880</v>
      </c>
      <c r="Z50" s="55" t="n">
        <v>311880</v>
      </c>
      <c r="AA50" s="55" t="n">
        <v>311880</v>
      </c>
      <c r="AB50" s="55" t="n">
        <v>311880</v>
      </c>
      <c r="AC50" s="55" t="n">
        <v>311880</v>
      </c>
      <c r="AD50" s="55" t="n">
        <v>311880</v>
      </c>
      <c r="AE50" s="55" t="n">
        <v>311880</v>
      </c>
      <c r="AF50" s="55" t="n">
        <v>311880</v>
      </c>
      <c r="AG50" s="55" t="n">
        <v>311880</v>
      </c>
      <c r="AH50" s="55" t="n">
        <v>311880</v>
      </c>
      <c r="AI50" s="55" t="n">
        <v>311880</v>
      </c>
    </row>
    <row r="51" customFormat="false" ht="15" hidden="false" customHeight="false" outlineLevel="0" collapsed="false">
      <c r="F51" s="55" t="n">
        <v>2448</v>
      </c>
      <c r="G51" s="55" t="n">
        <v>52676</v>
      </c>
      <c r="H51" s="55" t="n">
        <v>102908</v>
      </c>
      <c r="I51" s="55" t="n">
        <v>153140</v>
      </c>
      <c r="J51" s="55" t="n">
        <v>208864</v>
      </c>
      <c r="K51" s="55" t="n">
        <v>264584</v>
      </c>
      <c r="L51" s="55" t="n">
        <v>320304</v>
      </c>
      <c r="M51" s="55" t="n">
        <v>376028</v>
      </c>
      <c r="N51" s="55" t="n">
        <v>376028</v>
      </c>
      <c r="O51" s="55" t="n">
        <v>376028</v>
      </c>
      <c r="P51" s="55" t="n">
        <v>376028</v>
      </c>
      <c r="Q51" s="55" t="n">
        <v>376028</v>
      </c>
      <c r="R51" s="55" t="n">
        <v>376028</v>
      </c>
      <c r="S51" s="55" t="n">
        <v>376028</v>
      </c>
      <c r="T51" s="55" t="n">
        <v>376028</v>
      </c>
      <c r="U51" s="55" t="n">
        <v>376028</v>
      </c>
      <c r="V51" s="55" t="n">
        <v>376028</v>
      </c>
      <c r="W51" s="55" t="n">
        <v>376028</v>
      </c>
      <c r="X51" s="55" t="n">
        <v>376028</v>
      </c>
      <c r="Y51" s="55" t="n">
        <v>376028</v>
      </c>
      <c r="Z51" s="55" t="n">
        <v>376028</v>
      </c>
      <c r="AA51" s="55" t="n">
        <v>376028</v>
      </c>
      <c r="AB51" s="55" t="n">
        <v>376028</v>
      </c>
      <c r="AC51" s="55" t="n">
        <v>376028</v>
      </c>
      <c r="AD51" s="55" t="n">
        <v>376028</v>
      </c>
      <c r="AE51" s="55" t="n">
        <v>376028</v>
      </c>
      <c r="AF51" s="55" t="n">
        <v>376028</v>
      </c>
      <c r="AG51" s="55" t="n">
        <v>376028</v>
      </c>
      <c r="AH51" s="55" t="n">
        <v>376028</v>
      </c>
      <c r="AI51" s="55" t="n">
        <v>376028</v>
      </c>
    </row>
    <row r="57" customFormat="false" ht="16.85" hidden="false" customHeight="false" outlineLevel="0" collapsed="false">
      <c r="A57" s="496" t="s">
        <v>841</v>
      </c>
      <c r="F57" s="496" t="s">
        <v>842</v>
      </c>
    </row>
    <row r="59" customFormat="false" ht="16.5" hidden="false" customHeight="false" outlineLevel="0" collapsed="false">
      <c r="A59" s="497" t="s">
        <v>166</v>
      </c>
      <c r="B59" s="498" t="s">
        <v>833</v>
      </c>
      <c r="C59" s="498" t="s">
        <v>843</v>
      </c>
      <c r="D59" s="499" t="s">
        <v>834</v>
      </c>
      <c r="F59" s="497" t="s">
        <v>166</v>
      </c>
      <c r="G59" s="498" t="s">
        <v>833</v>
      </c>
      <c r="H59" s="498" t="s">
        <v>843</v>
      </c>
      <c r="I59" s="499" t="s">
        <v>834</v>
      </c>
    </row>
    <row r="61" customFormat="false" ht="16.85" hidden="false" customHeight="true" outlineLevel="0" collapsed="false">
      <c r="A61" s="500" t="s">
        <v>844</v>
      </c>
      <c r="B61" s="500"/>
      <c r="C61" s="500"/>
      <c r="D61" s="500"/>
      <c r="F61" s="500" t="s">
        <v>844</v>
      </c>
      <c r="G61" s="500"/>
      <c r="H61" s="500"/>
      <c r="I61" s="500"/>
    </row>
    <row r="62" customFormat="false" ht="16.85" hidden="false" customHeight="false" outlineLevel="0" collapsed="false">
      <c r="A62" s="501" t="n">
        <v>2024</v>
      </c>
      <c r="B62" s="502" t="n">
        <v>410</v>
      </c>
      <c r="C62" s="502" t="n">
        <v>507</v>
      </c>
      <c r="D62" s="502" t="n">
        <v>612</v>
      </c>
      <c r="F62" s="501" t="n">
        <v>2024</v>
      </c>
      <c r="G62" s="502" t="n">
        <f aca="false">B62*4</f>
        <v>1640</v>
      </c>
      <c r="H62" s="502" t="n">
        <f aca="false">C62*4</f>
        <v>2028</v>
      </c>
      <c r="I62" s="502" t="n">
        <f aca="false">D62*4</f>
        <v>2448</v>
      </c>
    </row>
    <row r="63" customFormat="false" ht="16.85" hidden="false" customHeight="false" outlineLevel="0" collapsed="false">
      <c r="A63" s="501" t="n">
        <v>2025</v>
      </c>
      <c r="B63" s="503" t="n">
        <v>8831</v>
      </c>
      <c r="C63" s="503" t="n">
        <v>10923</v>
      </c>
      <c r="D63" s="503" t="n">
        <v>13169</v>
      </c>
      <c r="F63" s="501" t="n">
        <v>2025</v>
      </c>
      <c r="G63" s="502" t="n">
        <f aca="false">B63*4</f>
        <v>35324</v>
      </c>
      <c r="H63" s="502" t="n">
        <f aca="false">C63*4</f>
        <v>43692</v>
      </c>
      <c r="I63" s="502" t="n">
        <f aca="false">D63*4</f>
        <v>52676</v>
      </c>
    </row>
    <row r="64" customFormat="false" ht="16.85" hidden="false" customHeight="false" outlineLevel="0" collapsed="false">
      <c r="A64" s="501" t="n">
        <v>2026</v>
      </c>
      <c r="B64" s="504" t="n">
        <v>17252</v>
      </c>
      <c r="C64" s="504" t="n">
        <v>21339</v>
      </c>
      <c r="D64" s="504" t="n">
        <v>25727</v>
      </c>
      <c r="F64" s="501" t="n">
        <v>2026</v>
      </c>
      <c r="G64" s="502" t="n">
        <f aca="false">B64*4</f>
        <v>69008</v>
      </c>
      <c r="H64" s="502" t="n">
        <f aca="false">C64*4</f>
        <v>85356</v>
      </c>
      <c r="I64" s="502" t="n">
        <f aca="false">D64*4</f>
        <v>102908</v>
      </c>
    </row>
    <row r="65" customFormat="false" ht="16.85" hidden="false" customHeight="false" outlineLevel="0" collapsed="false">
      <c r="A65" s="501" t="n">
        <v>2027</v>
      </c>
      <c r="B65" s="503" t="n">
        <v>25674</v>
      </c>
      <c r="C65" s="503" t="n">
        <v>31754</v>
      </c>
      <c r="D65" s="503" t="n">
        <v>38285</v>
      </c>
      <c r="F65" s="501" t="n">
        <v>2027</v>
      </c>
      <c r="G65" s="502" t="n">
        <f aca="false">B65*4</f>
        <v>102696</v>
      </c>
      <c r="H65" s="502" t="n">
        <f aca="false">C65*4</f>
        <v>127016</v>
      </c>
      <c r="I65" s="502" t="n">
        <f aca="false">D65*4</f>
        <v>153140</v>
      </c>
    </row>
    <row r="66" customFormat="false" ht="16.85" hidden="false" customHeight="false" outlineLevel="0" collapsed="false">
      <c r="A66" s="501" t="n">
        <v>2028</v>
      </c>
      <c r="B66" s="504" t="n">
        <v>35015</v>
      </c>
      <c r="C66" s="504" t="n">
        <v>43308</v>
      </c>
      <c r="D66" s="504" t="n">
        <v>52216</v>
      </c>
      <c r="F66" s="501" t="n">
        <v>2028</v>
      </c>
      <c r="G66" s="502" t="n">
        <f aca="false">B66*4</f>
        <v>140060</v>
      </c>
      <c r="H66" s="502" t="n">
        <f aca="false">C66*4</f>
        <v>173232</v>
      </c>
      <c r="I66" s="502" t="n">
        <f aca="false">D66*4</f>
        <v>208864</v>
      </c>
    </row>
    <row r="67" customFormat="false" ht="16.85" hidden="false" customHeight="false" outlineLevel="0" collapsed="false">
      <c r="A67" s="501" t="n">
        <v>2029</v>
      </c>
      <c r="B67" s="503" t="n">
        <v>44357</v>
      </c>
      <c r="C67" s="503" t="n">
        <v>54862</v>
      </c>
      <c r="D67" s="503" t="n">
        <v>66146</v>
      </c>
      <c r="F67" s="501" t="n">
        <v>2029</v>
      </c>
      <c r="G67" s="502" t="n">
        <f aca="false">B67*4</f>
        <v>177428</v>
      </c>
      <c r="H67" s="502" t="n">
        <f aca="false">C67*4</f>
        <v>219448</v>
      </c>
      <c r="I67" s="502" t="n">
        <f aca="false">D67*4</f>
        <v>264584</v>
      </c>
    </row>
    <row r="68" customFormat="false" ht="16.85" hidden="false" customHeight="false" outlineLevel="0" collapsed="false">
      <c r="A68" s="501" t="n">
        <v>2030</v>
      </c>
      <c r="B68" s="504" t="n">
        <v>53698</v>
      </c>
      <c r="C68" s="504" t="n">
        <v>66416</v>
      </c>
      <c r="D68" s="504" t="n">
        <v>80076</v>
      </c>
      <c r="F68" s="501" t="n">
        <v>2030</v>
      </c>
      <c r="G68" s="502" t="n">
        <f aca="false">B68*4</f>
        <v>214792</v>
      </c>
      <c r="H68" s="502" t="n">
        <f aca="false">C68*4</f>
        <v>265664</v>
      </c>
      <c r="I68" s="502" t="n">
        <f aca="false">D68*4</f>
        <v>320304</v>
      </c>
    </row>
    <row r="69" customFormat="false" ht="16.85" hidden="false" customHeight="false" outlineLevel="0" collapsed="false">
      <c r="A69" s="501" t="n">
        <v>2031</v>
      </c>
      <c r="B69" s="503" t="n">
        <v>63040</v>
      </c>
      <c r="C69" s="503" t="n">
        <v>77970</v>
      </c>
      <c r="D69" s="503" t="n">
        <v>94007</v>
      </c>
      <c r="F69" s="501" t="n">
        <v>2031</v>
      </c>
      <c r="G69" s="502" t="n">
        <f aca="false">B69*4</f>
        <v>252160</v>
      </c>
      <c r="H69" s="502" t="n">
        <f aca="false">C69*4</f>
        <v>311880</v>
      </c>
      <c r="I69" s="502" t="n">
        <f aca="false">D69*4</f>
        <v>376028</v>
      </c>
    </row>
    <row r="70" customFormat="false" ht="16.85" hidden="false" customHeight="false" outlineLevel="0" collapsed="false">
      <c r="A70" s="501" t="n">
        <v>2032</v>
      </c>
      <c r="B70" s="504" t="n">
        <v>63040</v>
      </c>
      <c r="C70" s="504" t="n">
        <v>77970</v>
      </c>
      <c r="D70" s="504" t="n">
        <v>94007</v>
      </c>
      <c r="F70" s="501" t="n">
        <v>2032</v>
      </c>
      <c r="G70" s="502" t="n">
        <f aca="false">B70*4</f>
        <v>252160</v>
      </c>
      <c r="H70" s="502" t="n">
        <f aca="false">C70*4</f>
        <v>311880</v>
      </c>
      <c r="I70" s="502" t="n">
        <f aca="false">D70*4</f>
        <v>376028</v>
      </c>
    </row>
    <row r="71" customFormat="false" ht="16.85" hidden="false" customHeight="false" outlineLevel="0" collapsed="false">
      <c r="A71" s="501" t="n">
        <v>2033</v>
      </c>
      <c r="B71" s="503" t="n">
        <v>63040</v>
      </c>
      <c r="C71" s="503" t="n">
        <v>77970</v>
      </c>
      <c r="D71" s="503" t="n">
        <v>94007</v>
      </c>
      <c r="F71" s="501" t="n">
        <v>2033</v>
      </c>
      <c r="G71" s="502" t="n">
        <f aca="false">B71*4</f>
        <v>252160</v>
      </c>
      <c r="H71" s="502" t="n">
        <f aca="false">C71*4</f>
        <v>311880</v>
      </c>
      <c r="I71" s="502" t="n">
        <f aca="false">D71*4</f>
        <v>376028</v>
      </c>
    </row>
    <row r="72" customFormat="false" ht="16.85" hidden="false" customHeight="false" outlineLevel="0" collapsed="false">
      <c r="A72" s="501" t="n">
        <v>2034</v>
      </c>
      <c r="B72" s="504" t="n">
        <v>63040</v>
      </c>
      <c r="C72" s="504" t="n">
        <v>77970</v>
      </c>
      <c r="D72" s="504" t="n">
        <v>94007</v>
      </c>
      <c r="F72" s="501" t="n">
        <v>2034</v>
      </c>
      <c r="G72" s="502" t="n">
        <f aca="false">B72*4</f>
        <v>252160</v>
      </c>
      <c r="H72" s="502" t="n">
        <f aca="false">C72*4</f>
        <v>311880</v>
      </c>
      <c r="I72" s="502" t="n">
        <f aca="false">D72*4</f>
        <v>376028</v>
      </c>
    </row>
    <row r="73" customFormat="false" ht="16.85" hidden="false" customHeight="false" outlineLevel="0" collapsed="false">
      <c r="A73" s="501" t="n">
        <v>2035</v>
      </c>
      <c r="B73" s="503" t="n">
        <v>63040</v>
      </c>
      <c r="C73" s="503" t="n">
        <v>77970</v>
      </c>
      <c r="D73" s="503" t="n">
        <v>94007</v>
      </c>
      <c r="F73" s="501" t="n">
        <v>2035</v>
      </c>
      <c r="G73" s="502" t="n">
        <f aca="false">B73*4</f>
        <v>252160</v>
      </c>
      <c r="H73" s="502" t="n">
        <f aca="false">C73*4</f>
        <v>311880</v>
      </c>
      <c r="I73" s="502" t="n">
        <f aca="false">D73*4</f>
        <v>376028</v>
      </c>
    </row>
    <row r="74" customFormat="false" ht="16.85" hidden="false" customHeight="false" outlineLevel="0" collapsed="false">
      <c r="A74" s="505" t="n">
        <v>2036</v>
      </c>
      <c r="B74" s="506" t="n">
        <v>63040</v>
      </c>
      <c r="C74" s="506" t="n">
        <v>77970</v>
      </c>
      <c r="D74" s="507" t="n">
        <v>94007</v>
      </c>
      <c r="F74" s="505" t="n">
        <v>2036</v>
      </c>
      <c r="G74" s="502" t="n">
        <f aca="false">B74*4</f>
        <v>252160</v>
      </c>
      <c r="H74" s="502" t="n">
        <f aca="false">C74*4</f>
        <v>311880</v>
      </c>
      <c r="I74" s="502" t="n">
        <f aca="false">D74*4</f>
        <v>376028</v>
      </c>
    </row>
    <row r="75" customFormat="false" ht="16.85" hidden="false" customHeight="false" outlineLevel="0" collapsed="false">
      <c r="A75" s="501" t="n">
        <v>2037</v>
      </c>
      <c r="B75" s="504" t="n">
        <v>63040</v>
      </c>
      <c r="C75" s="504" t="n">
        <v>77970</v>
      </c>
      <c r="D75" s="504" t="n">
        <v>94007</v>
      </c>
      <c r="F75" s="501" t="n">
        <v>2037</v>
      </c>
      <c r="G75" s="502" t="n">
        <f aca="false">B75*4</f>
        <v>252160</v>
      </c>
      <c r="H75" s="502" t="n">
        <f aca="false">C75*4</f>
        <v>311880</v>
      </c>
      <c r="I75" s="502" t="n">
        <f aca="false">D75*4</f>
        <v>376028</v>
      </c>
    </row>
    <row r="76" customFormat="false" ht="16.85" hidden="false" customHeight="false" outlineLevel="0" collapsed="false">
      <c r="A76" s="501" t="n">
        <v>2038</v>
      </c>
      <c r="B76" s="503" t="n">
        <v>63040</v>
      </c>
      <c r="C76" s="503" t="n">
        <v>77970</v>
      </c>
      <c r="D76" s="503" t="n">
        <v>94007</v>
      </c>
      <c r="F76" s="501" t="n">
        <v>2038</v>
      </c>
      <c r="G76" s="502" t="n">
        <f aca="false">B76*4</f>
        <v>252160</v>
      </c>
      <c r="H76" s="502" t="n">
        <f aca="false">C76*4</f>
        <v>311880</v>
      </c>
      <c r="I76" s="502" t="n">
        <f aca="false">D76*4</f>
        <v>376028</v>
      </c>
    </row>
    <row r="77" customFormat="false" ht="16.85" hidden="false" customHeight="false" outlineLevel="0" collapsed="false">
      <c r="A77" s="501" t="n">
        <v>2039</v>
      </c>
      <c r="B77" s="504" t="n">
        <v>63040</v>
      </c>
      <c r="C77" s="504" t="n">
        <v>77970</v>
      </c>
      <c r="D77" s="504" t="n">
        <v>94007</v>
      </c>
      <c r="F77" s="501" t="n">
        <v>2039</v>
      </c>
      <c r="G77" s="502" t="n">
        <f aca="false">B77*4</f>
        <v>252160</v>
      </c>
      <c r="H77" s="502" t="n">
        <f aca="false">C77*4</f>
        <v>311880</v>
      </c>
      <c r="I77" s="502" t="n">
        <f aca="false">D77*4</f>
        <v>376028</v>
      </c>
    </row>
    <row r="78" customFormat="false" ht="16.85" hidden="false" customHeight="false" outlineLevel="0" collapsed="false">
      <c r="A78" s="501" t="n">
        <v>2040</v>
      </c>
      <c r="B78" s="503" t="n">
        <v>63040</v>
      </c>
      <c r="C78" s="503" t="n">
        <v>77970</v>
      </c>
      <c r="D78" s="503" t="n">
        <v>94007</v>
      </c>
      <c r="F78" s="501" t="n">
        <v>2040</v>
      </c>
      <c r="G78" s="502" t="n">
        <f aca="false">B78*4</f>
        <v>252160</v>
      </c>
      <c r="H78" s="502" t="n">
        <f aca="false">C78*4</f>
        <v>311880</v>
      </c>
      <c r="I78" s="502" t="n">
        <f aca="false">D78*4</f>
        <v>376028</v>
      </c>
    </row>
    <row r="79" customFormat="false" ht="16.85" hidden="false" customHeight="false" outlineLevel="0" collapsed="false">
      <c r="A79" s="501" t="n">
        <v>2041</v>
      </c>
      <c r="B79" s="504" t="n">
        <v>63040</v>
      </c>
      <c r="C79" s="504" t="n">
        <v>77970</v>
      </c>
      <c r="D79" s="504" t="n">
        <v>94007</v>
      </c>
      <c r="F79" s="501" t="n">
        <v>2041</v>
      </c>
      <c r="G79" s="502" t="n">
        <f aca="false">B79*4</f>
        <v>252160</v>
      </c>
      <c r="H79" s="502" t="n">
        <f aca="false">C79*4</f>
        <v>311880</v>
      </c>
      <c r="I79" s="502" t="n">
        <f aca="false">D79*4</f>
        <v>376028</v>
      </c>
    </row>
    <row r="80" customFormat="false" ht="16.85" hidden="false" customHeight="false" outlineLevel="0" collapsed="false">
      <c r="A80" s="501" t="n">
        <v>2042</v>
      </c>
      <c r="B80" s="503" t="n">
        <v>63040</v>
      </c>
      <c r="C80" s="503" t="n">
        <v>77970</v>
      </c>
      <c r="D80" s="503" t="n">
        <v>94007</v>
      </c>
      <c r="F80" s="501" t="n">
        <v>2042</v>
      </c>
      <c r="G80" s="502" t="n">
        <f aca="false">B80*4</f>
        <v>252160</v>
      </c>
      <c r="H80" s="502" t="n">
        <f aca="false">C80*4</f>
        <v>311880</v>
      </c>
      <c r="I80" s="502" t="n">
        <f aca="false">D80*4</f>
        <v>376028</v>
      </c>
    </row>
    <row r="81" customFormat="false" ht="16.85" hidden="false" customHeight="false" outlineLevel="0" collapsed="false">
      <c r="A81" s="501" t="n">
        <v>2043</v>
      </c>
      <c r="B81" s="504" t="n">
        <v>63040</v>
      </c>
      <c r="C81" s="504" t="n">
        <v>77970</v>
      </c>
      <c r="D81" s="504" t="n">
        <v>94007</v>
      </c>
      <c r="F81" s="501" t="n">
        <v>2043</v>
      </c>
      <c r="G81" s="502" t="n">
        <f aca="false">B81*4</f>
        <v>252160</v>
      </c>
      <c r="H81" s="502" t="n">
        <f aca="false">C81*4</f>
        <v>311880</v>
      </c>
      <c r="I81" s="502" t="n">
        <f aca="false">D81*4</f>
        <v>376028</v>
      </c>
    </row>
    <row r="82" customFormat="false" ht="16.85" hidden="false" customHeight="false" outlineLevel="0" collapsed="false">
      <c r="A82" s="501" t="n">
        <v>2044</v>
      </c>
      <c r="B82" s="503" t="n">
        <v>63040</v>
      </c>
      <c r="C82" s="503" t="n">
        <v>77970</v>
      </c>
      <c r="D82" s="503" t="n">
        <v>94007</v>
      </c>
      <c r="F82" s="501" t="n">
        <v>2044</v>
      </c>
      <c r="G82" s="502" t="n">
        <f aca="false">B82*4</f>
        <v>252160</v>
      </c>
      <c r="H82" s="502" t="n">
        <f aca="false">C82*4</f>
        <v>311880</v>
      </c>
      <c r="I82" s="502" t="n">
        <f aca="false">D82*4</f>
        <v>376028</v>
      </c>
    </row>
    <row r="83" customFormat="false" ht="16.85" hidden="false" customHeight="false" outlineLevel="0" collapsed="false">
      <c r="A83" s="501" t="n">
        <v>2045</v>
      </c>
      <c r="B83" s="504" t="n">
        <v>63040</v>
      </c>
      <c r="C83" s="504" t="n">
        <v>77970</v>
      </c>
      <c r="D83" s="504" t="n">
        <v>94007</v>
      </c>
      <c r="F83" s="501" t="n">
        <v>2045</v>
      </c>
      <c r="G83" s="502" t="n">
        <f aca="false">B83*4</f>
        <v>252160</v>
      </c>
      <c r="H83" s="502" t="n">
        <f aca="false">C83*4</f>
        <v>311880</v>
      </c>
      <c r="I83" s="502" t="n">
        <f aca="false">D83*4</f>
        <v>376028</v>
      </c>
    </row>
    <row r="84" customFormat="false" ht="16.85" hidden="false" customHeight="false" outlineLevel="0" collapsed="false">
      <c r="A84" s="501" t="n">
        <v>2046</v>
      </c>
      <c r="B84" s="503" t="n">
        <v>63040</v>
      </c>
      <c r="C84" s="503" t="n">
        <v>77970</v>
      </c>
      <c r="D84" s="503" t="n">
        <v>94007</v>
      </c>
      <c r="F84" s="501" t="n">
        <v>2046</v>
      </c>
      <c r="G84" s="502" t="n">
        <f aca="false">B84*4</f>
        <v>252160</v>
      </c>
      <c r="H84" s="502" t="n">
        <f aca="false">C84*4</f>
        <v>311880</v>
      </c>
      <c r="I84" s="502" t="n">
        <f aca="false">D84*4</f>
        <v>376028</v>
      </c>
    </row>
    <row r="85" customFormat="false" ht="16.85" hidden="false" customHeight="false" outlineLevel="0" collapsed="false">
      <c r="A85" s="501" t="n">
        <v>2047</v>
      </c>
      <c r="B85" s="504" t="n">
        <v>63040</v>
      </c>
      <c r="C85" s="504" t="n">
        <v>77970</v>
      </c>
      <c r="D85" s="504" t="n">
        <v>94007</v>
      </c>
      <c r="F85" s="501" t="n">
        <v>2047</v>
      </c>
      <c r="G85" s="502" t="n">
        <f aca="false">B85*4</f>
        <v>252160</v>
      </c>
      <c r="H85" s="502" t="n">
        <f aca="false">C85*4</f>
        <v>311880</v>
      </c>
      <c r="I85" s="502" t="n">
        <f aca="false">D85*4</f>
        <v>376028</v>
      </c>
    </row>
    <row r="86" customFormat="false" ht="16.85" hidden="false" customHeight="false" outlineLevel="0" collapsed="false">
      <c r="A86" s="501" t="n">
        <v>2048</v>
      </c>
      <c r="B86" s="503" t="n">
        <v>63040</v>
      </c>
      <c r="C86" s="503" t="n">
        <v>77970</v>
      </c>
      <c r="D86" s="503" t="n">
        <v>94007</v>
      </c>
      <c r="F86" s="501" t="n">
        <v>2048</v>
      </c>
      <c r="G86" s="502" t="n">
        <f aca="false">B86*4</f>
        <v>252160</v>
      </c>
      <c r="H86" s="502" t="n">
        <f aca="false">C86*4</f>
        <v>311880</v>
      </c>
      <c r="I86" s="502" t="n">
        <f aca="false">D86*4</f>
        <v>376028</v>
      </c>
    </row>
    <row r="87" customFormat="false" ht="16.85" hidden="false" customHeight="false" outlineLevel="0" collapsed="false">
      <c r="A87" s="501" t="n">
        <v>2049</v>
      </c>
      <c r="B87" s="504" t="n">
        <v>63040</v>
      </c>
      <c r="C87" s="504" t="n">
        <v>77970</v>
      </c>
      <c r="D87" s="504" t="n">
        <v>94007</v>
      </c>
      <c r="F87" s="501" t="n">
        <v>2049</v>
      </c>
      <c r="G87" s="502" t="n">
        <f aca="false">B87*4</f>
        <v>252160</v>
      </c>
      <c r="H87" s="502" t="n">
        <f aca="false">C87*4</f>
        <v>311880</v>
      </c>
      <c r="I87" s="502" t="n">
        <f aca="false">D87*4</f>
        <v>376028</v>
      </c>
    </row>
    <row r="88" customFormat="false" ht="16.85" hidden="false" customHeight="false" outlineLevel="0" collapsed="false">
      <c r="A88" s="501" t="n">
        <v>2050</v>
      </c>
      <c r="B88" s="503" t="n">
        <v>63040</v>
      </c>
      <c r="C88" s="503" t="n">
        <v>77970</v>
      </c>
      <c r="D88" s="503" t="n">
        <v>94007</v>
      </c>
      <c r="F88" s="501" t="n">
        <v>2050</v>
      </c>
      <c r="G88" s="502" t="n">
        <f aca="false">B88*4</f>
        <v>252160</v>
      </c>
      <c r="H88" s="502" t="n">
        <f aca="false">C88*4</f>
        <v>311880</v>
      </c>
      <c r="I88" s="502" t="n">
        <f aca="false">D88*4</f>
        <v>376028</v>
      </c>
    </row>
    <row r="89" customFormat="false" ht="16.85" hidden="false" customHeight="false" outlineLevel="0" collapsed="false">
      <c r="A89" s="501" t="n">
        <v>2051</v>
      </c>
      <c r="B89" s="504" t="n">
        <v>63040</v>
      </c>
      <c r="C89" s="504" t="n">
        <v>77970</v>
      </c>
      <c r="D89" s="504" t="n">
        <v>94007</v>
      </c>
      <c r="F89" s="501" t="n">
        <v>2051</v>
      </c>
      <c r="G89" s="502" t="n">
        <f aca="false">B89*4</f>
        <v>252160</v>
      </c>
      <c r="H89" s="502" t="n">
        <f aca="false">C89*4</f>
        <v>311880</v>
      </c>
      <c r="I89" s="502" t="n">
        <f aca="false">D89*4</f>
        <v>376028</v>
      </c>
    </row>
    <row r="90" customFormat="false" ht="16.85" hidden="false" customHeight="false" outlineLevel="0" collapsed="false">
      <c r="A90" s="501" t="n">
        <v>2052</v>
      </c>
      <c r="B90" s="503" t="n">
        <v>63040</v>
      </c>
      <c r="C90" s="503" t="n">
        <v>77970</v>
      </c>
      <c r="D90" s="503" t="n">
        <v>94007</v>
      </c>
      <c r="F90" s="501" t="n">
        <v>2052</v>
      </c>
      <c r="G90" s="502" t="n">
        <f aca="false">B90*4</f>
        <v>252160</v>
      </c>
      <c r="H90" s="502" t="n">
        <f aca="false">C90*4</f>
        <v>311880</v>
      </c>
      <c r="I90" s="502" t="n">
        <f aca="false">D90*4</f>
        <v>376028</v>
      </c>
    </row>
    <row r="91" customFormat="false" ht="16.85" hidden="false" customHeight="false" outlineLevel="0" collapsed="false">
      <c r="A91" s="501" t="n">
        <v>2053</v>
      </c>
      <c r="B91" s="504" t="n">
        <v>63040</v>
      </c>
      <c r="C91" s="504" t="n">
        <v>77970</v>
      </c>
      <c r="D91" s="504" t="n">
        <v>94007</v>
      </c>
      <c r="F91" s="501" t="n">
        <v>2053</v>
      </c>
      <c r="G91" s="502" t="n">
        <f aca="false">B91*4</f>
        <v>252160</v>
      </c>
      <c r="H91" s="502" t="n">
        <f aca="false">C91*4</f>
        <v>311880</v>
      </c>
      <c r="I91" s="502" t="n">
        <f aca="false">D91*4</f>
        <v>376028</v>
      </c>
    </row>
    <row r="92" customFormat="false" ht="16.85" hidden="false" customHeight="false" outlineLevel="0" collapsed="false">
      <c r="A92" s="508" t="s">
        <v>138</v>
      </c>
      <c r="B92" s="509" t="n">
        <v>1635152</v>
      </c>
      <c r="C92" s="509" t="n">
        <v>2022424</v>
      </c>
      <c r="D92" s="509" t="n">
        <v>2438384</v>
      </c>
      <c r="F92" s="508" t="s">
        <v>138</v>
      </c>
      <c r="G92" s="509" t="n">
        <f aca="false">SUM(G62:G91)</f>
        <v>6540628</v>
      </c>
      <c r="H92" s="509" t="n">
        <f aca="false">SUM(H62:H91)</f>
        <v>8089676</v>
      </c>
      <c r="I92" s="509" t="n">
        <f aca="false">SUM(I62:I91)</f>
        <v>9753568</v>
      </c>
    </row>
  </sheetData>
  <mergeCells count="5">
    <mergeCell ref="B2:E2"/>
    <mergeCell ref="B3:B4"/>
    <mergeCell ref="C3:E3"/>
    <mergeCell ref="A61:D61"/>
    <mergeCell ref="F61:I6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33"/>
    <col collapsed="false" customWidth="true" hidden="false" outlineLevel="0" max="3" min="3" style="0" width="5.51"/>
    <col collapsed="false" customWidth="true" hidden="false" outlineLevel="0" max="4" min="4" style="0" width="8"/>
    <col collapsed="false" customWidth="true" hidden="false" outlineLevel="0" max="5" min="5" style="0" width="16.83"/>
    <col collapsed="false" customWidth="true" hidden="false" outlineLevel="0" max="6" min="6" style="0" width="6.16"/>
    <col collapsed="false" customWidth="true" hidden="false" outlineLevel="0" max="7" min="7" style="0" width="5.51"/>
    <col collapsed="false" customWidth="true" hidden="false" outlineLevel="0" max="8" min="8" style="0" width="11.83"/>
    <col collapsed="false" customWidth="true" hidden="false" outlineLevel="0" max="9" min="9" style="0" width="15"/>
    <col collapsed="false" customWidth="true" hidden="false" outlineLevel="0" max="10" min="10" style="0" width="11.67"/>
    <col collapsed="false" customWidth="true" hidden="false" outlineLevel="0" max="11" min="11" style="0" width="6.16"/>
    <col collapsed="false" customWidth="true" hidden="false" outlineLevel="0" max="12" min="12" style="0" width="13.67"/>
    <col collapsed="false" customWidth="true" hidden="false" outlineLevel="0" max="13" min="13" style="0" width="11.67"/>
  </cols>
  <sheetData>
    <row r="1" customFormat="false" ht="15" hidden="false" customHeight="false" outlineLevel="0" collapsed="false">
      <c r="A1" s="4"/>
    </row>
    <row r="2" s="1" customFormat="true" ht="15" hidden="false" customHeight="false" outlineLevel="0" collapsed="false">
      <c r="B2" s="8" t="s">
        <v>845</v>
      </c>
      <c r="E2" s="241"/>
      <c r="H2" s="8" t="s">
        <v>846</v>
      </c>
    </row>
    <row r="3" s="1" customFormat="true" ht="17.35" hidden="false" customHeight="false" outlineLevel="0" collapsed="false">
      <c r="C3" s="510"/>
      <c r="D3" s="511" t="s">
        <v>93</v>
      </c>
      <c r="E3" s="511" t="s">
        <v>847</v>
      </c>
      <c r="H3" s="237" t="s">
        <v>848</v>
      </c>
      <c r="I3" s="512" t="s">
        <v>849</v>
      </c>
      <c r="J3" s="513" t="s">
        <v>850</v>
      </c>
      <c r="L3" s="513" t="s">
        <v>851</v>
      </c>
      <c r="M3" s="513" t="s">
        <v>850</v>
      </c>
    </row>
    <row r="4" s="1" customFormat="true" ht="15" hidden="false" customHeight="false" outlineLevel="0" collapsed="false">
      <c r="C4" s="1" t="n">
        <v>2010</v>
      </c>
      <c r="D4" s="108" t="n">
        <v>0.012</v>
      </c>
      <c r="E4" s="91" t="n">
        <v>0.018</v>
      </c>
      <c r="H4" s="514" t="n">
        <v>40543</v>
      </c>
      <c r="I4" s="131" t="n">
        <f aca="false">666.4952</f>
        <v>666.4952</v>
      </c>
      <c r="J4" s="96"/>
      <c r="L4" s="137" t="n">
        <v>1.3384</v>
      </c>
    </row>
    <row r="5" s="1" customFormat="true" ht="15" hidden="false" customHeight="false" outlineLevel="0" collapsed="false">
      <c r="C5" s="1" t="n">
        <v>2011</v>
      </c>
      <c r="D5" s="108" t="n">
        <v>0.034</v>
      </c>
      <c r="E5" s="91" t="n">
        <v>0.029</v>
      </c>
      <c r="H5" s="514" t="n">
        <v>40907</v>
      </c>
      <c r="I5" s="131" t="n">
        <f aca="false">654.2839</f>
        <v>654.2839</v>
      </c>
      <c r="J5" s="515" t="n">
        <f aca="false">I5/I4-1</f>
        <v>-0.0183216623315516</v>
      </c>
      <c r="L5" s="137" t="n">
        <v>1.2963</v>
      </c>
      <c r="M5" s="515" t="n">
        <f aca="false">L5/L4-1</f>
        <v>-0.0314554692169755</v>
      </c>
    </row>
    <row r="6" s="1" customFormat="true" ht="15" hidden="false" customHeight="false" outlineLevel="0" collapsed="false">
      <c r="C6" s="1" t="n">
        <v>2012</v>
      </c>
      <c r="D6" s="108" t="n">
        <v>0.014</v>
      </c>
      <c r="E6" s="91" t="n">
        <v>0.026</v>
      </c>
      <c r="H6" s="514" t="n">
        <v>41274</v>
      </c>
      <c r="I6" s="131" t="n">
        <f aca="false">654.6315</f>
        <v>654.6315</v>
      </c>
      <c r="J6" s="515" t="n">
        <f aca="false">I6/I5-1</f>
        <v>0.000531267848712158</v>
      </c>
      <c r="L6" s="137" t="n">
        <v>1.3194</v>
      </c>
      <c r="M6" s="515" t="n">
        <f aca="false">L6/L5-1</f>
        <v>0.0178199490858597</v>
      </c>
    </row>
    <row r="7" s="1" customFormat="true" ht="15" hidden="false" customHeight="false" outlineLevel="0" collapsed="false">
      <c r="C7" s="1" t="n">
        <v>2013</v>
      </c>
      <c r="D7" s="108" t="n">
        <v>0.007</v>
      </c>
      <c r="E7" s="91" t="n">
        <v>0.014</v>
      </c>
      <c r="F7" s="148"/>
      <c r="H7" s="514" t="n">
        <v>41639</v>
      </c>
      <c r="I7" s="131" t="n">
        <f aca="false">657.6909</f>
        <v>657.6909</v>
      </c>
      <c r="J7" s="515" t="n">
        <f aca="false">I7/I6-1</f>
        <v>0.00467346896689214</v>
      </c>
      <c r="K7" s="148"/>
      <c r="L7" s="137" t="n">
        <v>1.374</v>
      </c>
      <c r="M7" s="515" t="n">
        <f aca="false">L7/L6-1</f>
        <v>0.0413824465666213</v>
      </c>
    </row>
    <row r="8" s="1" customFormat="true" ht="15" hidden="false" customHeight="false" outlineLevel="0" collapsed="false">
      <c r="C8" s="1" t="n">
        <v>2014</v>
      </c>
      <c r="D8" s="516" t="n">
        <v>0.011</v>
      </c>
      <c r="E8" s="91" t="n">
        <v>0.004</v>
      </c>
      <c r="H8" s="514" t="n">
        <v>42004</v>
      </c>
      <c r="I8" s="131" t="n">
        <f aca="false">655.0089</f>
        <v>655.0089</v>
      </c>
      <c r="J8" s="515" t="n">
        <f aca="false">I8/I7-1</f>
        <v>-0.00407790346498638</v>
      </c>
      <c r="L8" s="137" t="n">
        <v>1.2099</v>
      </c>
      <c r="M8" s="515" t="n">
        <f aca="false">L8/L7-1</f>
        <v>-0.11943231441048</v>
      </c>
    </row>
    <row r="9" s="1" customFormat="true" ht="15" hidden="false" customHeight="false" outlineLevel="0" collapsed="false">
      <c r="C9" s="1" t="n">
        <v>2015</v>
      </c>
      <c r="D9" s="516" t="n">
        <v>0.009</v>
      </c>
      <c r="E9" s="91" t="n">
        <v>0.001</v>
      </c>
      <c r="H9" s="514" t="n">
        <v>42369</v>
      </c>
      <c r="I9" s="131" t="n">
        <v>658.8895</v>
      </c>
      <c r="J9" s="515" t="n">
        <f aca="false">I9/I8-1</f>
        <v>0.00592449965183683</v>
      </c>
      <c r="L9" s="137" t="n">
        <v>1.086</v>
      </c>
      <c r="M9" s="515" t="n">
        <f aca="false">L9/L8-1</f>
        <v>-0.102405157451029</v>
      </c>
    </row>
    <row r="10" s="1" customFormat="true" ht="15" hidden="false" customHeight="false" outlineLevel="0" collapsed="false">
      <c r="C10" s="1" t="n">
        <v>2016</v>
      </c>
      <c r="D10" s="516" t="n">
        <v>0.012</v>
      </c>
      <c r="E10" s="91" t="n">
        <v>0.001</v>
      </c>
      <c r="H10" s="514" t="n">
        <v>42734</v>
      </c>
      <c r="I10" s="131" t="n">
        <v>656.9529</v>
      </c>
      <c r="J10" s="515" t="n">
        <f aca="false">I10/I9-1</f>
        <v>-0.0029391878304329</v>
      </c>
      <c r="L10" s="137" t="n">
        <v>1.0519</v>
      </c>
      <c r="M10" s="515" t="n">
        <f aca="false">L10/L9-1</f>
        <v>-0.0313996316758748</v>
      </c>
    </row>
    <row r="11" s="1" customFormat="true" ht="15" hidden="false" customHeight="false" outlineLevel="0" collapsed="false">
      <c r="C11" s="1" t="n">
        <v>2017</v>
      </c>
      <c r="D11" s="108" t="n">
        <v>0.011</v>
      </c>
      <c r="E11" s="91" t="n">
        <v>0.016</v>
      </c>
      <c r="H11" s="514" t="n">
        <v>43098</v>
      </c>
      <c r="I11" s="131" t="n">
        <f aca="false">655.9685</f>
        <v>655.9685</v>
      </c>
      <c r="J11" s="515" t="n">
        <f aca="false">I11/I10-1</f>
        <v>-0.00149843314490283</v>
      </c>
      <c r="L11" s="137" t="n">
        <v>1.2003</v>
      </c>
      <c r="M11" s="515" t="n">
        <f aca="false">L11/L10-1</f>
        <v>0.141078049244225</v>
      </c>
    </row>
    <row r="12" s="1" customFormat="true" ht="15" hidden="false" customHeight="false" outlineLevel="0" collapsed="false">
      <c r="C12" s="1" t="n">
        <v>2018</v>
      </c>
      <c r="D12" s="108" t="n">
        <v>0.005</v>
      </c>
      <c r="E12" s="91" t="n">
        <v>0.019</v>
      </c>
      <c r="H12" s="514" t="n">
        <v>43465</v>
      </c>
      <c r="I12" s="131" t="n">
        <f aca="false">655.9493</f>
        <v>655.9493</v>
      </c>
      <c r="J12" s="515" t="n">
        <f aca="false">I12/I11-1</f>
        <v>-2.92696981637475E-005</v>
      </c>
      <c r="L12" s="137" t="n">
        <v>1.1469</v>
      </c>
      <c r="M12" s="515" t="n">
        <f aca="false">L12/L11-1</f>
        <v>-0.0444888777805548</v>
      </c>
    </row>
    <row r="13" s="1" customFormat="true" ht="15" hidden="false" customHeight="false" outlineLevel="0" collapsed="false">
      <c r="C13" s="1" t="n">
        <v>2019</v>
      </c>
      <c r="D13" s="108" t="n">
        <v>0.01</v>
      </c>
      <c r="E13" s="108" t="n">
        <v>0.014</v>
      </c>
      <c r="H13" s="514" t="n">
        <v>43830</v>
      </c>
      <c r="I13" s="131" t="n">
        <f aca="false">655.9696</f>
        <v>655.9696</v>
      </c>
      <c r="J13" s="515" t="n">
        <f aca="false">I13/I12-1</f>
        <v>3.09475137789672E-005</v>
      </c>
      <c r="L13" s="137" t="n">
        <v>1.1215</v>
      </c>
      <c r="M13" s="515" t="n">
        <f aca="false">L13/L12-1</f>
        <v>-0.0221466562036796</v>
      </c>
    </row>
    <row r="14" s="1" customFormat="true" ht="15" hidden="false" customHeight="false" outlineLevel="0" collapsed="false">
      <c r="C14" s="1" t="n">
        <v>2020</v>
      </c>
      <c r="D14" s="108" t="n">
        <v>0.025</v>
      </c>
      <c r="E14" s="91" t="n">
        <v>0.007</v>
      </c>
      <c r="H14" s="514" t="n">
        <v>44196</v>
      </c>
      <c r="I14" s="131" t="n">
        <f aca="false">655.9767</f>
        <v>655.9767</v>
      </c>
      <c r="J14" s="515" t="n">
        <f aca="false">I14/I13-1</f>
        <v>1.08236723166399E-005</v>
      </c>
      <c r="L14" s="137" t="n">
        <v>1.2215</v>
      </c>
      <c r="M14" s="515" t="n">
        <f aca="false">L14/L13-1</f>
        <v>0.0891662951404371</v>
      </c>
    </row>
    <row r="15" s="1" customFormat="true" ht="15" hidden="false" customHeight="false" outlineLevel="0" collapsed="false">
      <c r="C15" s="1" t="n">
        <v>2021</v>
      </c>
      <c r="D15" s="108" t="n">
        <v>0.022</v>
      </c>
      <c r="E15" s="91" t="n">
        <v>0.029</v>
      </c>
      <c r="H15" s="514" t="n">
        <v>44561</v>
      </c>
      <c r="I15" s="131" t="n">
        <f aca="false">658.9544</f>
        <v>658.9544</v>
      </c>
      <c r="J15" s="515" t="n">
        <f aca="false">I15/I14-1</f>
        <v>0.00453933805880591</v>
      </c>
      <c r="L15" s="137" t="n">
        <v>1.1373</v>
      </c>
      <c r="M15" s="515" t="n">
        <f aca="false">L15/L14-1</f>
        <v>-0.0689316414244782</v>
      </c>
    </row>
    <row r="16" s="1" customFormat="true" ht="15" hidden="false" customHeight="false" outlineLevel="0" collapsed="false">
      <c r="C16" s="1" t="n">
        <v>2022</v>
      </c>
      <c r="D16" s="108" t="n">
        <v>0.097</v>
      </c>
      <c r="E16" s="91" t="n">
        <v>0.093</v>
      </c>
      <c r="F16" s="148"/>
      <c r="H16" s="514" t="n">
        <v>44925</v>
      </c>
      <c r="I16" s="131" t="n">
        <f aca="false">655.9342</f>
        <v>655.9342</v>
      </c>
      <c r="J16" s="515" t="n">
        <f aca="false">I16/I15-1</f>
        <v>-0.00458332169873965</v>
      </c>
      <c r="K16" s="148"/>
      <c r="L16" s="137" t="n">
        <v>1.0702</v>
      </c>
      <c r="M16" s="515" t="n">
        <f aca="false">L16/L15-1</f>
        <v>-0.058999384507166</v>
      </c>
    </row>
    <row r="17" s="1" customFormat="true" ht="15" hidden="false" customHeight="false" outlineLevel="0" collapsed="false">
      <c r="B17" s="1" t="s">
        <v>852</v>
      </c>
      <c r="C17" s="1" t="n">
        <v>2023</v>
      </c>
      <c r="D17" s="108" t="n">
        <v>0.05</v>
      </c>
      <c r="E17" s="91" t="n">
        <v>0.063</v>
      </c>
      <c r="H17" s="517" t="n">
        <v>45042</v>
      </c>
      <c r="I17" s="131" t="n">
        <f aca="false">655.8671</f>
        <v>655.8671</v>
      </c>
      <c r="J17" s="515" t="n">
        <f aca="false">I17/I16-1</f>
        <v>-0.000102296846238525</v>
      </c>
      <c r="L17" s="137" t="n">
        <f aca="false">1.1095</f>
        <v>1.1095</v>
      </c>
      <c r="M17" s="515" t="n">
        <f aca="false">L17/L16-1</f>
        <v>0.0367221080171929</v>
      </c>
    </row>
    <row r="18" s="1" customFormat="true" ht="15" hidden="false" customHeight="false" outlineLevel="0" collapsed="false">
      <c r="B18" s="1" t="s">
        <v>852</v>
      </c>
      <c r="C18" s="1" t="n">
        <v>2024</v>
      </c>
      <c r="D18" s="108" t="n">
        <v>0.02</v>
      </c>
      <c r="E18" s="91" t="n">
        <v>0.033</v>
      </c>
    </row>
    <row r="19" s="1" customFormat="true" ht="15" hidden="false" customHeight="false" outlineLevel="0" collapsed="false">
      <c r="B19" s="1" t="s">
        <v>852</v>
      </c>
      <c r="C19" s="1" t="n">
        <v>2025</v>
      </c>
      <c r="D19" s="108" t="n">
        <v>0.02</v>
      </c>
      <c r="E19" s="91" t="n">
        <v>0.024</v>
      </c>
      <c r="H19" s="1" t="s">
        <v>853</v>
      </c>
      <c r="I19" s="515" t="n">
        <f aca="false">(I16/I11)^(1/5)-1</f>
        <v>-1.04580379786112E-005</v>
      </c>
      <c r="L19" s="515" t="n">
        <f aca="false">(L16/L11)^(1/5)-1</f>
        <v>-0.022683956602867</v>
      </c>
    </row>
    <row r="20" s="1" customFormat="true" ht="15" hidden="false" customHeight="false" outlineLevel="0" collapsed="false">
      <c r="B20" s="1" t="s">
        <v>852</v>
      </c>
      <c r="C20" s="1" t="n">
        <v>2026</v>
      </c>
      <c r="D20" s="108" t="n">
        <v>0.02</v>
      </c>
      <c r="E20" s="91" t="n">
        <v>0.021</v>
      </c>
      <c r="H20" s="1" t="s">
        <v>854</v>
      </c>
      <c r="I20" s="515" t="n">
        <f aca="false">(I16/I6)^(1/10)-1</f>
        <v>0.000198819475567547</v>
      </c>
      <c r="L20" s="515" t="n">
        <f aca="false">(L16/L6)^(1/10)-1</f>
        <v>-0.0207155764610893</v>
      </c>
    </row>
    <row r="21" s="1" customFormat="true" ht="15" hidden="false" customHeight="false" outlineLevel="0" collapsed="false">
      <c r="B21" s="1" t="s">
        <v>852</v>
      </c>
      <c r="C21" s="1" t="n">
        <v>2027</v>
      </c>
      <c r="D21" s="108" t="n">
        <v>0.02</v>
      </c>
      <c r="E21" s="91" t="n">
        <v>0.02</v>
      </c>
      <c r="I21" s="444"/>
    </row>
    <row r="22" s="1" customFormat="true" ht="15" hidden="false" customHeight="false" outlineLevel="0" collapsed="false">
      <c r="B22" s="1" t="s">
        <v>852</v>
      </c>
      <c r="C22" s="1" t="n">
        <v>2028</v>
      </c>
      <c r="D22" s="94" t="n">
        <v>-0.103</v>
      </c>
      <c r="E22" s="91" t="n">
        <v>0.02</v>
      </c>
      <c r="I22" s="444"/>
    </row>
    <row r="23" s="1" customFormat="true" ht="15" hidden="false" customHeight="false" outlineLevel="0" collapsed="false">
      <c r="D23" s="94"/>
      <c r="E23" s="518"/>
      <c r="I23" s="444"/>
    </row>
    <row r="24" s="1" customFormat="true" ht="15" hidden="false" customHeight="false" outlineLevel="0" collapsed="false">
      <c r="B24" s="1" t="s">
        <v>855</v>
      </c>
      <c r="I24" s="444"/>
    </row>
    <row r="25" s="1" customFormat="true" ht="15" hidden="false" customHeight="false" outlineLevel="0" collapsed="false">
      <c r="B25" s="1" t="s">
        <v>856</v>
      </c>
    </row>
    <row r="26" s="1" customFormat="true" ht="15" hidden="false" customHeight="false" outlineLevel="0" collapsed="false">
      <c r="B26" s="1" t="s">
        <v>857</v>
      </c>
    </row>
    <row r="27" s="1" customFormat="true" ht="15" hidden="false" customHeight="false" outlineLevel="0" collapsed="false"/>
    <row r="28" s="1" customFormat="true" ht="15" hidden="false" customHeight="false" outlineLevel="0" collapsed="false">
      <c r="B28" s="1" t="s">
        <v>858</v>
      </c>
      <c r="D28" s="148" t="n">
        <f aca="false">AVERAGE(D12:D16)</f>
        <v>0.0318</v>
      </c>
      <c r="E28" s="148" t="n">
        <f aca="false">AVERAGE(E12:E16)</f>
        <v>0.0324</v>
      </c>
    </row>
    <row r="29" s="1" customFormat="true" ht="15" hidden="false" customHeight="false" outlineLevel="0" collapsed="false">
      <c r="B29" s="1" t="s">
        <v>859</v>
      </c>
      <c r="D29" s="148" t="n">
        <f aca="false">AVERAGE(D7:D16)</f>
        <v>0.0209</v>
      </c>
      <c r="E29" s="148" t="n">
        <f aca="false">AVERAGE(E7:E16)</f>
        <v>0.0198</v>
      </c>
    </row>
    <row r="30" s="1" customFormat="true" ht="15" hidden="false" customHeight="false" outlineLevel="0" collapsed="false">
      <c r="B30" s="1" t="s">
        <v>860</v>
      </c>
      <c r="D30" s="148" t="n">
        <f aca="false">AVERAGE(D17:D21)</f>
        <v>0.026</v>
      </c>
      <c r="E30" s="148" t="n">
        <f aca="false">AVERAGE(E17:E21)</f>
        <v>0.0322</v>
      </c>
    </row>
    <row r="31" s="1" customFormat="true" ht="15" hidden="false" customHeight="false" outlineLevel="0" collapsed="false"/>
    <row r="32" s="1" customFormat="true" ht="15" hidden="false" customHeight="false" outlineLevel="0" collapsed="false"/>
    <row r="33" s="1" customFormat="true" ht="15" hidden="false" customHeight="false" outlineLevel="0" collapsed="false"/>
    <row r="34" s="1" customFormat="true" ht="15" hidden="false" customHeight="false" outlineLevel="0" collapsed="false"/>
    <row r="35" s="1" customFormat="true" ht="15" hidden="false" customHeight="false" outlineLevel="0" collapsed="false"/>
    <row r="36" s="1" customFormat="true" ht="15" hidden="false" customHeight="false" outlineLevel="0" collapsed="false"/>
    <row r="37" s="1" customFormat="true" ht="15" hidden="false" customHeight="false" outlineLevel="0" collapsed="false"/>
    <row r="38" s="1" customFormat="true" ht="15" hidden="false" customHeight="false" outlineLevel="0" collapsed="false"/>
    <row r="39" s="1" customFormat="true" ht="15" hidden="false" customHeight="false" outlineLevel="0" collapsed="false"/>
    <row r="40" s="1" customFormat="true" ht="15" hidden="false" customHeight="false" outlineLevel="0" collapsed="false"/>
    <row r="41" s="1" customFormat="true" ht="15" hidden="false" customHeight="false" outlineLevel="0" collapsed="false"/>
    <row r="42" s="1" customFormat="true" ht="15" hidden="false" customHeight="false" outlineLevel="0" collapsed="false"/>
    <row r="43" s="1" customFormat="true" ht="15" hidden="false" customHeight="false" outlineLevel="0" collapsed="false"/>
    <row r="44" s="1" customFormat="true" ht="15" hidden="false" customHeight="false" outlineLevel="0" collapsed="false"/>
    <row r="45" s="1" customFormat="true" ht="15" hidden="false" customHeight="false" outlineLevel="0" collapsed="false"/>
    <row r="46" s="1" customFormat="true" ht="15" hidden="false" customHeight="false" outlineLevel="0" collapsed="false"/>
    <row r="47" s="1" customFormat="true" ht="15" hidden="false" customHeight="false" outlineLevel="0" collapsed="false"/>
    <row r="48" s="1" customFormat="true" ht="15" hidden="false" customHeight="false" outlineLevel="0" collapsed="false"/>
    <row r="49" s="1" customFormat="true" ht="15" hidden="false" customHeight="false" outlineLevel="0" collapsed="false"/>
    <row r="50" s="1" customFormat="true" ht="15" hidden="false" customHeight="false" outlineLevel="0" collapsed="false"/>
    <row r="51" s="1" customFormat="true" ht="15" hidden="false" customHeight="false" outlineLevel="0" collapsed="false"/>
    <row r="52" s="1" customFormat="true" ht="15" hidden="false" customHeight="false" outlineLevel="0" collapsed="false"/>
    <row r="53" s="1" customFormat="true" ht="15" hidden="false" customHeight="false" outlineLevel="0" collapsed="false"/>
    <row r="54" s="1" customFormat="true" ht="15" hidden="false" customHeight="false" outlineLevel="0" collapsed="false"/>
    <row r="55" s="1" customFormat="true" ht="15" hidden="false" customHeight="false" outlineLevel="0" collapsed="false"/>
    <row r="56" s="1" customFormat="true" ht="15" hidden="false" customHeight="false" outlineLevel="0" collapsed="false"/>
    <row r="57" s="1" customFormat="true" ht="15" hidden="false" customHeight="false" outlineLevel="0" collapsed="false"/>
    <row r="58" s="1" customFormat="true" ht="15" hidden="false" customHeight="false" outlineLevel="0" collapsed="false"/>
    <row r="59" s="1" customFormat="true" ht="15" hidden="false" customHeight="false" outlineLevel="0" collapsed="false"/>
    <row r="60" s="1" customFormat="true" ht="15" hidden="false" customHeight="false" outlineLevel="0" collapsed="false"/>
    <row r="61" s="1" customFormat="true" ht="15" hidden="false" customHeight="false" outlineLevel="0" collapsed="false"/>
    <row r="62" s="1" customFormat="true" ht="15" hidden="false" customHeight="false" outlineLevel="0" collapsed="false"/>
    <row r="63" s="1" customFormat="true" ht="15" hidden="false" customHeight="false" outlineLevel="0" collapsed="false"/>
    <row r="64" s="1" customFormat="true" ht="15" hidden="false" customHeight="false" outlineLevel="0" collapsed="false"/>
    <row r="65" s="1" customFormat="true" ht="15" hidden="false" customHeight="false" outlineLevel="0" collapsed="false"/>
    <row r="66" s="1" customFormat="true" ht="15" hidden="false" customHeight="false" outlineLevel="0" collapsed="false"/>
    <row r="67" s="1" customFormat="true" ht="15" hidden="false" customHeight="false" outlineLevel="0" collapsed="false"/>
    <row r="68" s="1" customFormat="true" ht="15" hidden="false" customHeight="false" outlineLevel="0" collapsed="false"/>
    <row r="69" s="1" customFormat="true" ht="15" hidden="false" customHeight="false" outlineLevel="0" collapsed="false"/>
    <row r="70" s="1" customFormat="true" ht="15" hidden="false" customHeight="false" outlineLevel="0" collapsed="false"/>
    <row r="71" s="1" customFormat="true" ht="15" hidden="false" customHeight="false" outlineLevel="0" collapsed="false"/>
    <row r="72" s="1" customFormat="true" ht="15" hidden="false" customHeight="false" outlineLevel="0" collapsed="false"/>
    <row r="73" s="1" customFormat="true" ht="15" hidden="false" customHeight="false" outlineLevel="0" collapsed="false"/>
    <row r="74" s="1" customFormat="true" ht="15" hidden="false" customHeight="false" outlineLevel="0" collapsed="false"/>
    <row r="75" s="1" customFormat="true" ht="15" hidden="false" customHeight="false" outlineLevel="0" collapsed="false"/>
    <row r="76" s="1" customFormat="true" ht="15" hidden="false" customHeight="false" outlineLevel="0" collapsed="false"/>
    <row r="77" s="1" customFormat="tru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1640625" defaultRowHeight="15" zeroHeight="false" outlineLevelRow="0" outlineLevelCol="0"/>
  <cols>
    <col collapsed="false" customWidth="true" hidden="false" outlineLevel="0" max="1" min="1" style="0" width="6"/>
    <col collapsed="false" customWidth="true" hidden="false" outlineLevel="0" max="2" min="2" style="0" width="30.83"/>
    <col collapsed="false" customWidth="true" hidden="false" outlineLevel="0" max="3" min="3" style="0" width="90.16"/>
  </cols>
  <sheetData>
    <row r="2" customFormat="false" ht="15" hidden="false" customHeight="false" outlineLevel="0" collapsed="false">
      <c r="B2" s="13" t="s">
        <v>861</v>
      </c>
    </row>
    <row r="4" customFormat="false" ht="15" hidden="false" customHeight="false" outlineLevel="0" collapsed="false">
      <c r="B4" s="519" t="s">
        <v>862</v>
      </c>
      <c r="C4" s="519" t="s">
        <v>863</v>
      </c>
    </row>
    <row r="5" s="464" customFormat="true" ht="24.05" hidden="false" customHeight="false" outlineLevel="0" collapsed="false">
      <c r="B5" s="520" t="s">
        <v>864</v>
      </c>
      <c r="C5" s="521" t="s">
        <v>865</v>
      </c>
    </row>
    <row r="6" s="464" customFormat="true" ht="15" hidden="false" customHeight="false" outlineLevel="0" collapsed="false">
      <c r="B6" s="522" t="s">
        <v>866</v>
      </c>
      <c r="C6" s="523" t="s">
        <v>867</v>
      </c>
    </row>
    <row r="7" s="464" customFormat="true" ht="24.05" hidden="false" customHeight="false" outlineLevel="0" collapsed="false">
      <c r="B7" s="520" t="s">
        <v>868</v>
      </c>
      <c r="C7" s="521" t="s">
        <v>869</v>
      </c>
    </row>
    <row r="8" s="464" customFormat="true" ht="24.05" hidden="false" customHeight="false" outlineLevel="0" collapsed="false">
      <c r="B8" s="522" t="s">
        <v>870</v>
      </c>
      <c r="C8" s="523" t="s">
        <v>871</v>
      </c>
    </row>
    <row r="9" s="464" customFormat="true" ht="35.5" hidden="false" customHeight="false" outlineLevel="0" collapsed="false">
      <c r="B9" s="520" t="s">
        <v>872</v>
      </c>
      <c r="C9" s="521" t="s">
        <v>873</v>
      </c>
    </row>
    <row r="10" s="464" customFormat="true" ht="24.05" hidden="false" customHeight="false" outlineLevel="0" collapsed="false">
      <c r="B10" s="522" t="s">
        <v>874</v>
      </c>
      <c r="C10" s="523" t="s">
        <v>875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2757b1-dda5-4ded-8652-e53f96c4a9e4" xsi:nil="true"/>
    <lcf76f155ced4ddcb4097134ff3c332f xmlns="4400140c-ad1f-41ec-86fd-361b9e84b6c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B4E3BBA04BEA4785F90F110811AE3D" ma:contentTypeVersion="16" ma:contentTypeDescription="Create a new document." ma:contentTypeScope="" ma:versionID="33da0ade87c55975a93c58a5fb096a2f">
  <xsd:schema xmlns:xsd="http://www.w3.org/2001/XMLSchema" xmlns:xs="http://www.w3.org/2001/XMLSchema" xmlns:p="http://schemas.microsoft.com/office/2006/metadata/properties" xmlns:ns2="4400140c-ad1f-41ec-86fd-361b9e84b6cf" xmlns:ns3="9b2757b1-dda5-4ded-8652-e53f96c4a9e4" targetNamespace="http://schemas.microsoft.com/office/2006/metadata/properties" ma:root="true" ma:fieldsID="5ceb0ca26b3c66f08432794d3d2960a4" ns2:_="" ns3:_="">
    <xsd:import namespace="4400140c-ad1f-41ec-86fd-361b9e84b6cf"/>
    <xsd:import namespace="9b2757b1-dda5-4ded-8652-e53f96c4a9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0140c-ad1f-41ec-86fd-361b9e84b6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30052e1-5996-4df1-ac30-b7bc202f0d4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2757b1-dda5-4ded-8652-e53f96c4a9e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f6ab0af-aa86-4389-8783-39aa1050b838}" ma:internalName="TaxCatchAll" ma:showField="CatchAllData" ma:web="9b2757b1-dda5-4ded-8652-e53f96c4a9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97E295-4FEB-4A04-894D-EA5BE8748116}">
  <ds:schemaRefs>
    <ds:schemaRef ds:uri="http://schemas.microsoft.com/office/2006/metadata/properties"/>
    <ds:schemaRef ds:uri="http://schemas.microsoft.com/office/infopath/2007/PartnerControls"/>
    <ds:schemaRef ds:uri="9b2757b1-dda5-4ded-8652-e53f96c4a9e4"/>
    <ds:schemaRef ds:uri="4400140c-ad1f-41ec-86fd-361b9e84b6cf"/>
  </ds:schemaRefs>
</ds:datastoreItem>
</file>

<file path=customXml/itemProps2.xml><?xml version="1.0" encoding="utf-8"?>
<ds:datastoreItem xmlns:ds="http://schemas.openxmlformats.org/officeDocument/2006/customXml" ds:itemID="{4E48AC25-F44A-484D-932C-CD875B761C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00140c-ad1f-41ec-86fd-361b9e84b6cf"/>
    <ds:schemaRef ds:uri="9b2757b1-dda5-4ded-8652-e53f96c4a9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77EDE8-259D-46ED-AE83-BED5D84486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2022-01-11T12:43:26Z</dcterms:created>
  <dc:creator>Inès Bou-abdallah</dc:creator>
  <dc:description/>
  <dc:language>en-US</dc:language>
  <cp:lastModifiedBy>William kwende</cp:lastModifiedBy>
  <dcterms:modified xsi:type="dcterms:W3CDTF">2023-10-16T07:55:06Z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0x010100FCB4E3BBA04BEA4785F90F110811AE3D</vt:lpwstr>
  </property>
  <property fmtid="{D5CDD505-2E9C-101B-9397-08002B2CF9AE}" pid="3" name="MediaServiceImageTags">
    <vt:lpwstr/>
  </property>
</Properties>
</file>