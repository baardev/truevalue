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ropbox/"/>
    </mc:Choice>
  </mc:AlternateContent>
  <xr:revisionPtr revIDLastSave="0" documentId="13_ncr:1_{014B46A1-FF79-0C4D-9863-821939F71836}" xr6:coauthVersionLast="47" xr6:coauthVersionMax="47" xr10:uidLastSave="{00000000-0000-0000-0000-000000000000}"/>
  <bookViews>
    <workbookView xWindow="0" yWindow="500" windowWidth="35840" windowHeight="21900" activeTab="4" xr2:uid="{00000000-000D-0000-FFFF-FFFF00000000}"/>
  </bookViews>
  <sheets>
    <sheet name="Start" sheetId="11" r:id="rId1"/>
    <sheet name="HistoricalData" sheetId="12" state="hidden" r:id="rId2"/>
    <sheet name="Assumptions" sheetId="1" r:id="rId3"/>
    <sheet name="Mortgage-StyleDetail" sheetId="9" state="hidden" r:id="rId4"/>
    <sheet name="Income" sheetId="3" r:id="rId5"/>
    <sheet name="CashFlow" sheetId="4" r:id="rId6"/>
    <sheet name="Balance" sheetId="2" r:id="rId7"/>
    <sheet name="SourcesUses" sheetId="8" r:id="rId8"/>
    <sheet name="Ratios" sheetId="6" r:id="rId9"/>
    <sheet name="Application Q2" sheetId="14" r:id="rId10"/>
    <sheet name="Application Q3" sheetId="15" r:id="rId11"/>
    <sheet name="Application Q4" sheetId="26" r:id="rId12"/>
    <sheet name="Application Q5" sheetId="17" r:id="rId13"/>
    <sheet name="Application Q6" sheetId="18" r:id="rId14"/>
    <sheet name="Application Q7" sheetId="19" r:id="rId15"/>
    <sheet name="Application Q8" sheetId="20" r:id="rId16"/>
    <sheet name="Application Q9" sheetId="21" r:id="rId17"/>
    <sheet name="Application Q10" sheetId="22" r:id="rId18"/>
    <sheet name="Application Q11" sheetId="23" r:id="rId19"/>
    <sheet name="Application Q12" sheetId="24" r:id="rId20"/>
    <sheet name="Module1" sheetId="7" state="veryHidden" r:id=""/>
  </sheets>
  <definedNames>
    <definedName name="_xlnm.Print_Area" localSheetId="2">Assumptions!$A$1:$P$182</definedName>
    <definedName name="_xlnm.Print_Area" localSheetId="6">Balance!$A$1:$Q$55</definedName>
    <definedName name="_xlnm.Print_Area" localSheetId="5">CashFlow!$A$1:$Q$96</definedName>
    <definedName name="_xlnm.Print_Area" localSheetId="1">HistoricalData!$A$2:$E$69</definedName>
    <definedName name="_xlnm.Print_Area" localSheetId="4">Income!$A$1:$AE$43</definedName>
    <definedName name="_xlnm.Print_Area" localSheetId="8">Ratios!$A$1:$Q$29</definedName>
    <definedName name="_xlnm.Print_Area" localSheetId="7">SourcesUses!$A$1:$P$31</definedName>
    <definedName name="_xlnm.Print_Titles" localSheetId="2">Assumptions!$1:$1</definedName>
    <definedName name="_xlnm.Print_Titles" localSheetId="5">CashFlow!$2:$2</definedName>
    <definedName name="_xlnm.Print_Titles" localSheetId="1">HistoricalData!$1:$1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4" i="1" l="1"/>
  <c r="S27" i="18"/>
  <c r="D27" i="18"/>
  <c r="D76" i="1"/>
  <c r="D82" i="1"/>
  <c r="D140" i="1"/>
  <c r="B176" i="1"/>
  <c r="B175" i="1"/>
  <c r="D131" i="12"/>
  <c r="C131" i="12"/>
  <c r="B131" i="12"/>
  <c r="D130" i="12"/>
  <c r="C130" i="12"/>
  <c r="B130" i="12"/>
  <c r="D129" i="12"/>
  <c r="C129" i="12"/>
  <c r="B129" i="12"/>
  <c r="D126" i="12"/>
  <c r="C126" i="12"/>
  <c r="B126" i="12"/>
  <c r="D124" i="12"/>
  <c r="C124" i="12"/>
  <c r="B124" i="12"/>
  <c r="D123" i="12"/>
  <c r="C123" i="12"/>
  <c r="B123" i="12"/>
  <c r="D122" i="12"/>
  <c r="C122" i="12"/>
  <c r="B122" i="12"/>
  <c r="D121" i="12"/>
  <c r="C121" i="12"/>
  <c r="B121" i="12"/>
  <c r="D120" i="12"/>
  <c r="C120" i="12"/>
  <c r="B120" i="12"/>
  <c r="D119" i="12"/>
  <c r="C119" i="12"/>
  <c r="B119" i="12"/>
  <c r="D118" i="12"/>
  <c r="D90" i="12"/>
  <c r="C118" i="12"/>
  <c r="C90" i="12"/>
  <c r="B118" i="12"/>
  <c r="D117" i="12"/>
  <c r="C117" i="12"/>
  <c r="B117" i="12"/>
  <c r="D116" i="12"/>
  <c r="C116" i="12"/>
  <c r="B116" i="12"/>
  <c r="D115" i="12"/>
  <c r="C115" i="12"/>
  <c r="B115" i="12"/>
  <c r="D114" i="12"/>
  <c r="C114" i="12"/>
  <c r="B114" i="12"/>
  <c r="D39" i="4"/>
  <c r="D35" i="4"/>
  <c r="D34" i="4"/>
  <c r="D33" i="4"/>
  <c r="D32" i="4"/>
  <c r="D31" i="4"/>
  <c r="D24" i="4"/>
  <c r="D11" i="4"/>
  <c r="D101" i="4"/>
  <c r="D10" i="4"/>
  <c r="D100" i="4"/>
  <c r="D6" i="4"/>
  <c r="D99" i="4"/>
  <c r="D102" i="4"/>
  <c r="D138" i="12"/>
  <c r="C138" i="12"/>
  <c r="D29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D136" i="1"/>
  <c r="D127" i="1"/>
  <c r="D132" i="1"/>
  <c r="E127" i="1"/>
  <c r="E132" i="1"/>
  <c r="F127" i="1"/>
  <c r="D115" i="1"/>
  <c r="D103" i="1"/>
  <c r="D109" i="1"/>
  <c r="E103" i="1"/>
  <c r="E109" i="1"/>
  <c r="F103" i="1"/>
  <c r="F109" i="1"/>
  <c r="G103" i="1"/>
  <c r="G109" i="1"/>
  <c r="H103" i="1"/>
  <c r="H109" i="1"/>
  <c r="I103" i="1"/>
  <c r="I109" i="1"/>
  <c r="J103" i="1"/>
  <c r="J109" i="1"/>
  <c r="K103" i="1"/>
  <c r="K109" i="1"/>
  <c r="L103" i="1"/>
  <c r="L109" i="1"/>
  <c r="M103" i="1"/>
  <c r="M109" i="1"/>
  <c r="N103" i="1"/>
  <c r="N109" i="1"/>
  <c r="O103" i="1"/>
  <c r="O109" i="1"/>
  <c r="P103" i="1"/>
  <c r="P109" i="1"/>
  <c r="F9" i="1"/>
  <c r="E9" i="1"/>
  <c r="D9" i="1"/>
  <c r="A29" i="1"/>
  <c r="A27" i="1"/>
  <c r="A21" i="1"/>
  <c r="A15" i="1"/>
  <c r="A9" i="1"/>
  <c r="D121" i="1"/>
  <c r="E37" i="2"/>
  <c r="Q38" i="2"/>
  <c r="D49" i="2"/>
  <c r="D48" i="2"/>
  <c r="D44" i="2"/>
  <c r="E44" i="2"/>
  <c r="D43" i="2"/>
  <c r="D42" i="2"/>
  <c r="D38" i="2"/>
  <c r="D37" i="2"/>
  <c r="D36" i="2"/>
  <c r="D27" i="2"/>
  <c r="D16" i="2"/>
  <c r="E16" i="2"/>
  <c r="F16" i="2"/>
  <c r="G16" i="2"/>
  <c r="D65" i="4"/>
  <c r="D118" i="1"/>
  <c r="D106" i="1"/>
  <c r="E106" i="1"/>
  <c r="G106" i="1"/>
  <c r="I106" i="1"/>
  <c r="K106" i="1"/>
  <c r="M106" i="1"/>
  <c r="O106" i="1"/>
  <c r="F106" i="1"/>
  <c r="H106" i="1"/>
  <c r="J106" i="1"/>
  <c r="L106" i="1"/>
  <c r="N106" i="1"/>
  <c r="P106" i="1"/>
  <c r="D54" i="4"/>
  <c r="D39" i="2"/>
  <c r="D50" i="2"/>
  <c r="E34" i="4"/>
  <c r="F44" i="2"/>
  <c r="D45" i="2"/>
  <c r="E31" i="4"/>
  <c r="E43" i="2"/>
  <c r="E33" i="4"/>
  <c r="E115" i="1"/>
  <c r="F43" i="2"/>
  <c r="F132" i="1"/>
  <c r="H16" i="2"/>
  <c r="D25" i="4"/>
  <c r="F33" i="4"/>
  <c r="E121" i="1"/>
  <c r="F115" i="1"/>
  <c r="D9" i="6"/>
  <c r="D10" i="6"/>
  <c r="D52" i="2"/>
  <c r="G44" i="2"/>
  <c r="F34" i="4"/>
  <c r="G127" i="1"/>
  <c r="G132" i="1"/>
  <c r="G43" i="2"/>
  <c r="G33" i="4"/>
  <c r="I16" i="2"/>
  <c r="D28" i="2"/>
  <c r="A1" i="12"/>
  <c r="B6" i="12"/>
  <c r="C6" i="12"/>
  <c r="D6" i="12"/>
  <c r="D2" i="3"/>
  <c r="D10" i="2"/>
  <c r="D9" i="2"/>
  <c r="D41" i="3"/>
  <c r="D30" i="4"/>
  <c r="D66" i="4"/>
  <c r="D37" i="3"/>
  <c r="D39" i="3" s="1"/>
  <c r="D63" i="12"/>
  <c r="C63" i="12"/>
  <c r="C136" i="12"/>
  <c r="B63" i="12"/>
  <c r="D35" i="3"/>
  <c r="D20" i="4"/>
  <c r="D33" i="3"/>
  <c r="D29" i="4"/>
  <c r="D29" i="3"/>
  <c r="D25" i="3"/>
  <c r="D16" i="4"/>
  <c r="D12" i="3"/>
  <c r="D9" i="4"/>
  <c r="D10" i="3"/>
  <c r="A19" i="3"/>
  <c r="A18" i="3"/>
  <c r="A17" i="3"/>
  <c r="A16" i="3"/>
  <c r="A15" i="3"/>
  <c r="J6" i="3"/>
  <c r="H6" i="3"/>
  <c r="F6" i="3"/>
  <c r="C140" i="12"/>
  <c r="C137" i="12"/>
  <c r="D135" i="12"/>
  <c r="C135" i="12"/>
  <c r="D137" i="12"/>
  <c r="D106" i="12"/>
  <c r="D105" i="12"/>
  <c r="D140" i="12"/>
  <c r="D102" i="12"/>
  <c r="D101" i="12"/>
  <c r="D100" i="12"/>
  <c r="D97" i="12"/>
  <c r="D96" i="12"/>
  <c r="D95" i="12"/>
  <c r="D89" i="12"/>
  <c r="D88" i="12"/>
  <c r="D87" i="12"/>
  <c r="D86" i="12"/>
  <c r="D85" i="12"/>
  <c r="D84" i="12"/>
  <c r="D83" i="12"/>
  <c r="D82" i="12"/>
  <c r="D80" i="12"/>
  <c r="D79" i="12"/>
  <c r="D78" i="12"/>
  <c r="C106" i="12"/>
  <c r="C105" i="12"/>
  <c r="C102" i="12"/>
  <c r="C101" i="12"/>
  <c r="C100" i="12"/>
  <c r="C97" i="12"/>
  <c r="C96" i="12"/>
  <c r="C95" i="12"/>
  <c r="C89" i="12"/>
  <c r="C88" i="12"/>
  <c r="C87" i="12"/>
  <c r="C86" i="12"/>
  <c r="C85" i="12"/>
  <c r="C84" i="12"/>
  <c r="C83" i="12"/>
  <c r="C82" i="12"/>
  <c r="C80" i="12"/>
  <c r="C79" i="12"/>
  <c r="C78" i="12"/>
  <c r="C77" i="12"/>
  <c r="B107" i="12"/>
  <c r="B106" i="12"/>
  <c r="B105" i="12"/>
  <c r="B102" i="12"/>
  <c r="B101" i="12"/>
  <c r="B100" i="12"/>
  <c r="B97" i="12"/>
  <c r="B96" i="12"/>
  <c r="B95" i="12"/>
  <c r="B90" i="12"/>
  <c r="B89" i="12"/>
  <c r="B88" i="12"/>
  <c r="B87" i="12"/>
  <c r="B86" i="12"/>
  <c r="B85" i="12"/>
  <c r="B84" i="12"/>
  <c r="B83" i="12"/>
  <c r="B82" i="12"/>
  <c r="B80" i="12"/>
  <c r="B79" i="12"/>
  <c r="B78" i="12"/>
  <c r="B77" i="12"/>
  <c r="H1" i="6"/>
  <c r="G1" i="8"/>
  <c r="H1" i="2"/>
  <c r="H1" i="4"/>
  <c r="L1" i="3"/>
  <c r="D2" i="1"/>
  <c r="H45" i="4"/>
  <c r="D1" i="1"/>
  <c r="D154" i="1"/>
  <c r="D46" i="12"/>
  <c r="C46" i="12"/>
  <c r="B46" i="12"/>
  <c r="D29" i="12"/>
  <c r="C29" i="12"/>
  <c r="B29" i="12"/>
  <c r="E94" i="4"/>
  <c r="A7" i="8"/>
  <c r="D7" i="8"/>
  <c r="E7" i="8"/>
  <c r="F7" i="8"/>
  <c r="G7" i="8"/>
  <c r="H7" i="8"/>
  <c r="I7" i="8"/>
  <c r="J7" i="8"/>
  <c r="K7" i="8"/>
  <c r="L7" i="8"/>
  <c r="M7" i="8"/>
  <c r="N7" i="8"/>
  <c r="O7" i="8"/>
  <c r="P7" i="8"/>
  <c r="A8" i="8"/>
  <c r="D8" i="8"/>
  <c r="E8" i="8"/>
  <c r="F8" i="8"/>
  <c r="G8" i="8"/>
  <c r="H8" i="8"/>
  <c r="I8" i="8"/>
  <c r="J8" i="8"/>
  <c r="K8" i="8"/>
  <c r="L8" i="8"/>
  <c r="M8" i="8"/>
  <c r="N8" i="8"/>
  <c r="O8" i="8"/>
  <c r="P8" i="8"/>
  <c r="A9" i="8"/>
  <c r="D9" i="8"/>
  <c r="E9" i="8"/>
  <c r="F9" i="8"/>
  <c r="G9" i="8"/>
  <c r="H9" i="8"/>
  <c r="I9" i="8"/>
  <c r="J9" i="8"/>
  <c r="K9" i="8"/>
  <c r="L9" i="8"/>
  <c r="M9" i="8"/>
  <c r="N9" i="8"/>
  <c r="O9" i="8"/>
  <c r="P9" i="8"/>
  <c r="A10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A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A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A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A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A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A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D27" i="8"/>
  <c r="D30" i="8"/>
  <c r="E27" i="8"/>
  <c r="F27" i="8"/>
  <c r="G27" i="8"/>
  <c r="H27" i="8"/>
  <c r="I27" i="8"/>
  <c r="J27" i="8"/>
  <c r="K27" i="8"/>
  <c r="L27" i="8"/>
  <c r="M27" i="8"/>
  <c r="N27" i="8"/>
  <c r="O27" i="8"/>
  <c r="P27" i="8"/>
  <c r="E29" i="8"/>
  <c r="F29" i="8"/>
  <c r="G29" i="8"/>
  <c r="G30" i="8"/>
  <c r="H29" i="8"/>
  <c r="H30" i="8"/>
  <c r="I29" i="8"/>
  <c r="J29" i="8"/>
  <c r="K29" i="8"/>
  <c r="L29" i="8"/>
  <c r="M29" i="8"/>
  <c r="N29" i="8"/>
  <c r="O29" i="8"/>
  <c r="P29" i="8"/>
  <c r="P30" i="8"/>
  <c r="F20" i="3"/>
  <c r="H20" i="3"/>
  <c r="J20" i="3"/>
  <c r="L20" i="3"/>
  <c r="N20" i="3"/>
  <c r="P20" i="3"/>
  <c r="R20" i="3"/>
  <c r="T20" i="3"/>
  <c r="V20" i="3"/>
  <c r="X20" i="3"/>
  <c r="Z20" i="3"/>
  <c r="AB20" i="3"/>
  <c r="AD20" i="3"/>
  <c r="F21" i="3"/>
  <c r="H21" i="3"/>
  <c r="J21" i="3"/>
  <c r="L21" i="3"/>
  <c r="N21" i="3"/>
  <c r="P21" i="3"/>
  <c r="R21" i="3"/>
  <c r="T21" i="3"/>
  <c r="V21" i="3"/>
  <c r="X21" i="3"/>
  <c r="Z21" i="3"/>
  <c r="AB21" i="3"/>
  <c r="AD21" i="3"/>
  <c r="F22" i="3"/>
  <c r="H22" i="3"/>
  <c r="J22" i="3"/>
  <c r="L22" i="3"/>
  <c r="N22" i="3"/>
  <c r="P22" i="3"/>
  <c r="R22" i="3"/>
  <c r="T22" i="3"/>
  <c r="V22" i="3"/>
  <c r="X22" i="3"/>
  <c r="Z22" i="3"/>
  <c r="AB22" i="3"/>
  <c r="AD22" i="3"/>
  <c r="F23" i="3"/>
  <c r="H23" i="3"/>
  <c r="J23" i="3"/>
  <c r="L23" i="3"/>
  <c r="N23" i="3"/>
  <c r="P23" i="3"/>
  <c r="R23" i="3"/>
  <c r="T23" i="3"/>
  <c r="V23" i="3"/>
  <c r="X23" i="3"/>
  <c r="Z23" i="3"/>
  <c r="AB23" i="3"/>
  <c r="AD23" i="3"/>
  <c r="F24" i="3"/>
  <c r="H24" i="3"/>
  <c r="J24" i="3"/>
  <c r="L24" i="3"/>
  <c r="N24" i="3"/>
  <c r="P24" i="3"/>
  <c r="R24" i="3"/>
  <c r="T24" i="3"/>
  <c r="V24" i="3"/>
  <c r="X24" i="3"/>
  <c r="Z24" i="3"/>
  <c r="AB24" i="3"/>
  <c r="AD24" i="3"/>
  <c r="A17" i="2"/>
  <c r="E17" i="2"/>
  <c r="A18" i="2"/>
  <c r="E18" i="2"/>
  <c r="A19" i="2"/>
  <c r="E19" i="2"/>
  <c r="G19" i="2"/>
  <c r="H19" i="2"/>
  <c r="I19" i="2"/>
  <c r="J19" i="2"/>
  <c r="K19" i="2"/>
  <c r="L19" i="2"/>
  <c r="M19" i="2"/>
  <c r="N19" i="2"/>
  <c r="O19" i="2"/>
  <c r="P19" i="2"/>
  <c r="Q19" i="2"/>
  <c r="A20" i="2"/>
  <c r="E20" i="2"/>
  <c r="G20" i="2"/>
  <c r="H20" i="2"/>
  <c r="I20" i="2"/>
  <c r="J20" i="2"/>
  <c r="K20" i="2"/>
  <c r="L20" i="2"/>
  <c r="M20" i="2"/>
  <c r="N20" i="2"/>
  <c r="O20" i="2"/>
  <c r="P20" i="2"/>
  <c r="Q20" i="2"/>
  <c r="A21" i="2"/>
  <c r="E21" i="2"/>
  <c r="G21" i="2"/>
  <c r="H21" i="2"/>
  <c r="I21" i="2"/>
  <c r="J21" i="2"/>
  <c r="K21" i="2"/>
  <c r="L21" i="2"/>
  <c r="M21" i="2"/>
  <c r="N21" i="2"/>
  <c r="O21" i="2"/>
  <c r="P21" i="2"/>
  <c r="Q21" i="2"/>
  <c r="A22" i="2"/>
  <c r="E22" i="2"/>
  <c r="G22" i="2"/>
  <c r="H22" i="2"/>
  <c r="I22" i="2"/>
  <c r="J22" i="2"/>
  <c r="K22" i="2"/>
  <c r="L22" i="2"/>
  <c r="M22" i="2"/>
  <c r="N22" i="2"/>
  <c r="O22" i="2"/>
  <c r="P22" i="2"/>
  <c r="Q22" i="2"/>
  <c r="A23" i="2"/>
  <c r="E23" i="2"/>
  <c r="G23" i="2"/>
  <c r="H23" i="2"/>
  <c r="I23" i="2"/>
  <c r="J23" i="2"/>
  <c r="K23" i="2"/>
  <c r="L23" i="2"/>
  <c r="M23" i="2"/>
  <c r="N23" i="2"/>
  <c r="O23" i="2"/>
  <c r="P23" i="2"/>
  <c r="Q23" i="2"/>
  <c r="A24" i="2"/>
  <c r="E24" i="2"/>
  <c r="G24" i="2"/>
  <c r="H24" i="2"/>
  <c r="I24" i="2"/>
  <c r="J24" i="2"/>
  <c r="K24" i="2"/>
  <c r="L24" i="2"/>
  <c r="M24" i="2"/>
  <c r="N24" i="2"/>
  <c r="O24" i="2"/>
  <c r="P24" i="2"/>
  <c r="Q24" i="2"/>
  <c r="A25" i="2"/>
  <c r="E25" i="2"/>
  <c r="G25" i="2"/>
  <c r="H25" i="2"/>
  <c r="I25" i="2"/>
  <c r="J25" i="2"/>
  <c r="K25" i="2"/>
  <c r="L25" i="2"/>
  <c r="M25" i="2"/>
  <c r="N25" i="2"/>
  <c r="O25" i="2"/>
  <c r="P25" i="2"/>
  <c r="Q25" i="2"/>
  <c r="A26" i="2"/>
  <c r="E26" i="2"/>
  <c r="G26" i="2"/>
  <c r="C2" i="9"/>
  <c r="C3" i="9"/>
  <c r="C7" i="9"/>
  <c r="G8" i="1"/>
  <c r="G44" i="1"/>
  <c r="L15" i="3"/>
  <c r="H8" i="1"/>
  <c r="H14" i="1"/>
  <c r="I8" i="1"/>
  <c r="J8" i="1"/>
  <c r="K8" i="1"/>
  <c r="K44" i="1"/>
  <c r="T15" i="3"/>
  <c r="L8" i="1"/>
  <c r="M8" i="1"/>
  <c r="M26" i="1"/>
  <c r="N8" i="1"/>
  <c r="O8" i="1"/>
  <c r="O44" i="1"/>
  <c r="AB15" i="3"/>
  <c r="P8" i="1"/>
  <c r="D14" i="1"/>
  <c r="E14" i="1"/>
  <c r="F14" i="1"/>
  <c r="D20" i="1"/>
  <c r="D21" i="1"/>
  <c r="E20" i="1"/>
  <c r="F20" i="1"/>
  <c r="F21" i="1"/>
  <c r="D26" i="1"/>
  <c r="E26" i="1"/>
  <c r="F26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D44" i="1"/>
  <c r="F15" i="3"/>
  <c r="E44" i="1"/>
  <c r="H15" i="3"/>
  <c r="F44" i="1"/>
  <c r="J15" i="3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D68" i="1"/>
  <c r="E24" i="4"/>
  <c r="E68" i="1"/>
  <c r="F24" i="4"/>
  <c r="F68" i="1"/>
  <c r="G24" i="4"/>
  <c r="G68" i="1"/>
  <c r="H24" i="4"/>
  <c r="H68" i="1"/>
  <c r="I24" i="4"/>
  <c r="I68" i="1"/>
  <c r="J24" i="4"/>
  <c r="J68" i="1"/>
  <c r="K24" i="4"/>
  <c r="K68" i="1"/>
  <c r="L24" i="4"/>
  <c r="L68" i="1"/>
  <c r="M24" i="4"/>
  <c r="M68" i="1"/>
  <c r="N24" i="4"/>
  <c r="N68" i="1"/>
  <c r="O24" i="4"/>
  <c r="O68" i="1"/>
  <c r="P24" i="4"/>
  <c r="P68" i="1"/>
  <c r="Q24" i="4"/>
  <c r="C8" i="9"/>
  <c r="D83" i="1"/>
  <c r="C5" i="9"/>
  <c r="D84" i="1"/>
  <c r="C6" i="9"/>
  <c r="E93" i="1"/>
  <c r="F93" i="1"/>
  <c r="G93" i="1"/>
  <c r="H93" i="1"/>
  <c r="I93" i="1"/>
  <c r="J93" i="1"/>
  <c r="K93" i="1"/>
  <c r="L93" i="1"/>
  <c r="M93" i="1"/>
  <c r="N93" i="1"/>
  <c r="O93" i="1"/>
  <c r="P93" i="1"/>
  <c r="D138" i="1"/>
  <c r="E48" i="2"/>
  <c r="E35" i="4"/>
  <c r="E90" i="4"/>
  <c r="A155" i="1"/>
  <c r="A156" i="1"/>
  <c r="A157" i="1"/>
  <c r="A158" i="1"/>
  <c r="A159" i="1"/>
  <c r="A160" i="1"/>
  <c r="A161" i="1"/>
  <c r="A162" i="1"/>
  <c r="A163" i="1"/>
  <c r="A164" i="1"/>
  <c r="H19" i="3"/>
  <c r="H17" i="3"/>
  <c r="J19" i="3"/>
  <c r="J18" i="3"/>
  <c r="J17" i="3"/>
  <c r="J16" i="3"/>
  <c r="M30" i="8"/>
  <c r="H26" i="2"/>
  <c r="I26" i="2"/>
  <c r="J26" i="2"/>
  <c r="K26" i="2"/>
  <c r="L26" i="2"/>
  <c r="M26" i="2"/>
  <c r="N26" i="2"/>
  <c r="O26" i="2"/>
  <c r="P26" i="2"/>
  <c r="Q26" i="2"/>
  <c r="H16" i="3"/>
  <c r="H18" i="3"/>
  <c r="N30" i="8"/>
  <c r="F30" i="8"/>
  <c r="D45" i="1"/>
  <c r="D54" i="1"/>
  <c r="K30" i="8"/>
  <c r="D93" i="1"/>
  <c r="B177" i="1"/>
  <c r="B179" i="1"/>
  <c r="F19" i="3"/>
  <c r="D2" i="8"/>
  <c r="E2" i="8"/>
  <c r="F17" i="3"/>
  <c r="F16" i="3"/>
  <c r="F18" i="3"/>
  <c r="D161" i="1"/>
  <c r="F37" i="2"/>
  <c r="F31" i="4"/>
  <c r="E118" i="1"/>
  <c r="F121" i="1"/>
  <c r="F118" i="1"/>
  <c r="D5" i="4"/>
  <c r="D7" i="4"/>
  <c r="E33" i="3"/>
  <c r="F27" i="1"/>
  <c r="J9" i="3"/>
  <c r="D27" i="1"/>
  <c r="F9" i="3"/>
  <c r="E21" i="1"/>
  <c r="H8" i="3"/>
  <c r="H15" i="1"/>
  <c r="N7" i="3"/>
  <c r="E15" i="1"/>
  <c r="H7" i="3"/>
  <c r="P9" i="1"/>
  <c r="AD6" i="3"/>
  <c r="N9" i="1"/>
  <c r="Z6" i="3"/>
  <c r="L9" i="1"/>
  <c r="V6" i="3"/>
  <c r="J9" i="1"/>
  <c r="R6" i="3"/>
  <c r="H9" i="1"/>
  <c r="N6" i="3"/>
  <c r="E82" i="1"/>
  <c r="M27" i="1"/>
  <c r="X9" i="3"/>
  <c r="E27" i="1"/>
  <c r="H9" i="3"/>
  <c r="F15" i="1"/>
  <c r="J7" i="3"/>
  <c r="D15" i="1"/>
  <c r="F7" i="3"/>
  <c r="O14" i="1"/>
  <c r="O15" i="1"/>
  <c r="AB7" i="3"/>
  <c r="O9" i="1"/>
  <c r="M14" i="1"/>
  <c r="M15" i="1"/>
  <c r="M9" i="1"/>
  <c r="X6" i="3"/>
  <c r="K14" i="1"/>
  <c r="K15" i="1"/>
  <c r="K9" i="1"/>
  <c r="T6" i="3"/>
  <c r="I14" i="1"/>
  <c r="I15" i="1"/>
  <c r="I9" i="1"/>
  <c r="P6" i="3"/>
  <c r="G14" i="1"/>
  <c r="G15" i="1"/>
  <c r="L7" i="3"/>
  <c r="G9" i="1"/>
  <c r="I26" i="1"/>
  <c r="M20" i="1"/>
  <c r="G34" i="4"/>
  <c r="H44" i="2"/>
  <c r="H127" i="1"/>
  <c r="H132" i="1"/>
  <c r="H43" i="2"/>
  <c r="H33" i="4"/>
  <c r="F45" i="1"/>
  <c r="F54" i="1"/>
  <c r="I20" i="1"/>
  <c r="C4" i="9"/>
  <c r="E2" i="9"/>
  <c r="F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L16" i="3"/>
  <c r="T16" i="3"/>
  <c r="AB16" i="3"/>
  <c r="L17" i="3"/>
  <c r="T17" i="3"/>
  <c r="AB17" i="3"/>
  <c r="L18" i="3"/>
  <c r="T18" i="3"/>
  <c r="AB18" i="3"/>
  <c r="L19" i="3"/>
  <c r="T19" i="3"/>
  <c r="AB19" i="3"/>
  <c r="D157" i="1"/>
  <c r="E45" i="1"/>
  <c r="E54" i="1"/>
  <c r="M44" i="1"/>
  <c r="I44" i="1"/>
  <c r="O45" i="1"/>
  <c r="O54" i="1"/>
  <c r="K45" i="1"/>
  <c r="K54" i="1"/>
  <c r="G45" i="1"/>
  <c r="G54" i="1"/>
  <c r="O26" i="1"/>
  <c r="K26" i="1"/>
  <c r="G26" i="1"/>
  <c r="O20" i="1"/>
  <c r="K20" i="1"/>
  <c r="G20" i="1"/>
  <c r="L30" i="8"/>
  <c r="J30" i="8"/>
  <c r="D163" i="1"/>
  <c r="D159" i="1"/>
  <c r="D155" i="1"/>
  <c r="E2" i="2"/>
  <c r="F2" i="2"/>
  <c r="G2" i="2"/>
  <c r="H2" i="2"/>
  <c r="I2" i="2"/>
  <c r="J2" i="2"/>
  <c r="K2" i="2"/>
  <c r="L2" i="2"/>
  <c r="M2" i="2"/>
  <c r="N2" i="2"/>
  <c r="O2" i="2"/>
  <c r="P2" i="2"/>
  <c r="Q2" i="2"/>
  <c r="F2" i="3"/>
  <c r="H2" i="3"/>
  <c r="J2" i="3"/>
  <c r="L2" i="3"/>
  <c r="N2" i="3"/>
  <c r="P2" i="3"/>
  <c r="R2" i="3"/>
  <c r="T2" i="3"/>
  <c r="V2" i="3"/>
  <c r="X2" i="3"/>
  <c r="Z2" i="3"/>
  <c r="AB2" i="3"/>
  <c r="AD2" i="3"/>
  <c r="E2" i="4"/>
  <c r="H25" i="3"/>
  <c r="F16" i="4"/>
  <c r="D89" i="1"/>
  <c r="P14" i="1"/>
  <c r="E2" i="6"/>
  <c r="F2" i="6"/>
  <c r="G2" i="6"/>
  <c r="H2" i="6"/>
  <c r="I2" i="6"/>
  <c r="J2" i="6"/>
  <c r="K2" i="6"/>
  <c r="L2" i="6"/>
  <c r="M2" i="6"/>
  <c r="N2" i="6"/>
  <c r="O2" i="6"/>
  <c r="P2" i="6"/>
  <c r="Q2" i="6"/>
  <c r="E136" i="1"/>
  <c r="E138" i="1"/>
  <c r="F136" i="1"/>
  <c r="F138" i="1"/>
  <c r="D85" i="1"/>
  <c r="C9" i="9"/>
  <c r="P20" i="1"/>
  <c r="P21" i="1"/>
  <c r="N20" i="1"/>
  <c r="L20" i="1"/>
  <c r="J20" i="1"/>
  <c r="H20" i="1"/>
  <c r="L14" i="1"/>
  <c r="P44" i="1"/>
  <c r="N44" i="1"/>
  <c r="L44" i="1"/>
  <c r="J44" i="1"/>
  <c r="H44" i="1"/>
  <c r="P26" i="1"/>
  <c r="N26" i="1"/>
  <c r="L26" i="1"/>
  <c r="J26" i="1"/>
  <c r="H26" i="1"/>
  <c r="N14" i="1"/>
  <c r="J14" i="1"/>
  <c r="O30" i="8"/>
  <c r="L6" i="3"/>
  <c r="AB6" i="3"/>
  <c r="J16" i="2"/>
  <c r="D64" i="4"/>
  <c r="D53" i="4"/>
  <c r="D55" i="4"/>
  <c r="B47" i="12"/>
  <c r="D47" i="12"/>
  <c r="D88" i="1"/>
  <c r="D164" i="1"/>
  <c r="D162" i="1"/>
  <c r="D160" i="1"/>
  <c r="D158" i="1"/>
  <c r="D156" i="1"/>
  <c r="D94" i="1"/>
  <c r="E1" i="1"/>
  <c r="E154" i="1"/>
  <c r="C47" i="12"/>
  <c r="D2" i="6"/>
  <c r="B125" i="12"/>
  <c r="C125" i="12"/>
  <c r="C107" i="12"/>
  <c r="D125" i="12"/>
  <c r="D107" i="12"/>
  <c r="D12" i="4"/>
  <c r="A21" i="3"/>
  <c r="D2" i="4"/>
  <c r="D70" i="4"/>
  <c r="A23" i="3"/>
  <c r="D2" i="2"/>
  <c r="E35" i="3"/>
  <c r="E29" i="3"/>
  <c r="E12" i="3"/>
  <c r="D27" i="3"/>
  <c r="D20" i="6"/>
  <c r="E25" i="3"/>
  <c r="A20" i="3"/>
  <c r="A22" i="3"/>
  <c r="A24" i="3"/>
  <c r="C109" i="12"/>
  <c r="B92" i="12"/>
  <c r="B109" i="12"/>
  <c r="C92" i="12"/>
  <c r="D109" i="12"/>
  <c r="D136" i="12"/>
  <c r="D139" i="12"/>
  <c r="C139" i="12"/>
  <c r="X7" i="3"/>
  <c r="T7" i="3"/>
  <c r="A7" i="3"/>
  <c r="A8" i="3"/>
  <c r="A9" i="3"/>
  <c r="A6" i="3"/>
  <c r="I30" i="8"/>
  <c r="F48" i="2"/>
  <c r="F35" i="4"/>
  <c r="F90" i="4"/>
  <c r="P7" i="3"/>
  <c r="E30" i="8"/>
  <c r="G18" i="2"/>
  <c r="J8" i="3"/>
  <c r="F8" i="3"/>
  <c r="J25" i="3"/>
  <c r="G16" i="4"/>
  <c r="D29" i="1"/>
  <c r="D34" i="1"/>
  <c r="F12" i="3"/>
  <c r="C175" i="1"/>
  <c r="C174" i="1"/>
  <c r="D90" i="1"/>
  <c r="D95" i="1"/>
  <c r="D96" i="1"/>
  <c r="C176" i="1"/>
  <c r="F25" i="3"/>
  <c r="E16" i="4"/>
  <c r="F33" i="3"/>
  <c r="D19" i="8"/>
  <c r="E29" i="1"/>
  <c r="E34" i="1"/>
  <c r="H12" i="3"/>
  <c r="F9" i="4"/>
  <c r="F29" i="1"/>
  <c r="F34" i="1"/>
  <c r="J12" i="3"/>
  <c r="G9" i="4"/>
  <c r="G37" i="2"/>
  <c r="G31" i="4"/>
  <c r="G115" i="1"/>
  <c r="F2" i="8"/>
  <c r="F2" i="4"/>
  <c r="G2" i="4"/>
  <c r="H2" i="4"/>
  <c r="I2" i="4"/>
  <c r="J2" i="4"/>
  <c r="K2" i="4"/>
  <c r="H10" i="3"/>
  <c r="I9" i="3"/>
  <c r="P15" i="1"/>
  <c r="AD7" i="3"/>
  <c r="G21" i="1"/>
  <c r="L8" i="3"/>
  <c r="O21" i="1"/>
  <c r="AB8" i="3"/>
  <c r="K27" i="1"/>
  <c r="T9" i="3"/>
  <c r="I21" i="1"/>
  <c r="P8" i="3"/>
  <c r="M21" i="1"/>
  <c r="X8" i="3"/>
  <c r="X10" i="3"/>
  <c r="N15" i="1"/>
  <c r="Z7" i="3"/>
  <c r="J27" i="1"/>
  <c r="R9" i="3"/>
  <c r="N27" i="1"/>
  <c r="Z9" i="3"/>
  <c r="L15" i="1"/>
  <c r="V7" i="3"/>
  <c r="J21" i="1"/>
  <c r="R8" i="3"/>
  <c r="N21" i="1"/>
  <c r="Z8" i="3"/>
  <c r="E88" i="1"/>
  <c r="J15" i="1"/>
  <c r="R7" i="3"/>
  <c r="H27" i="1"/>
  <c r="N9" i="3"/>
  <c r="L27" i="1"/>
  <c r="V9" i="3"/>
  <c r="P27" i="1"/>
  <c r="AD9" i="3"/>
  <c r="H21" i="1"/>
  <c r="N8" i="3"/>
  <c r="L21" i="1"/>
  <c r="V8" i="3"/>
  <c r="K21" i="1"/>
  <c r="T8" i="3"/>
  <c r="T10" i="3"/>
  <c r="G27" i="1"/>
  <c r="L9" i="3"/>
  <c r="O27" i="1"/>
  <c r="AB9" i="3"/>
  <c r="I27" i="1"/>
  <c r="P9" i="3"/>
  <c r="F10" i="3"/>
  <c r="J10" i="3"/>
  <c r="G9" i="2"/>
  <c r="D165" i="1"/>
  <c r="E27" i="2"/>
  <c r="H34" i="4"/>
  <c r="I44" i="2"/>
  <c r="L25" i="3"/>
  <c r="H16" i="4"/>
  <c r="I127" i="1"/>
  <c r="I132" i="1"/>
  <c r="I43" i="2"/>
  <c r="I33" i="4"/>
  <c r="T25" i="3"/>
  <c r="L16" i="4"/>
  <c r="H2" i="9"/>
  <c r="E3" i="9"/>
  <c r="G3" i="9"/>
  <c r="G2" i="9"/>
  <c r="I2" i="9"/>
  <c r="J2" i="9"/>
  <c r="AB25" i="3"/>
  <c r="P16" i="4"/>
  <c r="G136" i="1"/>
  <c r="G138" i="1"/>
  <c r="H48" i="2"/>
  <c r="G48" i="2"/>
  <c r="G35" i="4"/>
  <c r="G90" i="4"/>
  <c r="P15" i="3"/>
  <c r="P19" i="3"/>
  <c r="P18" i="3"/>
  <c r="P17" i="3"/>
  <c r="P16" i="3"/>
  <c r="X15" i="3"/>
  <c r="M45" i="1"/>
  <c r="M54" i="1"/>
  <c r="X19" i="3"/>
  <c r="X18" i="3"/>
  <c r="X17" i="3"/>
  <c r="X16" i="3"/>
  <c r="P29" i="1"/>
  <c r="P34" i="1"/>
  <c r="AD12" i="3"/>
  <c r="Q10" i="2"/>
  <c r="AD8" i="3"/>
  <c r="I45" i="1"/>
  <c r="I54" i="1"/>
  <c r="E89" i="1"/>
  <c r="D31" i="8"/>
  <c r="G17" i="2"/>
  <c r="R15" i="3"/>
  <c r="R19" i="3"/>
  <c r="J45" i="1"/>
  <c r="J54" i="1"/>
  <c r="R18" i="3"/>
  <c r="R16" i="3"/>
  <c r="R17" i="3"/>
  <c r="Z15" i="3"/>
  <c r="Z19" i="3"/>
  <c r="N45" i="1"/>
  <c r="N54" i="1"/>
  <c r="Z18" i="3"/>
  <c r="Z16" i="3"/>
  <c r="Z17" i="3"/>
  <c r="N15" i="3"/>
  <c r="N16" i="3"/>
  <c r="H45" i="1"/>
  <c r="H54" i="1"/>
  <c r="N19" i="3"/>
  <c r="N17" i="3"/>
  <c r="N18" i="3"/>
  <c r="V15" i="3"/>
  <c r="V18" i="3"/>
  <c r="L45" i="1"/>
  <c r="L54" i="1"/>
  <c r="V19" i="3"/>
  <c r="V17" i="3"/>
  <c r="V16" i="3"/>
  <c r="AD15" i="3"/>
  <c r="P45" i="1"/>
  <c r="P54" i="1"/>
  <c r="AD19" i="3"/>
  <c r="AD17" i="3"/>
  <c r="AD18" i="3"/>
  <c r="AD16" i="3"/>
  <c r="K16" i="2"/>
  <c r="D14" i="4"/>
  <c r="D18" i="4"/>
  <c r="D22" i="4"/>
  <c r="C110" i="12"/>
  <c r="B110" i="12"/>
  <c r="F1" i="1"/>
  <c r="F154" i="1"/>
  <c r="E155" i="1"/>
  <c r="E157" i="1"/>
  <c r="E159" i="1"/>
  <c r="E161" i="1"/>
  <c r="E163" i="1"/>
  <c r="E156" i="1"/>
  <c r="E158" i="1"/>
  <c r="E160" i="1"/>
  <c r="E162" i="1"/>
  <c r="E164" i="1"/>
  <c r="D69" i="4"/>
  <c r="D71" i="4"/>
  <c r="D31" i="3"/>
  <c r="E27" i="3"/>
  <c r="D21" i="6"/>
  <c r="F36" i="2"/>
  <c r="G36" i="2"/>
  <c r="G6" i="3"/>
  <c r="E9" i="2"/>
  <c r="E6" i="4"/>
  <c r="E99" i="4"/>
  <c r="E5" i="4"/>
  <c r="G7" i="3"/>
  <c r="G9" i="3"/>
  <c r="G25" i="3"/>
  <c r="F27" i="3"/>
  <c r="E20" i="6"/>
  <c r="G12" i="3"/>
  <c r="E10" i="2"/>
  <c r="E10" i="4"/>
  <c r="E100" i="4"/>
  <c r="E9" i="4"/>
  <c r="G10" i="2"/>
  <c r="H18" i="2"/>
  <c r="I18" i="2"/>
  <c r="J18" i="2"/>
  <c r="K18" i="2"/>
  <c r="L18" i="2"/>
  <c r="M18" i="2"/>
  <c r="N18" i="2"/>
  <c r="O18" i="2"/>
  <c r="P18" i="2"/>
  <c r="Q18" i="2"/>
  <c r="E36" i="2"/>
  <c r="G8" i="3"/>
  <c r="F10" i="2"/>
  <c r="C177" i="1"/>
  <c r="B181" i="1"/>
  <c r="E85" i="4"/>
  <c r="E90" i="1"/>
  <c r="E95" i="1"/>
  <c r="E38" i="2"/>
  <c r="E39" i="2"/>
  <c r="K9" i="3"/>
  <c r="I25" i="3"/>
  <c r="G10" i="4"/>
  <c r="G100" i="4"/>
  <c r="F9" i="2"/>
  <c r="F6" i="4"/>
  <c r="F99" i="4"/>
  <c r="G29" i="1"/>
  <c r="G34" i="1"/>
  <c r="L12" i="3"/>
  <c r="H10" i="2"/>
  <c r="N29" i="1"/>
  <c r="N34" i="1"/>
  <c r="Z12" i="3"/>
  <c r="O9" i="4"/>
  <c r="K25" i="3"/>
  <c r="K29" i="1"/>
  <c r="K34" i="1"/>
  <c r="T12" i="3"/>
  <c r="L9" i="4"/>
  <c r="G5" i="4"/>
  <c r="K6" i="3"/>
  <c r="F3" i="9"/>
  <c r="G33" i="3"/>
  <c r="H29" i="1"/>
  <c r="H34" i="1"/>
  <c r="N12" i="3"/>
  <c r="I29" i="1"/>
  <c r="I34" i="1"/>
  <c r="P12" i="3"/>
  <c r="J9" i="4"/>
  <c r="M29" i="1"/>
  <c r="M34" i="1"/>
  <c r="X12" i="3"/>
  <c r="N10" i="2"/>
  <c r="L29" i="1"/>
  <c r="L34" i="1"/>
  <c r="V12" i="3"/>
  <c r="H9" i="4"/>
  <c r="E4" i="9"/>
  <c r="F4" i="9"/>
  <c r="J29" i="1"/>
  <c r="J34" i="1"/>
  <c r="R12" i="3"/>
  <c r="K10" i="2"/>
  <c r="O29" i="1"/>
  <c r="O34" i="1"/>
  <c r="AB12" i="3"/>
  <c r="P10" i="2"/>
  <c r="Q10" i="4"/>
  <c r="Q100" i="4"/>
  <c r="F29" i="3"/>
  <c r="G29" i="3"/>
  <c r="Z10" i="3"/>
  <c r="AA9" i="3"/>
  <c r="P10" i="3"/>
  <c r="Q12" i="3"/>
  <c r="AB10" i="3"/>
  <c r="P5" i="4"/>
  <c r="U6" i="3"/>
  <c r="Y8" i="3"/>
  <c r="Y9" i="3"/>
  <c r="N5" i="4"/>
  <c r="Y7" i="3"/>
  <c r="Y6" i="3"/>
  <c r="N10" i="3"/>
  <c r="O8" i="3"/>
  <c r="R10" i="3"/>
  <c r="S6" i="3"/>
  <c r="V10" i="3"/>
  <c r="M5" i="4"/>
  <c r="L10" i="3"/>
  <c r="L27" i="3"/>
  <c r="AD10" i="3"/>
  <c r="AE9" i="3"/>
  <c r="H136" i="1"/>
  <c r="H138" i="1"/>
  <c r="I48" i="2"/>
  <c r="I35" i="4"/>
  <c r="I90" i="4"/>
  <c r="G121" i="1"/>
  <c r="G118" i="1"/>
  <c r="D27" i="4"/>
  <c r="D37" i="4"/>
  <c r="D14" i="6"/>
  <c r="L2" i="4"/>
  <c r="M2" i="4"/>
  <c r="N2" i="4"/>
  <c r="O2" i="4"/>
  <c r="P2" i="4"/>
  <c r="Q2" i="4"/>
  <c r="G2" i="8"/>
  <c r="I8" i="3"/>
  <c r="I6" i="3"/>
  <c r="F5" i="4"/>
  <c r="K12" i="3"/>
  <c r="O5" i="4"/>
  <c r="J27" i="3"/>
  <c r="K8" i="3"/>
  <c r="K7" i="3"/>
  <c r="I7" i="3"/>
  <c r="I12" i="3"/>
  <c r="H27" i="3"/>
  <c r="H36" i="2"/>
  <c r="H11" i="4"/>
  <c r="H101" i="4"/>
  <c r="E165" i="1"/>
  <c r="F27" i="2"/>
  <c r="J44" i="2"/>
  <c r="I34" i="4"/>
  <c r="J127" i="1"/>
  <c r="J132" i="1"/>
  <c r="J43" i="2"/>
  <c r="J33" i="4"/>
  <c r="N9" i="2"/>
  <c r="L9" i="2"/>
  <c r="U7" i="3"/>
  <c r="H35" i="4"/>
  <c r="H90" i="4"/>
  <c r="J10" i="2"/>
  <c r="P25" i="3"/>
  <c r="U25" i="3"/>
  <c r="U12" i="3"/>
  <c r="U9" i="3"/>
  <c r="Q9" i="4"/>
  <c r="AA12" i="3"/>
  <c r="L5" i="4"/>
  <c r="U8" i="3"/>
  <c r="AA8" i="3"/>
  <c r="AA7" i="3"/>
  <c r="D97" i="1"/>
  <c r="X25" i="3"/>
  <c r="Y12" i="3"/>
  <c r="N9" i="4"/>
  <c r="H17" i="2"/>
  <c r="Z25" i="3"/>
  <c r="R25" i="3"/>
  <c r="E11" i="4"/>
  <c r="E101" i="4"/>
  <c r="E102" i="4"/>
  <c r="E28" i="2"/>
  <c r="AD25" i="3"/>
  <c r="V25" i="3"/>
  <c r="N25" i="3"/>
  <c r="L16" i="2"/>
  <c r="D50" i="4"/>
  <c r="G1" i="1"/>
  <c r="G154" i="1"/>
  <c r="F161" i="1"/>
  <c r="F156" i="1"/>
  <c r="F164" i="1"/>
  <c r="F159" i="1"/>
  <c r="F88" i="1"/>
  <c r="F162" i="1"/>
  <c r="F157" i="1"/>
  <c r="F89" i="1"/>
  <c r="F160" i="1"/>
  <c r="F155" i="1"/>
  <c r="F163" i="1"/>
  <c r="F158" i="1"/>
  <c r="E31" i="3"/>
  <c r="G11" i="4"/>
  <c r="G27" i="3"/>
  <c r="E21" i="6"/>
  <c r="F11" i="4"/>
  <c r="F101" i="4"/>
  <c r="F10" i="4"/>
  <c r="F100" i="4"/>
  <c r="H10" i="4"/>
  <c r="H100" i="4"/>
  <c r="E7" i="4"/>
  <c r="I136" i="1"/>
  <c r="I138" i="1"/>
  <c r="H3" i="9"/>
  <c r="I3" i="9"/>
  <c r="J3" i="9"/>
  <c r="AE7" i="3"/>
  <c r="G6" i="4"/>
  <c r="F90" i="1"/>
  <c r="AC6" i="3"/>
  <c r="AC9" i="3"/>
  <c r="L36" i="2"/>
  <c r="L10" i="2"/>
  <c r="M7" i="3"/>
  <c r="W12" i="3"/>
  <c r="H5" i="4"/>
  <c r="T27" i="3"/>
  <c r="L20" i="6"/>
  <c r="M12" i="3"/>
  <c r="S8" i="3"/>
  <c r="S9" i="3"/>
  <c r="S7" i="3"/>
  <c r="W7" i="3"/>
  <c r="AC7" i="3"/>
  <c r="P27" i="3"/>
  <c r="J20" i="6"/>
  <c r="G4" i="9"/>
  <c r="F102" i="4"/>
  <c r="N36" i="2"/>
  <c r="Q8" i="3"/>
  <c r="O10" i="2"/>
  <c r="E5" i="9"/>
  <c r="F5" i="9"/>
  <c r="H4" i="9"/>
  <c r="AE12" i="3"/>
  <c r="G7" i="4"/>
  <c r="G99" i="4"/>
  <c r="G12" i="4"/>
  <c r="G101" i="4"/>
  <c r="S12" i="3"/>
  <c r="M8" i="3"/>
  <c r="M6" i="3"/>
  <c r="K10" i="4"/>
  <c r="K100" i="4"/>
  <c r="Q6" i="3"/>
  <c r="K9" i="4"/>
  <c r="Q5" i="4"/>
  <c r="AC25" i="3"/>
  <c r="P36" i="2"/>
  <c r="P9" i="4"/>
  <c r="I9" i="4"/>
  <c r="I10" i="2"/>
  <c r="O7" i="3"/>
  <c r="M10" i="2"/>
  <c r="M9" i="4"/>
  <c r="M9" i="3"/>
  <c r="O12" i="3"/>
  <c r="AC8" i="3"/>
  <c r="F31" i="3"/>
  <c r="G31" i="3"/>
  <c r="M25" i="3"/>
  <c r="H9" i="2"/>
  <c r="H6" i="4"/>
  <c r="K9" i="2"/>
  <c r="K5" i="4"/>
  <c r="I9" i="2"/>
  <c r="I5" i="4"/>
  <c r="O6" i="3"/>
  <c r="Q7" i="3"/>
  <c r="J5" i="4"/>
  <c r="J9" i="2"/>
  <c r="Q9" i="3"/>
  <c r="AE6" i="3"/>
  <c r="Q9" i="2"/>
  <c r="AE8" i="3"/>
  <c r="M9" i="2"/>
  <c r="M6" i="4"/>
  <c r="M99" i="4"/>
  <c r="W6" i="3"/>
  <c r="AB27" i="3"/>
  <c r="AC12" i="3"/>
  <c r="P9" i="2"/>
  <c r="O9" i="2"/>
  <c r="O6" i="4"/>
  <c r="AA6" i="3"/>
  <c r="W9" i="3"/>
  <c r="O9" i="3"/>
  <c r="W8" i="3"/>
  <c r="I27" i="3"/>
  <c r="F21" i="6"/>
  <c r="F20" i="6"/>
  <c r="M27" i="3"/>
  <c r="H21" i="6"/>
  <c r="H20" i="6"/>
  <c r="K27" i="3"/>
  <c r="G21" i="6"/>
  <c r="G20" i="6"/>
  <c r="E12" i="4"/>
  <c r="E14" i="4"/>
  <c r="E18" i="4"/>
  <c r="H115" i="1"/>
  <c r="H37" i="2"/>
  <c r="H31" i="4"/>
  <c r="F95" i="1"/>
  <c r="F38" i="2"/>
  <c r="F39" i="2"/>
  <c r="H2" i="8"/>
  <c r="F165" i="1"/>
  <c r="G27" i="2"/>
  <c r="G28" i="2"/>
  <c r="D59" i="4"/>
  <c r="D17" i="6"/>
  <c r="D58" i="4"/>
  <c r="D16" i="6"/>
  <c r="D57" i="4"/>
  <c r="D15" i="6"/>
  <c r="F7" i="4"/>
  <c r="F12" i="4"/>
  <c r="H12" i="4"/>
  <c r="J34" i="4"/>
  <c r="K44" i="2"/>
  <c r="K127" i="1"/>
  <c r="K132" i="1"/>
  <c r="K43" i="2"/>
  <c r="K33" i="4"/>
  <c r="L10" i="4"/>
  <c r="L100" i="4"/>
  <c r="E91" i="1"/>
  <c r="E97" i="1"/>
  <c r="E94" i="1"/>
  <c r="H33" i="3"/>
  <c r="E42" i="2"/>
  <c r="E45" i="2"/>
  <c r="J16" i="4"/>
  <c r="Q25" i="3"/>
  <c r="J36" i="2"/>
  <c r="N16" i="4"/>
  <c r="X27" i="3"/>
  <c r="Y25" i="3"/>
  <c r="O25" i="3"/>
  <c r="I36" i="2"/>
  <c r="N27" i="3"/>
  <c r="I16" i="4"/>
  <c r="Q16" i="4"/>
  <c r="AD27" i="3"/>
  <c r="AE25" i="3"/>
  <c r="Q36" i="2"/>
  <c r="K36" i="2"/>
  <c r="R27" i="3"/>
  <c r="K16" i="4"/>
  <c r="S25" i="3"/>
  <c r="I17" i="2"/>
  <c r="M16" i="4"/>
  <c r="V27" i="3"/>
  <c r="M36" i="2"/>
  <c r="W25" i="3"/>
  <c r="O16" i="4"/>
  <c r="Z27" i="3"/>
  <c r="O36" i="2"/>
  <c r="AA25" i="3"/>
  <c r="M16" i="2"/>
  <c r="D40" i="4"/>
  <c r="D42" i="4"/>
  <c r="D63" i="4"/>
  <c r="D67" i="4"/>
  <c r="G155" i="1"/>
  <c r="G157" i="1"/>
  <c r="G89" i="1"/>
  <c r="G156" i="1"/>
  <c r="G88" i="1"/>
  <c r="G90" i="1"/>
  <c r="G159" i="1"/>
  <c r="G161" i="1"/>
  <c r="G158" i="1"/>
  <c r="G164" i="1"/>
  <c r="G162" i="1"/>
  <c r="G160" i="1"/>
  <c r="H1" i="1"/>
  <c r="H154" i="1"/>
  <c r="G163" i="1"/>
  <c r="H29" i="3"/>
  <c r="J136" i="1"/>
  <c r="J138" i="1"/>
  <c r="J48" i="2"/>
  <c r="J35" i="4"/>
  <c r="J90" i="4"/>
  <c r="E6" i="9"/>
  <c r="I4" i="9"/>
  <c r="J4" i="9"/>
  <c r="G5" i="9"/>
  <c r="U27" i="3"/>
  <c r="L21" i="6"/>
  <c r="Q27" i="3"/>
  <c r="J21" i="6"/>
  <c r="N6" i="4"/>
  <c r="N7" i="4"/>
  <c r="P10" i="4"/>
  <c r="P100" i="4"/>
  <c r="O10" i="4"/>
  <c r="O100" i="4"/>
  <c r="M7" i="4"/>
  <c r="F14" i="4"/>
  <c r="F18" i="4"/>
  <c r="H5" i="9"/>
  <c r="I5" i="9"/>
  <c r="J5" i="9"/>
  <c r="G14" i="4"/>
  <c r="G18" i="4"/>
  <c r="J6" i="4"/>
  <c r="J99" i="4"/>
  <c r="M10" i="4"/>
  <c r="M100" i="4"/>
  <c r="N10" i="4"/>
  <c r="N100" i="4"/>
  <c r="I10" i="4"/>
  <c r="I100" i="4"/>
  <c r="J10" i="4"/>
  <c r="J100" i="4"/>
  <c r="N99" i="4"/>
  <c r="H7" i="4"/>
  <c r="H14" i="4"/>
  <c r="H18" i="4"/>
  <c r="H99" i="4"/>
  <c r="H102" i="4"/>
  <c r="O7" i="4"/>
  <c r="O99" i="4"/>
  <c r="G102" i="4"/>
  <c r="F35" i="3"/>
  <c r="P6" i="4"/>
  <c r="L6" i="4"/>
  <c r="K6" i="4"/>
  <c r="I6" i="4"/>
  <c r="P20" i="6"/>
  <c r="AC27" i="3"/>
  <c r="P21" i="6"/>
  <c r="Q6" i="4"/>
  <c r="S27" i="3"/>
  <c r="K21" i="6"/>
  <c r="K20" i="6"/>
  <c r="AE27" i="3"/>
  <c r="Q21" i="6"/>
  <c r="Q20" i="6"/>
  <c r="AA27" i="3"/>
  <c r="O21" i="6"/>
  <c r="O20" i="6"/>
  <c r="W27" i="3"/>
  <c r="M21" i="6"/>
  <c r="M20" i="6"/>
  <c r="O27" i="3"/>
  <c r="I21" i="6"/>
  <c r="I20" i="6"/>
  <c r="Y27" i="3"/>
  <c r="N21" i="6"/>
  <c r="N20" i="6"/>
  <c r="H121" i="1"/>
  <c r="H118" i="1"/>
  <c r="E39" i="4"/>
  <c r="D7" i="2"/>
  <c r="D13" i="2"/>
  <c r="D77" i="12"/>
  <c r="D92" i="12"/>
  <c r="D110" i="12"/>
  <c r="J29" i="3"/>
  <c r="K29" i="3"/>
  <c r="I2" i="8"/>
  <c r="G95" i="1"/>
  <c r="G38" i="2"/>
  <c r="G39" i="2"/>
  <c r="G165" i="1"/>
  <c r="H27" i="2"/>
  <c r="E19" i="8"/>
  <c r="I33" i="3"/>
  <c r="F91" i="1"/>
  <c r="F97" i="1"/>
  <c r="D75" i="4"/>
  <c r="D74" i="4"/>
  <c r="D73" i="4"/>
  <c r="L44" i="2"/>
  <c r="K34" i="4"/>
  <c r="L127" i="1"/>
  <c r="L132" i="1"/>
  <c r="L43" i="2"/>
  <c r="L33" i="4"/>
  <c r="F42" i="2"/>
  <c r="F45" i="2"/>
  <c r="E32" i="4"/>
  <c r="E65" i="4"/>
  <c r="L11" i="4"/>
  <c r="K11" i="4"/>
  <c r="P11" i="4"/>
  <c r="O11" i="4"/>
  <c r="M11" i="4"/>
  <c r="N11" i="4"/>
  <c r="J17" i="2"/>
  <c r="Q11" i="4"/>
  <c r="I11" i="4"/>
  <c r="J11" i="4"/>
  <c r="N16" i="2"/>
  <c r="H31" i="3"/>
  <c r="H35" i="3"/>
  <c r="I29" i="3"/>
  <c r="H88" i="1"/>
  <c r="I1" i="1"/>
  <c r="I154" i="1"/>
  <c r="H156" i="1"/>
  <c r="H163" i="1"/>
  <c r="H157" i="1"/>
  <c r="H155" i="1"/>
  <c r="H159" i="1"/>
  <c r="H158" i="1"/>
  <c r="H161" i="1"/>
  <c r="H164" i="1"/>
  <c r="H162" i="1"/>
  <c r="H89" i="1"/>
  <c r="H160" i="1"/>
  <c r="K48" i="2"/>
  <c r="K35" i="4"/>
  <c r="K90" i="4"/>
  <c r="K136" i="1"/>
  <c r="K138" i="1"/>
  <c r="F6" i="9"/>
  <c r="E7" i="9"/>
  <c r="G6" i="9"/>
  <c r="H90" i="1"/>
  <c r="J7" i="4"/>
  <c r="L7" i="4"/>
  <c r="L99" i="4"/>
  <c r="J12" i="4"/>
  <c r="J101" i="4"/>
  <c r="J102" i="4"/>
  <c r="N12" i="4"/>
  <c r="N14" i="4"/>
  <c r="N18" i="4"/>
  <c r="N101" i="4"/>
  <c r="N102" i="4"/>
  <c r="K12" i="4"/>
  <c r="K101" i="4"/>
  <c r="Q12" i="4"/>
  <c r="Q101" i="4"/>
  <c r="O12" i="4"/>
  <c r="O14" i="4"/>
  <c r="O18" i="4"/>
  <c r="O101" i="4"/>
  <c r="O102" i="4"/>
  <c r="Q7" i="4"/>
  <c r="Q99" i="4"/>
  <c r="Q102" i="4"/>
  <c r="K7" i="4"/>
  <c r="K99" i="4"/>
  <c r="P12" i="4"/>
  <c r="P101" i="4"/>
  <c r="I12" i="4"/>
  <c r="I101" i="4"/>
  <c r="M12" i="4"/>
  <c r="M14" i="4"/>
  <c r="M18" i="4"/>
  <c r="M101" i="4"/>
  <c r="M102" i="4"/>
  <c r="L12" i="4"/>
  <c r="L101" i="4"/>
  <c r="I7" i="4"/>
  <c r="I99" i="4"/>
  <c r="P7" i="4"/>
  <c r="P99" i="4"/>
  <c r="L29" i="3"/>
  <c r="L31" i="3"/>
  <c r="J31" i="3"/>
  <c r="K31" i="3"/>
  <c r="I115" i="1"/>
  <c r="I37" i="2"/>
  <c r="I31" i="4"/>
  <c r="D30" i="2"/>
  <c r="D55" i="2"/>
  <c r="D5" i="6"/>
  <c r="D6" i="6"/>
  <c r="H95" i="1"/>
  <c r="H38" i="2"/>
  <c r="H39" i="2"/>
  <c r="J2" i="8"/>
  <c r="G42" i="2"/>
  <c r="G45" i="2"/>
  <c r="H165" i="1"/>
  <c r="N29" i="3"/>
  <c r="F94" i="1"/>
  <c r="J33" i="3"/>
  <c r="K33" i="3"/>
  <c r="E70" i="4"/>
  <c r="E54" i="4"/>
  <c r="M44" i="2"/>
  <c r="L34" i="4"/>
  <c r="M127" i="1"/>
  <c r="M132" i="1"/>
  <c r="M43" i="2"/>
  <c r="M33" i="4"/>
  <c r="F32" i="4"/>
  <c r="F65" i="4"/>
  <c r="E82" i="4"/>
  <c r="E96" i="1"/>
  <c r="E41" i="4"/>
  <c r="E8" i="2"/>
  <c r="H6" i="9"/>
  <c r="I6" i="9"/>
  <c r="F28" i="2"/>
  <c r="K17" i="2"/>
  <c r="O16" i="2"/>
  <c r="I31" i="3"/>
  <c r="I88" i="1"/>
  <c r="I156" i="1"/>
  <c r="I159" i="1"/>
  <c r="I162" i="1"/>
  <c r="I160" i="1"/>
  <c r="J1" i="1"/>
  <c r="J154" i="1"/>
  <c r="I158" i="1"/>
  <c r="I161" i="1"/>
  <c r="I164" i="1"/>
  <c r="I89" i="1"/>
  <c r="I157" i="1"/>
  <c r="I163" i="1"/>
  <c r="I155" i="1"/>
  <c r="G91" i="1"/>
  <c r="L136" i="1"/>
  <c r="L138" i="1"/>
  <c r="L48" i="2"/>
  <c r="L35" i="4"/>
  <c r="L90" i="4"/>
  <c r="F7" i="9"/>
  <c r="E8" i="9"/>
  <c r="G7" i="9"/>
  <c r="I90" i="1"/>
  <c r="K102" i="4"/>
  <c r="P102" i="4"/>
  <c r="I27" i="2"/>
  <c r="M29" i="3"/>
  <c r="L14" i="4"/>
  <c r="L18" i="4"/>
  <c r="I14" i="4"/>
  <c r="I18" i="4"/>
  <c r="J14" i="4"/>
  <c r="J18" i="4"/>
  <c r="I102" i="4"/>
  <c r="L102" i="4"/>
  <c r="H17" i="8"/>
  <c r="G17" i="8"/>
  <c r="E17" i="8"/>
  <c r="F17" i="8"/>
  <c r="D17" i="8"/>
  <c r="I17" i="8"/>
  <c r="I21" i="8" s="1"/>
  <c r="Q14" i="4"/>
  <c r="Q18" i="4"/>
  <c r="K14" i="4"/>
  <c r="K18" i="4"/>
  <c r="J17" i="8"/>
  <c r="P14" i="4"/>
  <c r="P18" i="4"/>
  <c r="I165" i="1"/>
  <c r="J27" i="2"/>
  <c r="F82" i="4"/>
  <c r="I121" i="1"/>
  <c r="I118" i="1"/>
  <c r="I95" i="1"/>
  <c r="I38" i="2"/>
  <c r="I39" i="2"/>
  <c r="K2" i="8"/>
  <c r="K17" i="8"/>
  <c r="J35" i="3"/>
  <c r="F70" i="4"/>
  <c r="F54" i="4"/>
  <c r="M34" i="4"/>
  <c r="N44" i="2"/>
  <c r="N127" i="1"/>
  <c r="N132" i="1"/>
  <c r="N43" i="2"/>
  <c r="N33" i="4"/>
  <c r="D131" i="1"/>
  <c r="E131" i="1"/>
  <c r="F131" i="1"/>
  <c r="G131" i="1"/>
  <c r="H131" i="1"/>
  <c r="I131" i="1"/>
  <c r="J131" i="1"/>
  <c r="K131" i="1"/>
  <c r="L131" i="1"/>
  <c r="M131" i="1"/>
  <c r="F29" i="4"/>
  <c r="J6" i="9"/>
  <c r="H7" i="9"/>
  <c r="I7" i="9"/>
  <c r="L17" i="2"/>
  <c r="P16" i="2"/>
  <c r="G32" i="4"/>
  <c r="M31" i="3"/>
  <c r="O29" i="3"/>
  <c r="N31" i="3"/>
  <c r="J155" i="1"/>
  <c r="J158" i="1"/>
  <c r="J160" i="1"/>
  <c r="J164" i="1"/>
  <c r="J161" i="1"/>
  <c r="J159" i="1"/>
  <c r="J157" i="1"/>
  <c r="J163" i="1"/>
  <c r="K1" i="1"/>
  <c r="K154" i="1"/>
  <c r="J89" i="1"/>
  <c r="J88" i="1"/>
  <c r="J156" i="1"/>
  <c r="J162" i="1"/>
  <c r="F96" i="1"/>
  <c r="F41" i="4"/>
  <c r="F8" i="2"/>
  <c r="M136" i="1"/>
  <c r="M138" i="1"/>
  <c r="M48" i="2"/>
  <c r="M35" i="4"/>
  <c r="M90" i="4"/>
  <c r="G97" i="1"/>
  <c r="H42" i="2"/>
  <c r="F8" i="9"/>
  <c r="G8" i="9"/>
  <c r="E9" i="9"/>
  <c r="J90" i="1"/>
  <c r="P29" i="3"/>
  <c r="Q29" i="3"/>
  <c r="J115" i="1"/>
  <c r="J37" i="2"/>
  <c r="J31" i="4"/>
  <c r="J95" i="1"/>
  <c r="J38" i="2"/>
  <c r="L2" i="8"/>
  <c r="L17" i="8"/>
  <c r="J165" i="1"/>
  <c r="K27" i="2"/>
  <c r="G94" i="1"/>
  <c r="L33" i="3"/>
  <c r="G54" i="4"/>
  <c r="G65" i="4"/>
  <c r="G70" i="4"/>
  <c r="J7" i="9"/>
  <c r="O44" i="2"/>
  <c r="N34" i="4"/>
  <c r="O127" i="1"/>
  <c r="O132" i="1"/>
  <c r="O43" i="2"/>
  <c r="O33" i="4"/>
  <c r="N131" i="1"/>
  <c r="H39" i="3"/>
  <c r="F22" i="6"/>
  <c r="F20" i="4"/>
  <c r="F22" i="4"/>
  <c r="F14" i="6"/>
  <c r="I35" i="3"/>
  <c r="F53" i="4"/>
  <c r="F55" i="4"/>
  <c r="F64" i="4"/>
  <c r="F69" i="4"/>
  <c r="F71" i="4"/>
  <c r="H8" i="9"/>
  <c r="I8" i="9"/>
  <c r="H28" i="2"/>
  <c r="M17" i="2"/>
  <c r="Q16" i="2"/>
  <c r="G82" i="4"/>
  <c r="O31" i="3"/>
  <c r="K161" i="1"/>
  <c r="K164" i="1"/>
  <c r="K155" i="1"/>
  <c r="K88" i="1"/>
  <c r="K159" i="1"/>
  <c r="K157" i="1"/>
  <c r="K160" i="1"/>
  <c r="K158" i="1"/>
  <c r="K89" i="1"/>
  <c r="K162" i="1"/>
  <c r="L1" i="1"/>
  <c r="L154" i="1"/>
  <c r="K163" i="1"/>
  <c r="K156" i="1"/>
  <c r="H91" i="1"/>
  <c r="H45" i="2"/>
  <c r="N136" i="1"/>
  <c r="N138" i="1"/>
  <c r="N48" i="2"/>
  <c r="N35" i="4"/>
  <c r="N90" i="4"/>
  <c r="J39" i="3"/>
  <c r="G22" i="6"/>
  <c r="G29" i="4"/>
  <c r="G9" i="9"/>
  <c r="F9" i="9"/>
  <c r="E10" i="9"/>
  <c r="K90" i="1"/>
  <c r="P31" i="3"/>
  <c r="Q31" i="3"/>
  <c r="R29" i="3"/>
  <c r="S29" i="3"/>
  <c r="J121" i="1"/>
  <c r="J118" i="1"/>
  <c r="J39" i="2"/>
  <c r="K95" i="1"/>
  <c r="K38" i="2"/>
  <c r="M2" i="8"/>
  <c r="M17" i="8"/>
  <c r="K165" i="1"/>
  <c r="L27" i="2"/>
  <c r="M33" i="3"/>
  <c r="L35" i="3"/>
  <c r="P44" i="2"/>
  <c r="O34" i="4"/>
  <c r="P127" i="1"/>
  <c r="P132" i="1"/>
  <c r="P43" i="2"/>
  <c r="P33" i="4"/>
  <c r="O131" i="1"/>
  <c r="E141" i="1"/>
  <c r="I39" i="3"/>
  <c r="F23" i="6"/>
  <c r="F27" i="4"/>
  <c r="F50" i="4"/>
  <c r="F83" i="4"/>
  <c r="F84" i="4"/>
  <c r="J8" i="9"/>
  <c r="H9" i="9"/>
  <c r="I9" i="9"/>
  <c r="N17" i="2"/>
  <c r="I28" i="2"/>
  <c r="G53" i="4"/>
  <c r="G55" i="4"/>
  <c r="G64" i="4"/>
  <c r="G69" i="4"/>
  <c r="G71" i="4"/>
  <c r="H32" i="4"/>
  <c r="L157" i="1"/>
  <c r="L160" i="1"/>
  <c r="L164" i="1"/>
  <c r="L163" i="1"/>
  <c r="L88" i="1"/>
  <c r="L90" i="1"/>
  <c r="L161" i="1"/>
  <c r="L158" i="1"/>
  <c r="L155" i="1"/>
  <c r="L159" i="1"/>
  <c r="L162" i="1"/>
  <c r="L156" i="1"/>
  <c r="L89" i="1"/>
  <c r="M1" i="1"/>
  <c r="F141" i="1"/>
  <c r="K39" i="3"/>
  <c r="G23" i="6"/>
  <c r="K35" i="3"/>
  <c r="G20" i="4"/>
  <c r="G22" i="4"/>
  <c r="G96" i="1"/>
  <c r="G41" i="4"/>
  <c r="G8" i="2"/>
  <c r="O136" i="1"/>
  <c r="O138" i="1"/>
  <c r="O48" i="2"/>
  <c r="O35" i="4"/>
  <c r="O90" i="4"/>
  <c r="H97" i="1"/>
  <c r="H94" i="1"/>
  <c r="N33" i="3"/>
  <c r="F10" i="9"/>
  <c r="G10" i="9"/>
  <c r="E11" i="9"/>
  <c r="M154" i="1"/>
  <c r="M89" i="1"/>
  <c r="R31" i="3"/>
  <c r="S31" i="3"/>
  <c r="T29" i="3"/>
  <c r="T31" i="3"/>
  <c r="K37" i="2"/>
  <c r="K31" i="4"/>
  <c r="K115" i="1"/>
  <c r="L95" i="1"/>
  <c r="L38" i="2"/>
  <c r="N2" i="8"/>
  <c r="N17" i="8"/>
  <c r="L165" i="1"/>
  <c r="V29" i="3"/>
  <c r="O33" i="3"/>
  <c r="N35" i="3"/>
  <c r="G27" i="4"/>
  <c r="G14" i="6"/>
  <c r="H54" i="4"/>
  <c r="H65" i="4"/>
  <c r="H70" i="4"/>
  <c r="F59" i="4"/>
  <c r="F58" i="4"/>
  <c r="F16" i="6"/>
  <c r="F57" i="4"/>
  <c r="F15" i="6"/>
  <c r="P34" i="4"/>
  <c r="Q44" i="2"/>
  <c r="Q34" i="4"/>
  <c r="P131" i="1"/>
  <c r="Q43" i="2"/>
  <c r="Q33" i="4"/>
  <c r="E143" i="1"/>
  <c r="H41" i="3"/>
  <c r="I42" i="2"/>
  <c r="I45" i="2"/>
  <c r="J9" i="9"/>
  <c r="H10" i="9"/>
  <c r="I10" i="9"/>
  <c r="O17" i="2"/>
  <c r="J28" i="2"/>
  <c r="H82" i="4"/>
  <c r="M161" i="1"/>
  <c r="M162" i="1"/>
  <c r="M155" i="1"/>
  <c r="M157" i="1"/>
  <c r="M158" i="1"/>
  <c r="M159" i="1"/>
  <c r="M88" i="1"/>
  <c r="M90" i="1"/>
  <c r="M164" i="1"/>
  <c r="M160" i="1"/>
  <c r="N1" i="1"/>
  <c r="N154" i="1"/>
  <c r="M156" i="1"/>
  <c r="M163" i="1"/>
  <c r="H29" i="4"/>
  <c r="L39" i="3"/>
  <c r="H22" i="6"/>
  <c r="F143" i="1"/>
  <c r="J41" i="3"/>
  <c r="I91" i="1"/>
  <c r="P136" i="1"/>
  <c r="P138" i="1"/>
  <c r="Q48" i="2"/>
  <c r="P48" i="2"/>
  <c r="P35" i="4"/>
  <c r="P90" i="4"/>
  <c r="G83" i="4"/>
  <c r="G84" i="4"/>
  <c r="G50" i="4"/>
  <c r="F11" i="9"/>
  <c r="E12" i="9"/>
  <c r="G11" i="9"/>
  <c r="M27" i="2"/>
  <c r="K39" i="2"/>
  <c r="U29" i="3"/>
  <c r="K121" i="1"/>
  <c r="K118" i="1"/>
  <c r="M95" i="1"/>
  <c r="M38" i="2"/>
  <c r="O2" i="8"/>
  <c r="O17" i="8"/>
  <c r="M165" i="1"/>
  <c r="X29" i="3"/>
  <c r="X31" i="3"/>
  <c r="G59" i="4"/>
  <c r="G17" i="6"/>
  <c r="G58" i="4"/>
  <c r="G16" i="6"/>
  <c r="G57" i="4"/>
  <c r="G15" i="6"/>
  <c r="H96" i="1"/>
  <c r="H41" i="4"/>
  <c r="H8" i="2"/>
  <c r="F17" i="6"/>
  <c r="F30" i="4"/>
  <c r="H43" i="3"/>
  <c r="J10" i="9"/>
  <c r="H11" i="9"/>
  <c r="I11" i="9"/>
  <c r="Q35" i="4"/>
  <c r="Q90" i="4"/>
  <c r="P17" i="2"/>
  <c r="K28" i="2"/>
  <c r="I32" i="4"/>
  <c r="H64" i="4"/>
  <c r="H69" i="4"/>
  <c r="H71" i="4"/>
  <c r="H53" i="4"/>
  <c r="H55" i="4"/>
  <c r="U31" i="3"/>
  <c r="V31" i="3"/>
  <c r="W29" i="3"/>
  <c r="N164" i="1"/>
  <c r="N88" i="1"/>
  <c r="N159" i="1"/>
  <c r="N160" i="1"/>
  <c r="O1" i="1"/>
  <c r="O154" i="1"/>
  <c r="N158" i="1"/>
  <c r="N156" i="1"/>
  <c r="N163" i="1"/>
  <c r="N162" i="1"/>
  <c r="N89" i="1"/>
  <c r="N161" i="1"/>
  <c r="N155" i="1"/>
  <c r="N157" i="1"/>
  <c r="G30" i="4"/>
  <c r="G37" i="4"/>
  <c r="J43" i="3"/>
  <c r="I97" i="1"/>
  <c r="I94" i="1"/>
  <c r="P33" i="3"/>
  <c r="H20" i="4"/>
  <c r="H22" i="4"/>
  <c r="M35" i="3"/>
  <c r="N39" i="3"/>
  <c r="I22" i="6"/>
  <c r="I29" i="4"/>
  <c r="E13" i="9"/>
  <c r="F12" i="9"/>
  <c r="G12" i="9"/>
  <c r="N90" i="1"/>
  <c r="J11" i="9"/>
  <c r="N27" i="2"/>
  <c r="L115" i="1"/>
  <c r="L37" i="2"/>
  <c r="N95" i="1"/>
  <c r="N38" i="2"/>
  <c r="P2" i="8"/>
  <c r="P17" i="8"/>
  <c r="N165" i="1"/>
  <c r="Q33" i="3"/>
  <c r="P35" i="3"/>
  <c r="H27" i="4"/>
  <c r="H14" i="6"/>
  <c r="I54" i="4"/>
  <c r="I65" i="4"/>
  <c r="I70" i="4"/>
  <c r="Y29" i="3"/>
  <c r="F37" i="4"/>
  <c r="F91" i="4"/>
  <c r="F93" i="4"/>
  <c r="F66" i="4"/>
  <c r="J42" i="2"/>
  <c r="J45" i="2"/>
  <c r="H12" i="9"/>
  <c r="I12" i="9"/>
  <c r="J12" i="9"/>
  <c r="L28" i="2"/>
  <c r="Q17" i="2"/>
  <c r="I53" i="4"/>
  <c r="I64" i="4"/>
  <c r="I69" i="4"/>
  <c r="I82" i="4"/>
  <c r="W31" i="3"/>
  <c r="Y31" i="3"/>
  <c r="O164" i="1"/>
  <c r="O89" i="1"/>
  <c r="O157" i="1"/>
  <c r="O155" i="1"/>
  <c r="O161" i="1"/>
  <c r="O163" i="1"/>
  <c r="O156" i="1"/>
  <c r="O159" i="1"/>
  <c r="O162" i="1"/>
  <c r="P1" i="1"/>
  <c r="P154" i="1"/>
  <c r="O158" i="1"/>
  <c r="O160" i="1"/>
  <c r="O88" i="1"/>
  <c r="O90" i="1"/>
  <c r="M39" i="3"/>
  <c r="H23" i="6"/>
  <c r="G141" i="1"/>
  <c r="G143" i="1"/>
  <c r="L41" i="3"/>
  <c r="H30" i="4"/>
  <c r="O35" i="3"/>
  <c r="I20" i="4"/>
  <c r="I22" i="4"/>
  <c r="I96" i="1"/>
  <c r="I41" i="4"/>
  <c r="I8" i="2"/>
  <c r="G91" i="4"/>
  <c r="G93" i="4"/>
  <c r="G66" i="4"/>
  <c r="H83" i="4"/>
  <c r="H84" i="4"/>
  <c r="H50" i="4"/>
  <c r="J91" i="1"/>
  <c r="E14" i="9"/>
  <c r="F13" i="9"/>
  <c r="G13" i="9"/>
  <c r="H37" i="4"/>
  <c r="Z29" i="3"/>
  <c r="AA29" i="3"/>
  <c r="L121" i="1"/>
  <c r="L118" i="1"/>
  <c r="L31" i="4"/>
  <c r="L39" i="2"/>
  <c r="O165" i="1"/>
  <c r="AB29" i="3"/>
  <c r="O95" i="1"/>
  <c r="O38" i="2"/>
  <c r="J97" i="1"/>
  <c r="K42" i="2"/>
  <c r="K45" i="2"/>
  <c r="I27" i="4"/>
  <c r="I14" i="6"/>
  <c r="H59" i="4"/>
  <c r="H17" i="6"/>
  <c r="H58" i="4"/>
  <c r="H16" i="6"/>
  <c r="H57" i="4"/>
  <c r="H15" i="6"/>
  <c r="I55" i="4"/>
  <c r="F40" i="4"/>
  <c r="F63" i="4"/>
  <c r="F67" i="4"/>
  <c r="I71" i="4"/>
  <c r="H13" i="9"/>
  <c r="I13" i="9"/>
  <c r="M28" i="2"/>
  <c r="J32" i="4"/>
  <c r="P156" i="1"/>
  <c r="P89" i="1"/>
  <c r="P158" i="1"/>
  <c r="P163" i="1"/>
  <c r="P88" i="1"/>
  <c r="P162" i="1"/>
  <c r="P160" i="1"/>
  <c r="P155" i="1"/>
  <c r="P157" i="1"/>
  <c r="P159" i="1"/>
  <c r="P164" i="1"/>
  <c r="P161" i="1"/>
  <c r="I50" i="4"/>
  <c r="I83" i="4"/>
  <c r="I84" i="4"/>
  <c r="H141" i="1"/>
  <c r="H143" i="1"/>
  <c r="N41" i="3"/>
  <c r="I30" i="4"/>
  <c r="O39" i="3"/>
  <c r="I23" i="6"/>
  <c r="H91" i="4"/>
  <c r="H93" i="4"/>
  <c r="H66" i="4"/>
  <c r="G40" i="4"/>
  <c r="G63" i="4"/>
  <c r="G67" i="4"/>
  <c r="J29" i="4"/>
  <c r="P39" i="3"/>
  <c r="J22" i="6"/>
  <c r="L43" i="3"/>
  <c r="E15" i="9"/>
  <c r="F14" i="9"/>
  <c r="G14" i="9"/>
  <c r="P90" i="1"/>
  <c r="K91" i="1"/>
  <c r="K97" i="1"/>
  <c r="K94" i="1"/>
  <c r="T33" i="3"/>
  <c r="Z31" i="3"/>
  <c r="AA31" i="3"/>
  <c r="M115" i="1"/>
  <c r="M37" i="2"/>
  <c r="P165" i="1"/>
  <c r="AD29" i="3"/>
  <c r="J94" i="1"/>
  <c r="R33" i="3"/>
  <c r="R35" i="3"/>
  <c r="P95" i="1"/>
  <c r="P38" i="2"/>
  <c r="I37" i="4"/>
  <c r="J54" i="4"/>
  <c r="J65" i="4"/>
  <c r="J70" i="4"/>
  <c r="G75" i="4"/>
  <c r="G73" i="4"/>
  <c r="G74" i="4"/>
  <c r="F74" i="4"/>
  <c r="F75" i="4"/>
  <c r="F73" i="4"/>
  <c r="I59" i="4"/>
  <c r="I17" i="6"/>
  <c r="I58" i="4"/>
  <c r="I16" i="6"/>
  <c r="I57" i="4"/>
  <c r="I15" i="6"/>
  <c r="J13" i="9"/>
  <c r="H14" i="9"/>
  <c r="I14" i="9"/>
  <c r="N28" i="2"/>
  <c r="J64" i="4"/>
  <c r="J69" i="4"/>
  <c r="J53" i="4"/>
  <c r="K32" i="4"/>
  <c r="J82" i="4"/>
  <c r="AC29" i="3"/>
  <c r="AB31" i="3"/>
  <c r="Q39" i="3"/>
  <c r="J23" i="6"/>
  <c r="I141" i="1"/>
  <c r="Q35" i="3"/>
  <c r="J20" i="4"/>
  <c r="J22" i="4"/>
  <c r="H40" i="4"/>
  <c r="H63" i="4"/>
  <c r="H67" i="4"/>
  <c r="I91" i="4"/>
  <c r="I93" i="4"/>
  <c r="I66" i="4"/>
  <c r="N43" i="3"/>
  <c r="F15" i="9"/>
  <c r="E16" i="9"/>
  <c r="G15" i="9"/>
  <c r="J96" i="1"/>
  <c r="J41" i="4"/>
  <c r="J8" i="2"/>
  <c r="J55" i="4"/>
  <c r="Q27" i="2"/>
  <c r="M121" i="1"/>
  <c r="M118" i="1"/>
  <c r="S33" i="3"/>
  <c r="M31" i="4"/>
  <c r="M39" i="2"/>
  <c r="U33" i="3"/>
  <c r="T35" i="3"/>
  <c r="J27" i="4"/>
  <c r="J14" i="6"/>
  <c r="K54" i="4"/>
  <c r="K65" i="4"/>
  <c r="K70" i="4"/>
  <c r="H74" i="4"/>
  <c r="H75" i="4"/>
  <c r="H73" i="4"/>
  <c r="J14" i="9"/>
  <c r="L42" i="2"/>
  <c r="L45" i="2"/>
  <c r="J71" i="4"/>
  <c r="K82" i="4"/>
  <c r="AC31" i="3"/>
  <c r="H15" i="9"/>
  <c r="I15" i="9"/>
  <c r="AD31" i="3"/>
  <c r="AE29" i="3"/>
  <c r="L91" i="1"/>
  <c r="I40" i="4"/>
  <c r="I63" i="4"/>
  <c r="I67" i="4"/>
  <c r="J50" i="4"/>
  <c r="J83" i="4"/>
  <c r="J84" i="4"/>
  <c r="K96" i="1"/>
  <c r="R39" i="3"/>
  <c r="K22" i="6"/>
  <c r="K29" i="4"/>
  <c r="I143" i="1"/>
  <c r="P41" i="3"/>
  <c r="F16" i="9"/>
  <c r="E17" i="9"/>
  <c r="G16" i="9"/>
  <c r="J15" i="9"/>
  <c r="K41" i="4"/>
  <c r="K8" i="2"/>
  <c r="N115" i="1"/>
  <c r="N37" i="2"/>
  <c r="L97" i="1"/>
  <c r="M42" i="2"/>
  <c r="M45" i="2"/>
  <c r="I75" i="4"/>
  <c r="I73" i="4"/>
  <c r="I74" i="4"/>
  <c r="J59" i="4"/>
  <c r="J17" i="6"/>
  <c r="J58" i="4"/>
  <c r="J16" i="6"/>
  <c r="J57" i="4"/>
  <c r="J15" i="6"/>
  <c r="H16" i="9"/>
  <c r="I16" i="9"/>
  <c r="Q28" i="2"/>
  <c r="K53" i="4"/>
  <c r="K55" i="4"/>
  <c r="K64" i="4"/>
  <c r="K69" i="4"/>
  <c r="K71" i="4"/>
  <c r="L32" i="4"/>
  <c r="AE31" i="3"/>
  <c r="S35" i="3"/>
  <c r="K20" i="4"/>
  <c r="K22" i="4"/>
  <c r="L29" i="4"/>
  <c r="T39" i="3"/>
  <c r="L22" i="6"/>
  <c r="P43" i="3"/>
  <c r="J30" i="4"/>
  <c r="J37" i="4"/>
  <c r="S39" i="3"/>
  <c r="K23" i="6"/>
  <c r="J141" i="1"/>
  <c r="J143" i="1"/>
  <c r="R41" i="3"/>
  <c r="K30" i="4"/>
  <c r="E18" i="9"/>
  <c r="F17" i="9"/>
  <c r="G17" i="9"/>
  <c r="M91" i="1"/>
  <c r="M97" i="1"/>
  <c r="M94" i="1"/>
  <c r="X33" i="3"/>
  <c r="J16" i="9"/>
  <c r="H17" i="9"/>
  <c r="I17" i="9"/>
  <c r="L94" i="1"/>
  <c r="V33" i="3"/>
  <c r="V35" i="3"/>
  <c r="N121" i="1"/>
  <c r="N118" i="1"/>
  <c r="N31" i="4"/>
  <c r="N39" i="2"/>
  <c r="K27" i="4"/>
  <c r="K37" i="4"/>
  <c r="K40" i="4"/>
  <c r="K14" i="6"/>
  <c r="L54" i="4"/>
  <c r="L65" i="4"/>
  <c r="L70" i="4"/>
  <c r="M32" i="4"/>
  <c r="L64" i="4"/>
  <c r="L69" i="4"/>
  <c r="L53" i="4"/>
  <c r="L82" i="4"/>
  <c r="R43" i="3"/>
  <c r="K83" i="4"/>
  <c r="K84" i="4"/>
  <c r="K50" i="4"/>
  <c r="K91" i="4"/>
  <c r="K93" i="4"/>
  <c r="K66" i="4"/>
  <c r="J66" i="4"/>
  <c r="J91" i="4"/>
  <c r="J93" i="4"/>
  <c r="U35" i="3"/>
  <c r="L20" i="4"/>
  <c r="L22" i="4"/>
  <c r="E19" i="9"/>
  <c r="G18" i="9"/>
  <c r="F18" i="9"/>
  <c r="W33" i="3"/>
  <c r="L96" i="1"/>
  <c r="L41" i="4"/>
  <c r="L8" i="2"/>
  <c r="J17" i="9"/>
  <c r="H18" i="9"/>
  <c r="I18" i="9"/>
  <c r="O37" i="2"/>
  <c r="O115" i="1"/>
  <c r="Y33" i="3"/>
  <c r="X35" i="3"/>
  <c r="L27" i="4"/>
  <c r="L14" i="6"/>
  <c r="M54" i="4"/>
  <c r="M65" i="4"/>
  <c r="M70" i="4"/>
  <c r="K59" i="4"/>
  <c r="K17" i="6"/>
  <c r="K58" i="4"/>
  <c r="K16" i="6"/>
  <c r="K57" i="4"/>
  <c r="K15" i="6"/>
  <c r="N42" i="2"/>
  <c r="N45" i="2"/>
  <c r="L71" i="4"/>
  <c r="L55" i="4"/>
  <c r="M82" i="4"/>
  <c r="K63" i="4"/>
  <c r="K67" i="4"/>
  <c r="J63" i="4"/>
  <c r="J67" i="4"/>
  <c r="J40" i="4"/>
  <c r="M29" i="4"/>
  <c r="V39" i="3"/>
  <c r="M22" i="6"/>
  <c r="M96" i="1"/>
  <c r="L83" i="4"/>
  <c r="L84" i="4"/>
  <c r="L50" i="4"/>
  <c r="U39" i="3"/>
  <c r="L23" i="6"/>
  <c r="K141" i="1"/>
  <c r="K143" i="1"/>
  <c r="T41" i="3"/>
  <c r="L30" i="4"/>
  <c r="N91" i="1"/>
  <c r="E20" i="9"/>
  <c r="G19" i="9"/>
  <c r="F19" i="9"/>
  <c r="J18" i="9"/>
  <c r="L37" i="4"/>
  <c r="M41" i="4"/>
  <c r="M8" i="2"/>
  <c r="O31" i="4"/>
  <c r="O39" i="2"/>
  <c r="O121" i="1"/>
  <c r="O118" i="1"/>
  <c r="J74" i="4"/>
  <c r="J75" i="4"/>
  <c r="J73" i="4"/>
  <c r="K75" i="4"/>
  <c r="K73" i="4"/>
  <c r="K74" i="4"/>
  <c r="L59" i="4"/>
  <c r="L17" i="6"/>
  <c r="L58" i="4"/>
  <c r="L16" i="6"/>
  <c r="L57" i="4"/>
  <c r="L15" i="6"/>
  <c r="H19" i="9"/>
  <c r="I19" i="9"/>
  <c r="M53" i="4"/>
  <c r="M55" i="4"/>
  <c r="M64" i="4"/>
  <c r="M69" i="4"/>
  <c r="M71" i="4"/>
  <c r="N32" i="4"/>
  <c r="T43" i="3"/>
  <c r="L91" i="4"/>
  <c r="L93" i="4"/>
  <c r="L66" i="4"/>
  <c r="N29" i="4"/>
  <c r="X39" i="3"/>
  <c r="N22" i="6"/>
  <c r="M20" i="4"/>
  <c r="M22" i="4"/>
  <c r="W35" i="3"/>
  <c r="N97" i="1"/>
  <c r="L141" i="1"/>
  <c r="L143" i="1"/>
  <c r="V41" i="3"/>
  <c r="M30" i="4"/>
  <c r="W39" i="3"/>
  <c r="M23" i="6"/>
  <c r="E21" i="9"/>
  <c r="G20" i="9"/>
  <c r="F20" i="9"/>
  <c r="N94" i="1"/>
  <c r="Z33" i="3"/>
  <c r="Z35" i="3"/>
  <c r="O91" i="1"/>
  <c r="J19" i="9"/>
  <c r="P115" i="1"/>
  <c r="P37" i="2"/>
  <c r="AA33" i="3"/>
  <c r="M27" i="4"/>
  <c r="M37" i="4"/>
  <c r="M14" i="6"/>
  <c r="N54" i="4"/>
  <c r="N65" i="4"/>
  <c r="N70" i="4"/>
  <c r="H20" i="9"/>
  <c r="I20" i="9"/>
  <c r="O42" i="2"/>
  <c r="O45" i="2"/>
  <c r="N64" i="4"/>
  <c r="N69" i="4"/>
  <c r="N53" i="4"/>
  <c r="N82" i="4"/>
  <c r="V43" i="3"/>
  <c r="Y35" i="3"/>
  <c r="N20" i="4"/>
  <c r="N22" i="4"/>
  <c r="L63" i="4"/>
  <c r="L67" i="4"/>
  <c r="L40" i="4"/>
  <c r="M50" i="4"/>
  <c r="M83" i="4"/>
  <c r="M84" i="4"/>
  <c r="E22" i="9"/>
  <c r="F21" i="9"/>
  <c r="G21" i="9"/>
  <c r="M91" i="4"/>
  <c r="M93" i="4"/>
  <c r="M66" i="4"/>
  <c r="J20" i="9"/>
  <c r="P121" i="1"/>
  <c r="Q37" i="2"/>
  <c r="P31" i="4"/>
  <c r="P39" i="2"/>
  <c r="N27" i="4"/>
  <c r="N14" i="6"/>
  <c r="L74" i="4"/>
  <c r="L75" i="4"/>
  <c r="L73" i="4"/>
  <c r="M59" i="4"/>
  <c r="M17" i="6"/>
  <c r="M58" i="4"/>
  <c r="M16" i="6"/>
  <c r="M57" i="4"/>
  <c r="M15" i="6"/>
  <c r="H21" i="9"/>
  <c r="I21" i="9"/>
  <c r="N96" i="1"/>
  <c r="N41" i="4"/>
  <c r="N8" i="2"/>
  <c r="N71" i="4"/>
  <c r="N55" i="4"/>
  <c r="O32" i="4"/>
  <c r="O29" i="4"/>
  <c r="O22" i="6"/>
  <c r="N83" i="4"/>
  <c r="N84" i="4"/>
  <c r="N50" i="4"/>
  <c r="O97" i="1"/>
  <c r="O94" i="1"/>
  <c r="AB33" i="3"/>
  <c r="M141" i="1"/>
  <c r="Y39" i="3"/>
  <c r="N23" i="6"/>
  <c r="M63" i="4"/>
  <c r="M67" i="4"/>
  <c r="M40" i="4"/>
  <c r="E23" i="9"/>
  <c r="G22" i="9"/>
  <c r="F22" i="9"/>
  <c r="J21" i="9"/>
  <c r="H22" i="9"/>
  <c r="I22" i="9"/>
  <c r="P118" i="1"/>
  <c r="Q31" i="4"/>
  <c r="Q39" i="2"/>
  <c r="AC33" i="3"/>
  <c r="AB35" i="3"/>
  <c r="O54" i="4"/>
  <c r="O65" i="4"/>
  <c r="O70" i="4"/>
  <c r="M75" i="4"/>
  <c r="M73" i="4"/>
  <c r="M74" i="4"/>
  <c r="N59" i="4"/>
  <c r="N17" i="6"/>
  <c r="N58" i="4"/>
  <c r="N16" i="6"/>
  <c r="N57" i="4"/>
  <c r="N15" i="6"/>
  <c r="P42" i="2"/>
  <c r="P45" i="2"/>
  <c r="O53" i="4"/>
  <c r="O64" i="4"/>
  <c r="O69" i="4"/>
  <c r="O82" i="4"/>
  <c r="M143" i="1"/>
  <c r="X41" i="3"/>
  <c r="O96" i="1"/>
  <c r="O41" i="4"/>
  <c r="O8" i="2"/>
  <c r="N141" i="1"/>
  <c r="N143" i="1" s="1"/>
  <c r="Z41" i="3" s="1"/>
  <c r="AA39" i="3"/>
  <c r="O23" i="6" s="1"/>
  <c r="O20" i="4"/>
  <c r="O22" i="4"/>
  <c r="AA35" i="3"/>
  <c r="P91" i="1"/>
  <c r="E24" i="9"/>
  <c r="F23" i="9"/>
  <c r="G23" i="9"/>
  <c r="J22" i="9"/>
  <c r="H23" i="9"/>
  <c r="I23" i="9"/>
  <c r="P97" i="1"/>
  <c r="P94" i="1"/>
  <c r="AD33" i="3"/>
  <c r="O71" i="4"/>
  <c r="O27" i="4"/>
  <c r="O14" i="6"/>
  <c r="O55" i="4"/>
  <c r="P32" i="4"/>
  <c r="N30" i="4"/>
  <c r="N37" i="4"/>
  <c r="X43" i="3"/>
  <c r="O50" i="4"/>
  <c r="O83" i="4"/>
  <c r="O84" i="4"/>
  <c r="P29" i="4"/>
  <c r="AB39" i="3"/>
  <c r="P22" i="6"/>
  <c r="E25" i="9"/>
  <c r="G24" i="9"/>
  <c r="F24" i="9"/>
  <c r="Q42" i="2"/>
  <c r="Q45" i="2"/>
  <c r="J23" i="9"/>
  <c r="AE33" i="3"/>
  <c r="AD35" i="3"/>
  <c r="AD39" i="3"/>
  <c r="Q22" i="6"/>
  <c r="P96" i="1"/>
  <c r="P41" i="4"/>
  <c r="Q41" i="4"/>
  <c r="P54" i="4"/>
  <c r="P65" i="4"/>
  <c r="P70" i="4"/>
  <c r="O59" i="4"/>
  <c r="O17" i="6"/>
  <c r="O58" i="4"/>
  <c r="O16" i="6"/>
  <c r="O57" i="4"/>
  <c r="O15" i="6"/>
  <c r="H24" i="9"/>
  <c r="I24" i="9"/>
  <c r="P82" i="4"/>
  <c r="P64" i="4"/>
  <c r="P69" i="4"/>
  <c r="P53" i="4"/>
  <c r="O141" i="1"/>
  <c r="O143" i="1"/>
  <c r="AB41" i="3"/>
  <c r="P30" i="4"/>
  <c r="AC39" i="3"/>
  <c r="P23" i="6"/>
  <c r="P20" i="4"/>
  <c r="P22" i="4"/>
  <c r="AC35" i="3"/>
  <c r="N91" i="4"/>
  <c r="N93" i="4"/>
  <c r="N66" i="4"/>
  <c r="E26" i="9"/>
  <c r="G25" i="9"/>
  <c r="F25" i="9"/>
  <c r="Q29" i="4"/>
  <c r="Q32" i="4"/>
  <c r="Q54" i="4"/>
  <c r="P8" i="2"/>
  <c r="Q8" i="2"/>
  <c r="N18" i="8"/>
  <c r="N21" i="8" s="1"/>
  <c r="P27" i="4"/>
  <c r="P37" i="4"/>
  <c r="P14" i="6"/>
  <c r="P71" i="4"/>
  <c r="J24" i="9"/>
  <c r="H25" i="9"/>
  <c r="I25" i="9"/>
  <c r="P55" i="4"/>
  <c r="AB43" i="3"/>
  <c r="Q53" i="4"/>
  <c r="Q64" i="4"/>
  <c r="Q69" i="4"/>
  <c r="N63" i="4"/>
  <c r="N67" i="4"/>
  <c r="N40" i="4"/>
  <c r="P50" i="4"/>
  <c r="P83" i="4"/>
  <c r="P84" i="4"/>
  <c r="P91" i="4"/>
  <c r="P93" i="4"/>
  <c r="P66" i="4"/>
  <c r="AE39" i="3"/>
  <c r="Q23" i="6"/>
  <c r="P141" i="1"/>
  <c r="P143" i="1"/>
  <c r="AD41" i="3"/>
  <c r="Q30" i="4"/>
  <c r="Q20" i="4"/>
  <c r="Q22" i="4"/>
  <c r="AE35" i="3"/>
  <c r="E27" i="9"/>
  <c r="G26" i="9"/>
  <c r="F26" i="9"/>
  <c r="Q82" i="4"/>
  <c r="Q55" i="4"/>
  <c r="Q65" i="4"/>
  <c r="Q70" i="4"/>
  <c r="Q71" i="4"/>
  <c r="K18" i="8"/>
  <c r="P18" i="8"/>
  <c r="D18" i="8"/>
  <c r="E18" i="8"/>
  <c r="F18" i="8"/>
  <c r="F21" i="8" s="1"/>
  <c r="H18" i="8"/>
  <c r="G18" i="8"/>
  <c r="I18" i="8"/>
  <c r="J18" i="8"/>
  <c r="L18" i="8"/>
  <c r="L21" i="8" s="1"/>
  <c r="M18" i="8"/>
  <c r="M21" i="8" s="1"/>
  <c r="O18" i="8"/>
  <c r="O21" i="8" s="1"/>
  <c r="Q27" i="4"/>
  <c r="Q37" i="4"/>
  <c r="Q14" i="6"/>
  <c r="N74" i="4"/>
  <c r="N75" i="4"/>
  <c r="N73" i="4"/>
  <c r="P59" i="4"/>
  <c r="P17" i="6"/>
  <c r="P58" i="4"/>
  <c r="P16" i="6"/>
  <c r="P57" i="4"/>
  <c r="P15" i="6"/>
  <c r="J25" i="9"/>
  <c r="H26" i="9"/>
  <c r="I26" i="9"/>
  <c r="E28" i="9"/>
  <c r="F27" i="9"/>
  <c r="G27" i="9"/>
  <c r="Q50" i="4"/>
  <c r="Q83" i="4"/>
  <c r="Q84" i="4"/>
  <c r="AD43" i="3"/>
  <c r="Q66" i="4"/>
  <c r="Q91" i="4"/>
  <c r="Q93" i="4"/>
  <c r="P63" i="4"/>
  <c r="P67" i="4"/>
  <c r="P40" i="4"/>
  <c r="J26" i="9"/>
  <c r="H27" i="9"/>
  <c r="I27" i="9"/>
  <c r="P74" i="4"/>
  <c r="P75" i="4"/>
  <c r="P73" i="4"/>
  <c r="Q59" i="4"/>
  <c r="Q17" i="6"/>
  <c r="Q58" i="4"/>
  <c r="Q16" i="6"/>
  <c r="Q57" i="4"/>
  <c r="Q15" i="6"/>
  <c r="Q63" i="4"/>
  <c r="Q67" i="4"/>
  <c r="Q40" i="4"/>
  <c r="E29" i="9"/>
  <c r="F28" i="9"/>
  <c r="G28" i="9"/>
  <c r="J27" i="9"/>
  <c r="H28" i="9"/>
  <c r="I28" i="9"/>
  <c r="Q75" i="4"/>
  <c r="Q73" i="4"/>
  <c r="Q74" i="4"/>
  <c r="E30" i="9"/>
  <c r="G29" i="9"/>
  <c r="F29" i="9"/>
  <c r="J28" i="9"/>
  <c r="H29" i="9"/>
  <c r="I29" i="9"/>
  <c r="E31" i="9"/>
  <c r="G30" i="9"/>
  <c r="F30" i="9"/>
  <c r="J29" i="9"/>
  <c r="H30" i="9"/>
  <c r="I30" i="9"/>
  <c r="E32" i="9"/>
  <c r="G31" i="9"/>
  <c r="F31" i="9"/>
  <c r="J30" i="9"/>
  <c r="H31" i="9"/>
  <c r="I31" i="9"/>
  <c r="E33" i="9"/>
  <c r="G32" i="9"/>
  <c r="F32" i="9"/>
  <c r="J31" i="9"/>
  <c r="H32" i="9"/>
  <c r="I32" i="9"/>
  <c r="G33" i="9"/>
  <c r="E34" i="9"/>
  <c r="F33" i="9"/>
  <c r="J32" i="9"/>
  <c r="H33" i="9"/>
  <c r="I33" i="9"/>
  <c r="F34" i="9"/>
  <c r="E35" i="9"/>
  <c r="G34" i="9"/>
  <c r="J33" i="9"/>
  <c r="H34" i="9"/>
  <c r="I34" i="9"/>
  <c r="F35" i="9"/>
  <c r="G35" i="9"/>
  <c r="E36" i="9"/>
  <c r="J34" i="9"/>
  <c r="H35" i="9"/>
  <c r="I35" i="9"/>
  <c r="E37" i="9"/>
  <c r="G36" i="9"/>
  <c r="F36" i="9"/>
  <c r="J35" i="9"/>
  <c r="H36" i="9"/>
  <c r="I36" i="9"/>
  <c r="G37" i="9"/>
  <c r="E38" i="9"/>
  <c r="F37" i="9"/>
  <c r="J36" i="9"/>
  <c r="H37" i="9"/>
  <c r="I37" i="9"/>
  <c r="F38" i="9"/>
  <c r="G38" i="9"/>
  <c r="E39" i="9"/>
  <c r="J37" i="9"/>
  <c r="H38" i="9"/>
  <c r="I38" i="9"/>
  <c r="F39" i="9"/>
  <c r="E40" i="9"/>
  <c r="G39" i="9"/>
  <c r="J38" i="9"/>
  <c r="H39" i="9"/>
  <c r="I39" i="9"/>
  <c r="E41" i="9"/>
  <c r="G40" i="9"/>
  <c r="F40" i="9"/>
  <c r="J39" i="9"/>
  <c r="H40" i="9"/>
  <c r="I40" i="9"/>
  <c r="G41" i="9"/>
  <c r="E42" i="9"/>
  <c r="F41" i="9"/>
  <c r="J40" i="9"/>
  <c r="H41" i="9"/>
  <c r="I41" i="9"/>
  <c r="E43" i="9"/>
  <c r="G42" i="9"/>
  <c r="F42" i="9"/>
  <c r="J41" i="9"/>
  <c r="H42" i="9"/>
  <c r="I42" i="9"/>
  <c r="J42" i="9"/>
  <c r="H43" i="9"/>
  <c r="G43" i="9"/>
  <c r="E44" i="9"/>
  <c r="F43" i="9"/>
  <c r="I43" i="9"/>
  <c r="J43" i="9"/>
  <c r="E45" i="9"/>
  <c r="F44" i="9"/>
  <c r="G44" i="9"/>
  <c r="H44" i="9"/>
  <c r="I44" i="9"/>
  <c r="J44" i="9"/>
  <c r="G45" i="9"/>
  <c r="E46" i="9"/>
  <c r="F45" i="9"/>
  <c r="H45" i="9"/>
  <c r="I45" i="9"/>
  <c r="J45" i="9"/>
  <c r="H46" i="9"/>
  <c r="E47" i="9"/>
  <c r="F46" i="9"/>
  <c r="G46" i="9"/>
  <c r="I46" i="9"/>
  <c r="J46" i="9"/>
  <c r="G47" i="9"/>
  <c r="E48" i="9"/>
  <c r="F47" i="9"/>
  <c r="H47" i="9"/>
  <c r="I47" i="9"/>
  <c r="J47" i="9"/>
  <c r="H48" i="9"/>
  <c r="E49" i="9"/>
  <c r="G48" i="9"/>
  <c r="F48" i="9"/>
  <c r="I48" i="9"/>
  <c r="J48" i="9"/>
  <c r="G49" i="9"/>
  <c r="E50" i="9"/>
  <c r="F49" i="9"/>
  <c r="H49" i="9"/>
  <c r="I49" i="9"/>
  <c r="J49" i="9"/>
  <c r="H50" i="9"/>
  <c r="E51" i="9"/>
  <c r="F50" i="9"/>
  <c r="G50" i="9"/>
  <c r="I50" i="9"/>
  <c r="J50" i="9"/>
  <c r="H51" i="9"/>
  <c r="F51" i="9"/>
  <c r="E52" i="9"/>
  <c r="G51" i="9"/>
  <c r="I51" i="9"/>
  <c r="J51" i="9"/>
  <c r="H52" i="9"/>
  <c r="G52" i="9"/>
  <c r="E53" i="9"/>
  <c r="F52" i="9"/>
  <c r="I52" i="9"/>
  <c r="J52" i="9"/>
  <c r="H53" i="9"/>
  <c r="F53" i="9"/>
  <c r="E54" i="9"/>
  <c r="G53" i="9"/>
  <c r="I53" i="9"/>
  <c r="J53" i="9"/>
  <c r="F54" i="9"/>
  <c r="G54" i="9"/>
  <c r="E55" i="9"/>
  <c r="H54" i="9"/>
  <c r="I54" i="9"/>
  <c r="J54" i="9"/>
  <c r="H55" i="9"/>
  <c r="F55" i="9"/>
  <c r="E56" i="9"/>
  <c r="G55" i="9"/>
  <c r="I55" i="9"/>
  <c r="J55" i="9"/>
  <c r="G56" i="9"/>
  <c r="F56" i="9"/>
  <c r="E57" i="9"/>
  <c r="H56" i="9"/>
  <c r="I56" i="9"/>
  <c r="J56" i="9"/>
  <c r="H57" i="9"/>
  <c r="F57" i="9"/>
  <c r="E58" i="9"/>
  <c r="G57" i="9"/>
  <c r="I57" i="9"/>
  <c r="J57" i="9"/>
  <c r="H58" i="9"/>
  <c r="F58" i="9"/>
  <c r="E59" i="9"/>
  <c r="G58" i="9"/>
  <c r="I58" i="9"/>
  <c r="J58" i="9"/>
  <c r="H59" i="9"/>
  <c r="F59" i="9"/>
  <c r="E60" i="9"/>
  <c r="G59" i="9"/>
  <c r="I59" i="9"/>
  <c r="J59" i="9"/>
  <c r="H60" i="9"/>
  <c r="G60" i="9"/>
  <c r="E61" i="9"/>
  <c r="F60" i="9"/>
  <c r="I60" i="9"/>
  <c r="J60" i="9"/>
  <c r="H61" i="9"/>
  <c r="F61" i="9"/>
  <c r="E62" i="9"/>
  <c r="G61" i="9"/>
  <c r="I61" i="9"/>
  <c r="J61" i="9"/>
  <c r="F62" i="9"/>
  <c r="G62" i="9"/>
  <c r="E63" i="9"/>
  <c r="H62" i="9"/>
  <c r="I62" i="9"/>
  <c r="J62" i="9"/>
  <c r="F63" i="9"/>
  <c r="H63" i="9"/>
  <c r="E64" i="9"/>
  <c r="G63" i="9"/>
  <c r="I63" i="9"/>
  <c r="J63" i="9"/>
  <c r="G64" i="9"/>
  <c r="F64" i="9"/>
  <c r="E65" i="9"/>
  <c r="H64" i="9"/>
  <c r="I64" i="9"/>
  <c r="J64" i="9"/>
  <c r="H65" i="9"/>
  <c r="F65" i="9"/>
  <c r="E66" i="9"/>
  <c r="G65" i="9"/>
  <c r="I65" i="9"/>
  <c r="J65" i="9"/>
  <c r="H66" i="9"/>
  <c r="F66" i="9"/>
  <c r="E67" i="9"/>
  <c r="G66" i="9"/>
  <c r="I66" i="9"/>
  <c r="J66" i="9"/>
  <c r="F67" i="9"/>
  <c r="H67" i="9"/>
  <c r="E68" i="9"/>
  <c r="G67" i="9"/>
  <c r="I67" i="9"/>
  <c r="J67" i="9"/>
  <c r="H68" i="9"/>
  <c r="G68" i="9"/>
  <c r="E69" i="9"/>
  <c r="F68" i="9"/>
  <c r="I68" i="9"/>
  <c r="J68" i="9"/>
  <c r="H69" i="9"/>
  <c r="F69" i="9"/>
  <c r="E70" i="9"/>
  <c r="G69" i="9"/>
  <c r="I69" i="9"/>
  <c r="J69" i="9"/>
  <c r="F70" i="9"/>
  <c r="G70" i="9"/>
  <c r="E71" i="9"/>
  <c r="H70" i="9"/>
  <c r="I70" i="9"/>
  <c r="J70" i="9"/>
  <c r="F71" i="9"/>
  <c r="E72" i="9"/>
  <c r="G71" i="9"/>
  <c r="H71" i="9"/>
  <c r="I71" i="9"/>
  <c r="J71" i="9"/>
  <c r="H72" i="9"/>
  <c r="E73" i="9"/>
  <c r="G72" i="9"/>
  <c r="F72" i="9"/>
  <c r="I72" i="9"/>
  <c r="J72" i="9"/>
  <c r="G73" i="9"/>
  <c r="E74" i="9"/>
  <c r="F73" i="9"/>
  <c r="H73" i="9"/>
  <c r="I73" i="9"/>
  <c r="J73" i="9"/>
  <c r="E75" i="9"/>
  <c r="G74" i="9"/>
  <c r="F74" i="9"/>
  <c r="H74" i="9"/>
  <c r="I74" i="9"/>
  <c r="J74" i="9"/>
  <c r="H75" i="9"/>
  <c r="G75" i="9"/>
  <c r="E76" i="9"/>
  <c r="F75" i="9"/>
  <c r="I75" i="9"/>
  <c r="J75" i="9"/>
  <c r="E77" i="9"/>
  <c r="F76" i="9"/>
  <c r="G76" i="9"/>
  <c r="H76" i="9"/>
  <c r="I76" i="9"/>
  <c r="J76" i="9"/>
  <c r="H77" i="9"/>
  <c r="G77" i="9"/>
  <c r="E78" i="9"/>
  <c r="F77" i="9"/>
  <c r="I77" i="9"/>
  <c r="J77" i="9"/>
  <c r="H78" i="9"/>
  <c r="E79" i="9"/>
  <c r="F78" i="9"/>
  <c r="G78" i="9"/>
  <c r="I78" i="9"/>
  <c r="J78" i="9"/>
  <c r="G79" i="9"/>
  <c r="E80" i="9"/>
  <c r="F79" i="9"/>
  <c r="H79" i="9"/>
  <c r="I79" i="9"/>
  <c r="J79" i="9"/>
  <c r="E81" i="9"/>
  <c r="H80" i="9"/>
  <c r="G80" i="9"/>
  <c r="F80" i="9"/>
  <c r="I80" i="9"/>
  <c r="J80" i="9"/>
  <c r="G81" i="9"/>
  <c r="E82" i="9"/>
  <c r="F81" i="9"/>
  <c r="H81" i="9"/>
  <c r="I81" i="9"/>
  <c r="J81" i="9"/>
  <c r="E83" i="9"/>
  <c r="G82" i="9"/>
  <c r="F82" i="9"/>
  <c r="H82" i="9"/>
  <c r="I82" i="9"/>
  <c r="J82" i="9"/>
  <c r="H83" i="9"/>
  <c r="G83" i="9"/>
  <c r="F83" i="9"/>
  <c r="E84" i="9"/>
  <c r="I83" i="9"/>
  <c r="J83" i="9"/>
  <c r="E85" i="9"/>
  <c r="F84" i="9"/>
  <c r="G84" i="9"/>
  <c r="H84" i="9"/>
  <c r="I84" i="9"/>
  <c r="J84" i="9"/>
  <c r="G85" i="9"/>
  <c r="E86" i="9"/>
  <c r="F85" i="9"/>
  <c r="H85" i="9"/>
  <c r="I85" i="9"/>
  <c r="J85" i="9"/>
  <c r="H86" i="9"/>
  <c r="E87" i="9"/>
  <c r="F86" i="9"/>
  <c r="G86" i="9"/>
  <c r="I86" i="9"/>
  <c r="J86" i="9"/>
  <c r="H87" i="9"/>
  <c r="G87" i="9"/>
  <c r="E88" i="9"/>
  <c r="F87" i="9"/>
  <c r="I87" i="9"/>
  <c r="J87" i="9"/>
  <c r="H88" i="9"/>
  <c r="E89" i="9"/>
  <c r="G88" i="9"/>
  <c r="F88" i="9"/>
  <c r="I88" i="9"/>
  <c r="J88" i="9"/>
  <c r="G89" i="9"/>
  <c r="E90" i="9"/>
  <c r="F89" i="9"/>
  <c r="H89" i="9"/>
  <c r="I89" i="9"/>
  <c r="J89" i="9"/>
  <c r="E91" i="9"/>
  <c r="G90" i="9"/>
  <c r="F90" i="9"/>
  <c r="H90" i="9"/>
  <c r="I90" i="9"/>
  <c r="J90" i="9"/>
  <c r="G91" i="9"/>
  <c r="H91" i="9"/>
  <c r="F91" i="9"/>
  <c r="E92" i="9"/>
  <c r="I91" i="9"/>
  <c r="J91" i="9"/>
  <c r="E93" i="9"/>
  <c r="F92" i="9"/>
  <c r="G92" i="9"/>
  <c r="H92" i="9"/>
  <c r="I92" i="9"/>
  <c r="J92" i="9"/>
  <c r="G93" i="9"/>
  <c r="E94" i="9"/>
  <c r="F93" i="9"/>
  <c r="H93" i="9"/>
  <c r="I93" i="9"/>
  <c r="J93" i="9"/>
  <c r="H94" i="9"/>
  <c r="E95" i="9"/>
  <c r="F94" i="9"/>
  <c r="G94" i="9"/>
  <c r="I94" i="9"/>
  <c r="J94" i="9"/>
  <c r="H95" i="9"/>
  <c r="G95" i="9"/>
  <c r="E96" i="9"/>
  <c r="F95" i="9"/>
  <c r="I95" i="9"/>
  <c r="J95" i="9"/>
  <c r="E97" i="9"/>
  <c r="H96" i="9"/>
  <c r="G96" i="9"/>
  <c r="F96" i="9"/>
  <c r="I96" i="9"/>
  <c r="J96" i="9"/>
  <c r="H97" i="9"/>
  <c r="G97" i="9"/>
  <c r="E98" i="9"/>
  <c r="F97" i="9"/>
  <c r="I97" i="9"/>
  <c r="J97" i="9"/>
  <c r="E99" i="9"/>
  <c r="G98" i="9"/>
  <c r="F98" i="9"/>
  <c r="H98" i="9"/>
  <c r="I98" i="9"/>
  <c r="J98" i="9"/>
  <c r="H99" i="9"/>
  <c r="G99" i="9"/>
  <c r="F99" i="9"/>
  <c r="E100" i="9"/>
  <c r="I99" i="9"/>
  <c r="J99" i="9"/>
  <c r="H100" i="9"/>
  <c r="E101" i="9"/>
  <c r="F100" i="9"/>
  <c r="G100" i="9"/>
  <c r="I100" i="9"/>
  <c r="J100" i="9"/>
  <c r="H101" i="9"/>
  <c r="G101" i="9"/>
  <c r="E102" i="9"/>
  <c r="F101" i="9"/>
  <c r="I101" i="9"/>
  <c r="J101" i="9"/>
  <c r="H102" i="9"/>
  <c r="E103" i="9"/>
  <c r="F102" i="9"/>
  <c r="G102" i="9"/>
  <c r="I102" i="9"/>
  <c r="J102" i="9"/>
  <c r="G103" i="9"/>
  <c r="E104" i="9"/>
  <c r="F103" i="9"/>
  <c r="H103" i="9"/>
  <c r="I103" i="9"/>
  <c r="J103" i="9"/>
  <c r="H104" i="9"/>
  <c r="E105" i="9"/>
  <c r="G104" i="9"/>
  <c r="F104" i="9"/>
  <c r="I104" i="9"/>
  <c r="J104" i="9"/>
  <c r="G105" i="9"/>
  <c r="E106" i="9"/>
  <c r="F105" i="9"/>
  <c r="H105" i="9"/>
  <c r="I105" i="9"/>
  <c r="J105" i="9"/>
  <c r="E107" i="9"/>
  <c r="G106" i="9"/>
  <c r="F106" i="9"/>
  <c r="H106" i="9"/>
  <c r="I106" i="9"/>
  <c r="J106" i="9"/>
  <c r="F107" i="9"/>
  <c r="G107" i="9"/>
  <c r="E108" i="9"/>
  <c r="H107" i="9"/>
  <c r="I107" i="9"/>
  <c r="J107" i="9"/>
  <c r="G108" i="9"/>
  <c r="E109" i="9"/>
  <c r="F108" i="9"/>
  <c r="H108" i="9"/>
  <c r="I108" i="9"/>
  <c r="J108" i="9"/>
  <c r="F109" i="9"/>
  <c r="G109" i="9"/>
  <c r="E110" i="9"/>
  <c r="H109" i="9"/>
  <c r="I109" i="9"/>
  <c r="J109" i="9"/>
  <c r="H110" i="9"/>
  <c r="G110" i="9"/>
  <c r="E111" i="9"/>
  <c r="F110" i="9"/>
  <c r="I110" i="9"/>
  <c r="J110" i="9"/>
  <c r="H111" i="9"/>
  <c r="F111" i="9"/>
  <c r="G111" i="9"/>
  <c r="E112" i="9"/>
  <c r="I111" i="9"/>
  <c r="J111" i="9"/>
  <c r="H112" i="9"/>
  <c r="G112" i="9"/>
  <c r="F112" i="9"/>
  <c r="E113" i="9"/>
  <c r="I112" i="9"/>
  <c r="J112" i="9"/>
  <c r="H113" i="9"/>
  <c r="I113" i="9"/>
  <c r="J113" i="9"/>
  <c r="F113" i="9"/>
  <c r="G113" i="9"/>
  <c r="E114" i="9"/>
  <c r="G114" i="9"/>
  <c r="F114" i="9"/>
  <c r="E115" i="9"/>
  <c r="H114" i="9"/>
  <c r="I114" i="9"/>
  <c r="J114" i="9"/>
  <c r="H115" i="9"/>
  <c r="F115" i="9"/>
  <c r="G115" i="9"/>
  <c r="E116" i="9"/>
  <c r="I115" i="9"/>
  <c r="J115" i="9"/>
  <c r="G116" i="9"/>
  <c r="E117" i="9"/>
  <c r="F116" i="9"/>
  <c r="H116" i="9"/>
  <c r="I116" i="9"/>
  <c r="J116" i="9"/>
  <c r="F117" i="9"/>
  <c r="G117" i="9"/>
  <c r="E118" i="9"/>
  <c r="H117" i="9"/>
  <c r="I117" i="9"/>
  <c r="J117" i="9"/>
  <c r="G118" i="9"/>
  <c r="H118" i="9"/>
  <c r="E119" i="9"/>
  <c r="F118" i="9"/>
  <c r="I118" i="9"/>
  <c r="J118" i="9"/>
  <c r="F119" i="9"/>
  <c r="G119" i="9"/>
  <c r="E120" i="9"/>
  <c r="H119" i="9"/>
  <c r="I119" i="9"/>
  <c r="J119" i="9"/>
  <c r="G120" i="9"/>
  <c r="H120" i="9"/>
  <c r="F120" i="9"/>
  <c r="E121" i="9"/>
  <c r="I120" i="9"/>
  <c r="J120" i="9"/>
  <c r="F121" i="9"/>
  <c r="G121" i="9"/>
  <c r="E122" i="9"/>
  <c r="H121" i="9"/>
  <c r="I121" i="9"/>
  <c r="J121" i="9"/>
  <c r="G122" i="9"/>
  <c r="F122" i="9"/>
  <c r="E123" i="9"/>
  <c r="H122" i="9"/>
  <c r="I122" i="9"/>
  <c r="J122" i="9"/>
  <c r="F123" i="9"/>
  <c r="G123" i="9"/>
  <c r="E124" i="9"/>
  <c r="H123" i="9"/>
  <c r="I123" i="9"/>
  <c r="J123" i="9"/>
  <c r="G124" i="9"/>
  <c r="E125" i="9"/>
  <c r="F124" i="9"/>
  <c r="H124" i="9"/>
  <c r="I124" i="9"/>
  <c r="J124" i="9"/>
  <c r="H125" i="9"/>
  <c r="F125" i="9"/>
  <c r="G125" i="9"/>
  <c r="E126" i="9"/>
  <c r="I125" i="9"/>
  <c r="J125" i="9"/>
  <c r="G126" i="9"/>
  <c r="H126" i="9"/>
  <c r="E127" i="9"/>
  <c r="F126" i="9"/>
  <c r="I126" i="9"/>
  <c r="J126" i="9"/>
  <c r="F127" i="9"/>
  <c r="G127" i="9"/>
  <c r="E128" i="9"/>
  <c r="H127" i="9"/>
  <c r="I127" i="9"/>
  <c r="J127" i="9"/>
  <c r="G128" i="9"/>
  <c r="H128" i="9"/>
  <c r="F128" i="9"/>
  <c r="E129" i="9"/>
  <c r="I128" i="9"/>
  <c r="J128" i="9"/>
  <c r="F129" i="9"/>
  <c r="G129" i="9"/>
  <c r="E130" i="9"/>
  <c r="H129" i="9"/>
  <c r="I129" i="9"/>
  <c r="J129" i="9"/>
  <c r="G130" i="9"/>
  <c r="F130" i="9"/>
  <c r="E131" i="9"/>
  <c r="H130" i="9"/>
  <c r="I130" i="9"/>
  <c r="J130" i="9"/>
  <c r="G131" i="9"/>
  <c r="F131" i="9"/>
  <c r="E132" i="9"/>
  <c r="H131" i="9"/>
  <c r="I131" i="9"/>
  <c r="J131" i="9"/>
  <c r="H132" i="9"/>
  <c r="F132" i="9"/>
  <c r="E133" i="9"/>
  <c r="G132" i="9"/>
  <c r="I132" i="9"/>
  <c r="J132" i="9"/>
  <c r="G133" i="9"/>
  <c r="E134" i="9"/>
  <c r="F133" i="9"/>
  <c r="H133" i="9"/>
  <c r="I133" i="9"/>
  <c r="J133" i="9"/>
  <c r="F134" i="9"/>
  <c r="G134" i="9"/>
  <c r="E135" i="9"/>
  <c r="H134" i="9"/>
  <c r="I134" i="9"/>
  <c r="J134" i="9"/>
  <c r="G135" i="9"/>
  <c r="F135" i="9"/>
  <c r="E136" i="9"/>
  <c r="H135" i="9"/>
  <c r="I135" i="9"/>
  <c r="J135" i="9"/>
  <c r="H136" i="9"/>
  <c r="G136" i="9"/>
  <c r="F136" i="9"/>
  <c r="E137" i="9"/>
  <c r="I136" i="9"/>
  <c r="J136" i="9"/>
  <c r="E138" i="9"/>
  <c r="F137" i="9"/>
  <c r="G137" i="9"/>
  <c r="H137" i="9"/>
  <c r="I137" i="9"/>
  <c r="J137" i="9"/>
  <c r="G138" i="9"/>
  <c r="E139" i="9"/>
  <c r="F138" i="9"/>
  <c r="H138" i="9"/>
  <c r="I138" i="9"/>
  <c r="J138" i="9"/>
  <c r="E140" i="9"/>
  <c r="G139" i="9"/>
  <c r="F139" i="9"/>
  <c r="H139" i="9"/>
  <c r="I139" i="9"/>
  <c r="J139" i="9"/>
  <c r="G140" i="9"/>
  <c r="H140" i="9"/>
  <c r="F140" i="9"/>
  <c r="E141" i="9"/>
  <c r="I140" i="9"/>
  <c r="J140" i="9"/>
  <c r="E142" i="9"/>
  <c r="F141" i="9"/>
  <c r="G141" i="9"/>
  <c r="H141" i="9"/>
  <c r="I141" i="9"/>
  <c r="J141" i="9"/>
  <c r="G142" i="9"/>
  <c r="E143" i="9"/>
  <c r="F142" i="9"/>
  <c r="H142" i="9"/>
  <c r="I142" i="9"/>
  <c r="J142" i="9"/>
  <c r="E144" i="9"/>
  <c r="G143" i="9"/>
  <c r="F143" i="9"/>
  <c r="H143" i="9"/>
  <c r="I143" i="9"/>
  <c r="J143" i="9"/>
  <c r="G144" i="9"/>
  <c r="H144" i="9"/>
  <c r="F144" i="9"/>
  <c r="E145" i="9"/>
  <c r="I144" i="9"/>
  <c r="J144" i="9"/>
  <c r="E146" i="9"/>
  <c r="F145" i="9"/>
  <c r="G145" i="9"/>
  <c r="H145" i="9"/>
  <c r="I145" i="9"/>
  <c r="J145" i="9"/>
  <c r="G146" i="9"/>
  <c r="E147" i="9"/>
  <c r="F146" i="9"/>
  <c r="H146" i="9"/>
  <c r="I146" i="9"/>
  <c r="J146" i="9"/>
  <c r="E148" i="9"/>
  <c r="G147" i="9"/>
  <c r="F147" i="9"/>
  <c r="H147" i="9"/>
  <c r="I147" i="9"/>
  <c r="J147" i="9"/>
  <c r="G148" i="9"/>
  <c r="H148" i="9"/>
  <c r="F148" i="9"/>
  <c r="E149" i="9"/>
  <c r="I148" i="9"/>
  <c r="J148" i="9"/>
  <c r="E150" i="9"/>
  <c r="F149" i="9"/>
  <c r="G149" i="9"/>
  <c r="H149" i="9"/>
  <c r="I149" i="9"/>
  <c r="J149" i="9"/>
  <c r="G150" i="9"/>
  <c r="E151" i="9"/>
  <c r="F150" i="9"/>
  <c r="H150" i="9"/>
  <c r="I150" i="9"/>
  <c r="J150" i="9"/>
  <c r="E152" i="9"/>
  <c r="G151" i="9"/>
  <c r="F151" i="9"/>
  <c r="H151" i="9"/>
  <c r="I151" i="9"/>
  <c r="J151" i="9"/>
  <c r="G152" i="9"/>
  <c r="H152" i="9"/>
  <c r="F152" i="9"/>
  <c r="E153" i="9"/>
  <c r="I152" i="9"/>
  <c r="J152" i="9"/>
  <c r="E154" i="9"/>
  <c r="F153" i="9"/>
  <c r="G153" i="9"/>
  <c r="H153" i="9"/>
  <c r="I153" i="9"/>
  <c r="J153" i="9"/>
  <c r="G154" i="9"/>
  <c r="E155" i="9"/>
  <c r="F154" i="9"/>
  <c r="H154" i="9"/>
  <c r="I154" i="9"/>
  <c r="J154" i="9"/>
  <c r="E156" i="9"/>
  <c r="G155" i="9"/>
  <c r="F155" i="9"/>
  <c r="H155" i="9"/>
  <c r="I155" i="9"/>
  <c r="J155" i="9"/>
  <c r="G156" i="9"/>
  <c r="H156" i="9"/>
  <c r="F156" i="9"/>
  <c r="E157" i="9"/>
  <c r="I156" i="9"/>
  <c r="J156" i="9"/>
  <c r="E158" i="9"/>
  <c r="F157" i="9"/>
  <c r="G157" i="9"/>
  <c r="H157" i="9"/>
  <c r="I157" i="9"/>
  <c r="J157" i="9"/>
  <c r="G158" i="9"/>
  <c r="E159" i="9"/>
  <c r="F158" i="9"/>
  <c r="H158" i="9"/>
  <c r="I158" i="9"/>
  <c r="J158" i="9"/>
  <c r="E160" i="9"/>
  <c r="G159" i="9"/>
  <c r="F159" i="9"/>
  <c r="H159" i="9"/>
  <c r="I159" i="9"/>
  <c r="J159" i="9"/>
  <c r="G160" i="9"/>
  <c r="H160" i="9"/>
  <c r="F160" i="9"/>
  <c r="E161" i="9"/>
  <c r="I160" i="9"/>
  <c r="J160" i="9"/>
  <c r="E162" i="9"/>
  <c r="F161" i="9"/>
  <c r="G161" i="9"/>
  <c r="H161" i="9"/>
  <c r="I161" i="9"/>
  <c r="J161" i="9"/>
  <c r="G162" i="9"/>
  <c r="E163" i="9"/>
  <c r="F162" i="9"/>
  <c r="H162" i="9"/>
  <c r="I162" i="9"/>
  <c r="J162" i="9"/>
  <c r="H163" i="9"/>
  <c r="E164" i="9"/>
  <c r="G163" i="9"/>
  <c r="F163" i="9"/>
  <c r="I163" i="9"/>
  <c r="J163" i="9"/>
  <c r="G164" i="9"/>
  <c r="H164" i="9"/>
  <c r="F164" i="9"/>
  <c r="E165" i="9"/>
  <c r="I164" i="9"/>
  <c r="J164" i="9"/>
  <c r="H165" i="9"/>
  <c r="E166" i="9"/>
  <c r="F165" i="9"/>
  <c r="G165" i="9"/>
  <c r="I165" i="9"/>
  <c r="J165" i="9"/>
  <c r="G166" i="9"/>
  <c r="E167" i="9"/>
  <c r="F166" i="9"/>
  <c r="H166" i="9"/>
  <c r="I166" i="9"/>
  <c r="J166" i="9"/>
  <c r="E168" i="9"/>
  <c r="G167" i="9"/>
  <c r="F167" i="9"/>
  <c r="H167" i="9"/>
  <c r="I167" i="9"/>
  <c r="J167" i="9"/>
  <c r="G168" i="9"/>
  <c r="H168" i="9"/>
  <c r="F168" i="9"/>
  <c r="E169" i="9"/>
  <c r="I168" i="9"/>
  <c r="J168" i="9"/>
  <c r="E170" i="9"/>
  <c r="F169" i="9"/>
  <c r="G169" i="9"/>
  <c r="H169" i="9"/>
  <c r="I169" i="9"/>
  <c r="J169" i="9"/>
  <c r="G170" i="9"/>
  <c r="E171" i="9"/>
  <c r="F170" i="9"/>
  <c r="H170" i="9"/>
  <c r="I170" i="9"/>
  <c r="J170" i="9"/>
  <c r="E172" i="9"/>
  <c r="G171" i="9"/>
  <c r="F171" i="9"/>
  <c r="H171" i="9"/>
  <c r="I171" i="9"/>
  <c r="J171" i="9"/>
  <c r="G172" i="9"/>
  <c r="H172" i="9"/>
  <c r="F172" i="9"/>
  <c r="E173" i="9"/>
  <c r="I172" i="9"/>
  <c r="J172" i="9"/>
  <c r="E174" i="9"/>
  <c r="F173" i="9"/>
  <c r="G173" i="9"/>
  <c r="H173" i="9"/>
  <c r="I173" i="9"/>
  <c r="J173" i="9"/>
  <c r="G174" i="9"/>
  <c r="E175" i="9"/>
  <c r="F174" i="9"/>
  <c r="H174" i="9"/>
  <c r="I174" i="9"/>
  <c r="J174" i="9"/>
  <c r="E176" i="9"/>
  <c r="G175" i="9"/>
  <c r="F175" i="9"/>
  <c r="H175" i="9"/>
  <c r="I175" i="9"/>
  <c r="J175" i="9"/>
  <c r="G176" i="9"/>
  <c r="H176" i="9"/>
  <c r="F176" i="9"/>
  <c r="E177" i="9"/>
  <c r="I176" i="9"/>
  <c r="J176" i="9"/>
  <c r="E178" i="9"/>
  <c r="F177" i="9"/>
  <c r="G177" i="9"/>
  <c r="H177" i="9"/>
  <c r="I177" i="9"/>
  <c r="J177" i="9"/>
  <c r="G178" i="9"/>
  <c r="E179" i="9"/>
  <c r="F178" i="9"/>
  <c r="H178" i="9"/>
  <c r="I178" i="9"/>
  <c r="J178" i="9"/>
  <c r="E180" i="9"/>
  <c r="G179" i="9"/>
  <c r="F179" i="9"/>
  <c r="H179" i="9"/>
  <c r="I179" i="9"/>
  <c r="J179" i="9"/>
  <c r="G180" i="9"/>
  <c r="H180" i="9"/>
  <c r="F180" i="9"/>
  <c r="E181" i="9"/>
  <c r="I180" i="9"/>
  <c r="J180" i="9"/>
  <c r="E182" i="9"/>
  <c r="F181" i="9"/>
  <c r="G181" i="9"/>
  <c r="H181" i="9"/>
  <c r="I181" i="9"/>
  <c r="J181" i="9"/>
  <c r="G182" i="9"/>
  <c r="H182" i="9"/>
  <c r="F182" i="9"/>
  <c r="I182" i="9"/>
  <c r="J182" i="9"/>
  <c r="B15" i="9"/>
  <c r="B16" i="9"/>
  <c r="C13" i="9"/>
  <c r="B13" i="9"/>
  <c r="B14" i="9"/>
  <c r="B25" i="9"/>
  <c r="B22" i="9"/>
  <c r="C19" i="9"/>
  <c r="C28" i="9"/>
  <c r="C26" i="9"/>
  <c r="B28" i="9"/>
  <c r="C21" i="9"/>
  <c r="B17" i="9"/>
  <c r="B23" i="9"/>
  <c r="C27" i="9"/>
  <c r="C20" i="9"/>
  <c r="B21" i="9"/>
  <c r="C18" i="9"/>
  <c r="C15" i="9"/>
  <c r="C25" i="9"/>
  <c r="C22" i="9"/>
  <c r="C16" i="9"/>
  <c r="B27" i="9"/>
  <c r="B26" i="9"/>
  <c r="B24" i="9"/>
  <c r="C17" i="9"/>
  <c r="C23" i="9"/>
  <c r="C14" i="9"/>
  <c r="C24" i="9"/>
  <c r="B20" i="9"/>
  <c r="B18" i="9"/>
  <c r="B19" i="9"/>
  <c r="B29" i="9"/>
  <c r="C29" i="9"/>
  <c r="D108" i="1"/>
  <c r="E29" i="4"/>
  <c r="F39" i="3"/>
  <c r="E22" i="6" s="1"/>
  <c r="G35" i="3"/>
  <c r="E20" i="4"/>
  <c r="E22" i="4"/>
  <c r="E14" i="6"/>
  <c r="E64" i="4"/>
  <c r="E69" i="4"/>
  <c r="E71" i="4"/>
  <c r="E53" i="4"/>
  <c r="E55" i="4"/>
  <c r="E83" i="4"/>
  <c r="E84" i="4"/>
  <c r="E50" i="4"/>
  <c r="E27" i="4"/>
  <c r="E59" i="4"/>
  <c r="E58" i="4"/>
  <c r="E16" i="6"/>
  <c r="E57" i="4"/>
  <c r="E15" i="6"/>
  <c r="P120" i="1"/>
  <c r="N120" i="1"/>
  <c r="L120" i="1"/>
  <c r="H120" i="1"/>
  <c r="E120" i="1"/>
  <c r="I120" i="1"/>
  <c r="K108" i="1"/>
  <c r="F120" i="1"/>
  <c r="J108" i="1"/>
  <c r="G108" i="1"/>
  <c r="F108" i="1"/>
  <c r="N108" i="1"/>
  <c r="O120" i="1"/>
  <c r="M120" i="1"/>
  <c r="J120" i="1"/>
  <c r="P108" i="1"/>
  <c r="K120" i="1"/>
  <c r="G120" i="1"/>
  <c r="L108" i="1"/>
  <c r="I108" i="1"/>
  <c r="D120" i="1"/>
  <c r="M108" i="1"/>
  <c r="E108" i="1"/>
  <c r="O108" i="1"/>
  <c r="H108" i="1"/>
  <c r="E86" i="4"/>
  <c r="E87" i="4"/>
  <c r="E26" i="6"/>
  <c r="E27" i="6"/>
  <c r="E60" i="4"/>
  <c r="E17" i="6"/>
  <c r="O30" i="4" l="1"/>
  <c r="Z43" i="3"/>
  <c r="E21" i="8"/>
  <c r="G21" i="8"/>
  <c r="H21" i="8"/>
  <c r="J21" i="8"/>
  <c r="P21" i="8"/>
  <c r="K21" i="8"/>
  <c r="D22" i="6"/>
  <c r="D43" i="3"/>
  <c r="E39" i="3"/>
  <c r="D23" i="6" s="1"/>
  <c r="D141" i="1"/>
  <c r="G39" i="3"/>
  <c r="E23" i="6" s="1"/>
  <c r="O91" i="4" l="1"/>
  <c r="O93" i="4" s="1"/>
  <c r="O66" i="4"/>
  <c r="O37" i="4"/>
  <c r="D143" i="1"/>
  <c r="F41" i="3" s="1"/>
  <c r="D144" i="1"/>
  <c r="E140" i="1" s="1"/>
  <c r="E144" i="1" s="1"/>
  <c r="F140" i="1" s="1"/>
  <c r="F144" i="1" s="1"/>
  <c r="G140" i="1" s="1"/>
  <c r="G144" i="1" s="1"/>
  <c r="H140" i="1" s="1"/>
  <c r="H144" i="1" s="1"/>
  <c r="I140" i="1" s="1"/>
  <c r="I144" i="1" s="1"/>
  <c r="J140" i="1" s="1"/>
  <c r="J144" i="1" s="1"/>
  <c r="K140" i="1" s="1"/>
  <c r="K144" i="1" s="1"/>
  <c r="L140" i="1" s="1"/>
  <c r="L144" i="1" s="1"/>
  <c r="M140" i="1" s="1"/>
  <c r="M144" i="1" s="1"/>
  <c r="N140" i="1" s="1"/>
  <c r="N144" i="1" s="1"/>
  <c r="O140" i="1" s="1"/>
  <c r="O144" i="1" s="1"/>
  <c r="P140" i="1" s="1"/>
  <c r="P144" i="1" s="1"/>
  <c r="O40" i="4" l="1"/>
  <c r="O63" i="4"/>
  <c r="O67" i="4" s="1"/>
  <c r="E30" i="4"/>
  <c r="F43" i="3"/>
  <c r="E49" i="2" s="1"/>
  <c r="O73" i="4" l="1"/>
  <c r="O74" i="4"/>
  <c r="O75" i="4"/>
  <c r="E50" i="2"/>
  <c r="F49" i="2"/>
  <c r="E37" i="4"/>
  <c r="E66" i="4"/>
  <c r="E91" i="4"/>
  <c r="E93" i="4" s="1"/>
  <c r="F50" i="2" l="1"/>
  <c r="G49" i="2"/>
  <c r="E96" i="4"/>
  <c r="E29" i="6" s="1"/>
  <c r="E95" i="4"/>
  <c r="E28" i="6" s="1"/>
  <c r="E63" i="4"/>
  <c r="E67" i="4" s="1"/>
  <c r="E40" i="4"/>
  <c r="E42" i="4" s="1"/>
  <c r="E9" i="6"/>
  <c r="E10" i="6"/>
  <c r="E52" i="2"/>
  <c r="F39" i="4" l="1"/>
  <c r="F42" i="4" s="1"/>
  <c r="E7" i="2"/>
  <c r="D20" i="8"/>
  <c r="D21" i="8" s="1"/>
  <c r="D22" i="8" s="1"/>
  <c r="E74" i="4"/>
  <c r="E75" i="4"/>
  <c r="E76" i="4" s="1"/>
  <c r="E73" i="4"/>
  <c r="G50" i="2"/>
  <c r="H49" i="2"/>
  <c r="F10" i="6"/>
  <c r="F9" i="6"/>
  <c r="F52" i="2"/>
  <c r="H50" i="2" l="1"/>
  <c r="I49" i="2"/>
  <c r="G52" i="2"/>
  <c r="G10" i="6"/>
  <c r="G9" i="6"/>
  <c r="E13" i="2"/>
  <c r="F7" i="2"/>
  <c r="F13" i="2" s="1"/>
  <c r="G39" i="4"/>
  <c r="G42" i="4" s="1"/>
  <c r="F30" i="2" l="1"/>
  <c r="F55" i="2" s="1"/>
  <c r="F6" i="6"/>
  <c r="F5" i="6"/>
  <c r="J49" i="2"/>
  <c r="I50" i="2"/>
  <c r="H39" i="4"/>
  <c r="H42" i="4" s="1"/>
  <c r="G7" i="2"/>
  <c r="G13" i="2" s="1"/>
  <c r="E6" i="6"/>
  <c r="E5" i="6"/>
  <c r="E30" i="2"/>
  <c r="E55" i="2" s="1"/>
  <c r="H52" i="2"/>
  <c r="H10" i="6"/>
  <c r="H9" i="6"/>
  <c r="I39" i="4" l="1"/>
  <c r="I42" i="4" s="1"/>
  <c r="H7" i="2"/>
  <c r="H13" i="2" s="1"/>
  <c r="J50" i="2"/>
  <c r="K49" i="2"/>
  <c r="G30" i="2"/>
  <c r="G55" i="2" s="1"/>
  <c r="G6" i="6"/>
  <c r="G5" i="6"/>
  <c r="I10" i="6"/>
  <c r="I9" i="6"/>
  <c r="I52" i="2"/>
  <c r="J10" i="6" l="1"/>
  <c r="J9" i="6"/>
  <c r="J52" i="2"/>
  <c r="H5" i="6"/>
  <c r="H30" i="2"/>
  <c r="H55" i="2" s="1"/>
  <c r="H6" i="6"/>
  <c r="K50" i="2"/>
  <c r="L49" i="2"/>
  <c r="J39" i="4"/>
  <c r="J42" i="4" s="1"/>
  <c r="I7" i="2"/>
  <c r="I13" i="2" l="1"/>
  <c r="M49" i="2"/>
  <c r="L50" i="2"/>
  <c r="K52" i="2"/>
  <c r="K10" i="6"/>
  <c r="K9" i="6"/>
  <c r="K39" i="4"/>
  <c r="K42" i="4" s="1"/>
  <c r="J7" i="2"/>
  <c r="J13" i="2" s="1"/>
  <c r="K7" i="2" l="1"/>
  <c r="K13" i="2" s="1"/>
  <c r="L39" i="4"/>
  <c r="L42" i="4" s="1"/>
  <c r="J30" i="2"/>
  <c r="J55" i="2" s="1"/>
  <c r="J6" i="6"/>
  <c r="J5" i="6"/>
  <c r="L52" i="2"/>
  <c r="L10" i="6"/>
  <c r="L9" i="6"/>
  <c r="M50" i="2"/>
  <c r="N49" i="2"/>
  <c r="I5" i="6"/>
  <c r="I6" i="6"/>
  <c r="I30" i="2"/>
  <c r="I55" i="2" s="1"/>
  <c r="M52" i="2" l="1"/>
  <c r="M10" i="6"/>
  <c r="M9" i="6"/>
  <c r="N50" i="2"/>
  <c r="O49" i="2"/>
  <c r="L7" i="2"/>
  <c r="M39" i="4"/>
  <c r="M42" i="4" s="1"/>
  <c r="K6" i="6"/>
  <c r="K5" i="6"/>
  <c r="K30" i="2"/>
  <c r="K55" i="2" s="1"/>
  <c r="N39" i="4" l="1"/>
  <c r="N42" i="4" s="1"/>
  <c r="M7" i="2"/>
  <c r="M13" i="2" s="1"/>
  <c r="L13" i="2"/>
  <c r="P49" i="2"/>
  <c r="O50" i="2"/>
  <c r="N10" i="6"/>
  <c r="N9" i="6"/>
  <c r="N52" i="2"/>
  <c r="P50" i="2" l="1"/>
  <c r="Q49" i="2"/>
  <c r="Q50" i="2" s="1"/>
  <c r="M6" i="6"/>
  <c r="M5" i="6"/>
  <c r="M30" i="2"/>
  <c r="M55" i="2" s="1"/>
  <c r="O10" i="6"/>
  <c r="O52" i="2"/>
  <c r="O9" i="6"/>
  <c r="L6" i="6"/>
  <c r="L5" i="6"/>
  <c r="L30" i="2"/>
  <c r="L55" i="2" s="1"/>
  <c r="O39" i="4"/>
  <c r="O42" i="4" s="1"/>
  <c r="N7" i="2"/>
  <c r="P39" i="4" l="1"/>
  <c r="P42" i="4" s="1"/>
  <c r="O7" i="2"/>
  <c r="O13" i="2" s="1"/>
  <c r="N13" i="2"/>
  <c r="Q9" i="6"/>
  <c r="Q52" i="2"/>
  <c r="Q10" i="6"/>
  <c r="P9" i="6"/>
  <c r="P10" i="6"/>
  <c r="P52" i="2"/>
  <c r="N30" i="2" l="1"/>
  <c r="N55" i="2" s="1"/>
  <c r="N6" i="6"/>
  <c r="N5" i="6"/>
  <c r="O5" i="6"/>
  <c r="O30" i="2"/>
  <c r="O55" i="2" s="1"/>
  <c r="O6" i="6"/>
  <c r="Q39" i="4"/>
  <c r="Q42" i="4" s="1"/>
  <c r="Q7" i="2" s="1"/>
  <c r="Q13" i="2" s="1"/>
  <c r="P7" i="2"/>
  <c r="Q30" i="2" l="1"/>
  <c r="Q55" i="2" s="1"/>
  <c r="Q6" i="6"/>
  <c r="Q5" i="6"/>
  <c r="P13" i="2"/>
  <c r="E4" i="2"/>
  <c r="P6" i="6" l="1"/>
  <c r="P5" i="6"/>
  <c r="P30" i="2"/>
  <c r="P5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dsmit</author>
    <author>OPIC</author>
  </authors>
  <commentList>
    <comment ref="E2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Enter Accumulated Depreciation as a Negative Number.</t>
        </r>
      </text>
    </comment>
    <comment ref="E47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If any box in this row has an "Error" message when the user is finished entering the balance sheet items, then Assets and Liabilities/Net Worth don't balance.  Check to make sure you have included all balance sheet items in one of the categories.</t>
        </r>
      </text>
    </comment>
    <comment ref="E5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Enter all expenses &amp; deductions in this section as positive numbers.  The program will deduct them.</t>
        </r>
      </text>
    </comment>
    <comment ref="E57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Enter as a positive number if this was a net gain; negative if it was a net cost.</t>
        </r>
      </text>
    </comment>
    <comment ref="E5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Enter taxes as a positive number; the program will deduct them.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61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Enter Other Deductions (if any) as negative numbers.</t>
        </r>
      </text>
    </comment>
    <comment ref="E6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If net income is incorrect, please check to make sure all profit and loss items were included.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dsmit</author>
  </authors>
  <commentList>
    <comment ref="E74" authorId="0" shapeId="0" xr:uid="{00000000-0006-0000-0200-000001000000}">
      <text>
        <r>
          <rPr>
            <b/>
            <sz val="9"/>
            <color indexed="81"/>
            <rFont val="Microsoft Sans Serif"/>
            <family val="2"/>
          </rPr>
          <t>Base Interest Cost is usually the U.S. Treasury rate for comparable maturity or another internationally-accepted rate.  Discuss w/ your DFC contact.</t>
        </r>
      </text>
    </comment>
    <comment ref="E81" authorId="0" shapeId="0" xr:uid="{00000000-0006-0000-0200-000002000000}">
      <text>
        <r>
          <rPr>
            <b/>
            <sz val="9"/>
            <color indexed="81"/>
            <rFont val="Microsoft Sans Serif"/>
            <family val="2"/>
          </rPr>
          <t>Enter "2" for semi-annual;  Enter "4" for quarterly</t>
        </r>
      </text>
    </comment>
    <comment ref="E86" authorId="0" shapeId="0" xr:uid="{00000000-0006-0000-0200-000003000000}">
      <text>
        <r>
          <rPr>
            <b/>
            <sz val="9"/>
            <color indexed="81"/>
            <rFont val="Microsoft Sans Serif"/>
            <family val="2"/>
          </rPr>
          <t>For Straightline, enter "1"; For Mortgage-style, enter "2"
DFC rarely allows mortgage-style payments.  Discuss with your DFC contact before choosing option "2".</t>
        </r>
      </text>
    </comment>
    <comment ref="F99" authorId="0" shapeId="0" xr:uid="{00000000-0006-0000-0200-000004000000}">
      <text>
        <r>
          <rPr>
            <b/>
            <sz val="9"/>
            <color indexed="81"/>
            <rFont val="Microsoft Sans Serif"/>
            <family val="2"/>
          </rPr>
          <t>Note:  Multiple senior debt sources are not appropriate for many projects.  Please consult your DFC contact before making assumptions regarding other senior debt sources.</t>
        </r>
      </text>
    </comment>
    <comment ref="F111" authorId="0" shapeId="0" xr:uid="{00000000-0006-0000-0200-000005000000}">
      <text>
        <r>
          <rPr>
            <b/>
            <sz val="9"/>
            <color indexed="81"/>
            <rFont val="Microsoft Sans Serif"/>
            <family val="2"/>
          </rPr>
          <t>Note:  Other debt sources are not appropriate for many projects.  Please consult your DFC contact before making assumptions regarding short term debt facilities.</t>
        </r>
      </text>
    </comment>
    <comment ref="F123" authorId="0" shapeId="0" xr:uid="{00000000-0006-0000-0200-000006000000}">
      <text>
        <r>
          <rPr>
            <b/>
            <sz val="9"/>
            <color indexed="81"/>
            <rFont val="Microsoft Sans Serif"/>
            <family val="2"/>
          </rPr>
          <t>Note:  Some projects may structure equity as subordinated debt or may obtain subordinated debt from a 3rd party.  This is somewhat unusual for an DFC-supported project, so please consult your DFC contact before making any assumptions regarding subordinated debt.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dsmit</author>
  </authors>
  <commentList>
    <comment ref="D13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Do we need this broken down by OPIC debt and other debt?</t>
        </r>
      </text>
    </comment>
  </commentList>
</comments>
</file>

<file path=xl/sharedStrings.xml><?xml version="1.0" encoding="utf-8"?>
<sst xmlns="http://schemas.openxmlformats.org/spreadsheetml/2006/main" count="812" uniqueCount="541">
  <si>
    <t xml:space="preserve"> </t>
  </si>
  <si>
    <t>Calendar Year</t>
  </si>
  <si>
    <t>Cost of Goods Sold as % of Total Sales Revenue</t>
  </si>
  <si>
    <t>Capital Expenditures</t>
  </si>
  <si>
    <t>Total Annual Capital Expenditures</t>
  </si>
  <si>
    <t>Total Project Cost</t>
  </si>
  <si>
    <t>Outstanding Principal (Start of Year)</t>
  </si>
  <si>
    <t>Outstanding Principal (End of Year)</t>
  </si>
  <si>
    <t>Retained Earnings (Start of Year)</t>
  </si>
  <si>
    <t>Net Income</t>
  </si>
  <si>
    <t>Dividends Paid</t>
  </si>
  <si>
    <t>Income Taxes</t>
  </si>
  <si>
    <t>Tax Rate</t>
  </si>
  <si>
    <t>Year Depreciation/Amortization Begins</t>
  </si>
  <si>
    <t>Years</t>
  </si>
  <si>
    <t>Total Annual Depreciation Exp.</t>
  </si>
  <si>
    <t>Balance Sheet Items</t>
  </si>
  <si>
    <t>Days in Receivables</t>
  </si>
  <si>
    <t>Days Inventory</t>
  </si>
  <si>
    <t>Days in Payables</t>
  </si>
  <si>
    <t>Months Debt Service to Restricted Cash</t>
  </si>
  <si>
    <t>Assets</t>
  </si>
  <si>
    <t>Current Assets</t>
  </si>
  <si>
    <t>Cash</t>
  </si>
  <si>
    <t>Debt Service Reserve/Restricted Cash</t>
  </si>
  <si>
    <t>Accounts Receivable</t>
  </si>
  <si>
    <t>Inventory</t>
  </si>
  <si>
    <t>Total Current Assets</t>
  </si>
  <si>
    <t>Non-Current Assets</t>
  </si>
  <si>
    <t>Accumulated Depreciation</t>
  </si>
  <si>
    <t>Total Non-Current Assets</t>
  </si>
  <si>
    <t>Total Assets</t>
  </si>
  <si>
    <t>Liabilities and Net Worth</t>
  </si>
  <si>
    <t>Current Liabilities</t>
  </si>
  <si>
    <t>Total Current Liabilities</t>
  </si>
  <si>
    <t>Non-Current Liabilities</t>
  </si>
  <si>
    <t>Total Non-Current Liabilities</t>
  </si>
  <si>
    <t>Net Worth/Stockholders Equity</t>
  </si>
  <si>
    <t>Retained Earnings</t>
  </si>
  <si>
    <t>Total Net Worth</t>
  </si>
  <si>
    <t>Total Liabilites and Net Worth</t>
  </si>
  <si>
    <t>Reconciliation</t>
  </si>
  <si>
    <t>Revenues</t>
  </si>
  <si>
    <t>Gross Revenues</t>
  </si>
  <si>
    <t>Cost of Product Sold</t>
  </si>
  <si>
    <t>Cash Operating Expenses</t>
  </si>
  <si>
    <t>Depreciation Expense</t>
  </si>
  <si>
    <t>EBIT</t>
  </si>
  <si>
    <t>Interest &amp; Fee Expense</t>
  </si>
  <si>
    <t>Dividends</t>
  </si>
  <si>
    <t>Addition to Retained Earnings</t>
  </si>
  <si>
    <t>Change in Receivables</t>
  </si>
  <si>
    <t>Cash from Sales</t>
  </si>
  <si>
    <t>Cost of Goods Sold</t>
  </si>
  <si>
    <t>Change in Inventory</t>
  </si>
  <si>
    <t>Cash Production Costs</t>
  </si>
  <si>
    <t>Gross Cash Profits</t>
  </si>
  <si>
    <t>Cash After Operations</t>
  </si>
  <si>
    <t>Taxes Paid</t>
  </si>
  <si>
    <t>Net Cash After Operations</t>
  </si>
  <si>
    <t>Change in Cash</t>
  </si>
  <si>
    <t>Beginning Cash</t>
  </si>
  <si>
    <t>Ending Cash</t>
  </si>
  <si>
    <t>Debt Service Coverages/Cash Available for Debt Service (CADS)</t>
  </si>
  <si>
    <t>Net Cash Flow</t>
  </si>
  <si>
    <t>+Interest &amp; Fee Expense</t>
  </si>
  <si>
    <t>+Dividends Paid</t>
  </si>
  <si>
    <t>Total Debt Service</t>
  </si>
  <si>
    <t>Liquidity Ratios</t>
  </si>
  <si>
    <t>Quick Ratio</t>
  </si>
  <si>
    <t>Current Ratio</t>
  </si>
  <si>
    <t>Capital Expenditures (Up-front costs)</t>
  </si>
  <si>
    <t>Operating Debt Service Coverage</t>
  </si>
  <si>
    <t>Total Debt Service Coverage</t>
  </si>
  <si>
    <t>Total CADS</t>
  </si>
  <si>
    <t>(Operating CADS)</t>
  </si>
  <si>
    <t>Operating CADS/Interest &amp; Fee</t>
  </si>
  <si>
    <t>Operating CADS/Principal</t>
  </si>
  <si>
    <t>Operating CADS/Total Debt Service</t>
  </si>
  <si>
    <t>Average Debt Service Coverage</t>
  </si>
  <si>
    <t>Interest Risk Spread (%)</t>
  </si>
  <si>
    <t>Base Interest Cost (%)</t>
  </si>
  <si>
    <t>Commitment Fee (%)</t>
  </si>
  <si>
    <t>Facility/Administrative Fee (%)</t>
  </si>
  <si>
    <t>Dividend Payout Ratio (%)</t>
  </si>
  <si>
    <t>Retained Earnings (End of Year)</t>
  </si>
  <si>
    <t>Accounts Payable</t>
  </si>
  <si>
    <t>Income Tax Assumptions</t>
  </si>
  <si>
    <t>Sales</t>
  </si>
  <si>
    <t>All-in Annual Interest Rate (%)</t>
  </si>
  <si>
    <t>Estimated Date of First Drawdown</t>
  </si>
  <si>
    <t>Estimated Date of First Principal Repayment</t>
  </si>
  <si>
    <t>Total Loan Term (months)</t>
  </si>
  <si>
    <t>Grace Period on Principal Repayment (months)</t>
  </si>
  <si>
    <t>Anchor Date</t>
  </si>
  <si>
    <t>"</t>
  </si>
  <si>
    <t>Estimated Maturity Date</t>
  </si>
  <si>
    <t>Price per Unit (local currency)</t>
  </si>
  <si>
    <t>Number of Units sold annually</t>
  </si>
  <si>
    <t>Currency conversion (local currency per USD)</t>
  </si>
  <si>
    <t>Contingency</t>
  </si>
  <si>
    <t>Annual Total</t>
  </si>
  <si>
    <t>Interest/Fees During Construction</t>
  </si>
  <si>
    <t>Indirect/Overhead Costs</t>
  </si>
  <si>
    <t>Local Currency Costs</t>
  </si>
  <si>
    <t>US Dollar Costs</t>
  </si>
  <si>
    <t>Conversion (local currency per USD)</t>
  </si>
  <si>
    <t>Total CADS/Interest+Fee</t>
  </si>
  <si>
    <t>Total CADS/Scheduled Principal</t>
  </si>
  <si>
    <t>Total CADS/Total Debt Service</t>
  </si>
  <si>
    <t>Operating CADS/Scheduled Principal</t>
  </si>
  <si>
    <t>Cash (to)/from debt reserve</t>
  </si>
  <si>
    <t>Number of Principal Payments</t>
  </si>
  <si>
    <t># of payments per year</t>
  </si>
  <si>
    <t># of principal Payments if quarterly</t>
  </si>
  <si>
    <t># of principal Payments if semi-annual</t>
  </si>
  <si>
    <t>Uses of Funds</t>
  </si>
  <si>
    <t>Sources of Funds</t>
  </si>
  <si>
    <t>New Equity Contributions</t>
  </si>
  <si>
    <t>Total Financing</t>
  </si>
  <si>
    <t>%</t>
  </si>
  <si>
    <t>Straight-line or Mortgage-Style?</t>
  </si>
  <si>
    <t>Assumptions</t>
  </si>
  <si>
    <t>Payment Date</t>
  </si>
  <si>
    <t>Mortgage Payment</t>
  </si>
  <si>
    <t>Interest Portion</t>
  </si>
  <si>
    <t>Principal Portion</t>
  </si>
  <si>
    <t>Principal Balance</t>
  </si>
  <si>
    <t>Disbursement Amount</t>
  </si>
  <si>
    <t>Disbursement Date</t>
  </si>
  <si>
    <t>First Int Payment Date</t>
  </si>
  <si>
    <t>First Principal Payment Date</t>
  </si>
  <si>
    <t>Maturity Date</t>
  </si>
  <si>
    <t>Number of Payments per Year</t>
  </si>
  <si>
    <t>Estimated Annual Interest Rate</t>
  </si>
  <si>
    <t># of Principal Payments</t>
  </si>
  <si>
    <t>Year</t>
  </si>
  <si>
    <t>Summary</t>
  </si>
  <si>
    <t>Principal</t>
  </si>
  <si>
    <t>Interest</t>
  </si>
  <si>
    <t>Total</t>
  </si>
  <si>
    <t>Cost of Capital (for Net Present Value Calculation Purposes)</t>
  </si>
  <si>
    <t>Total Project Capitalization</t>
  </si>
  <si>
    <t>Cost of Debt</t>
  </si>
  <si>
    <t>Cost of Equity</t>
  </si>
  <si>
    <t>Weighted Average Cost of Capital</t>
  </si>
  <si>
    <t>Discounted Cash Flow (DCF)/Net Present Value (NPV) Analysis</t>
  </si>
  <si>
    <t>Project Value/Returns</t>
  </si>
  <si>
    <t>Equity Value/Returns</t>
  </si>
  <si>
    <t>Weighted average cost of capital</t>
  </si>
  <si>
    <t>Internal Rate of Return</t>
  </si>
  <si>
    <t>Net Present Value</t>
  </si>
  <si>
    <t>Equity and Debt Invested</t>
  </si>
  <si>
    <t>Net (Outflow)/Inflow</t>
  </si>
  <si>
    <t>Equity Invested</t>
  </si>
  <si>
    <t>Terminal Value</t>
  </si>
  <si>
    <t>Net (Outflow/Inflow)</t>
  </si>
  <si>
    <t>Gross Operating Profit (EBITDA)</t>
  </si>
  <si>
    <t>TEMPLATE LAST REVISED ON:</t>
  </si>
  <si>
    <t>Rounding</t>
  </si>
  <si>
    <t>Thousands</t>
  </si>
  <si>
    <t>Millions</t>
  </si>
  <si>
    <t>Statement Type</t>
  </si>
  <si>
    <t>Cash and Cash Equivalents</t>
  </si>
  <si>
    <t>Reviewed</t>
  </si>
  <si>
    <t>Receivables (Trade)</t>
  </si>
  <si>
    <t>Compiled</t>
  </si>
  <si>
    <t>Receivables (Notes, Other)</t>
  </si>
  <si>
    <t>Company Prepared</t>
  </si>
  <si>
    <t>Inventory (Sum of all Types)</t>
  </si>
  <si>
    <t>Fixed Assets</t>
  </si>
  <si>
    <t>Land</t>
  </si>
  <si>
    <t>Buildings and Leasehold Improvements</t>
  </si>
  <si>
    <t>Machinery and Equipment</t>
  </si>
  <si>
    <t>Furniture and Fixtures</t>
  </si>
  <si>
    <t>Transportation Equipment</t>
  </si>
  <si>
    <t>Long Term Receivables</t>
  </si>
  <si>
    <t>Other Fixed Assets</t>
  </si>
  <si>
    <t>Intangibles</t>
  </si>
  <si>
    <t>Accumulated Depreciation (-)</t>
  </si>
  <si>
    <t>Trade and Other Payables</t>
  </si>
  <si>
    <t>Short Term Debt</t>
  </si>
  <si>
    <t>Current Portion of Long Term Debt</t>
  </si>
  <si>
    <t>Long Term Liabilities</t>
  </si>
  <si>
    <t>Long Term Debt (Senior)</t>
  </si>
  <si>
    <t>Subordinated Debt</t>
  </si>
  <si>
    <t>Other Long-Term Liabilities</t>
  </si>
  <si>
    <t>Equity/Net Worth</t>
  </si>
  <si>
    <t>Common Stock</t>
  </si>
  <si>
    <t>Paid in Capital</t>
  </si>
  <si>
    <t>Profit and Loss/Income Statement Items</t>
  </si>
  <si>
    <t>Non-Cash Operating Expenses</t>
  </si>
  <si>
    <t>Depreciation and Amortization</t>
  </si>
  <si>
    <t>Net Interest Income/(Expense)</t>
  </si>
  <si>
    <t>Taxes</t>
  </si>
  <si>
    <t>Other Cash Income</t>
  </si>
  <si>
    <t>Other Non-Cash Income</t>
  </si>
  <si>
    <t>Other Cash Deductions</t>
  </si>
  <si>
    <t>Other Non-Cash Deductions</t>
  </si>
  <si>
    <t>Adjustments During the Year</t>
  </si>
  <si>
    <t>Other Non-Cash Adjustments to Equity</t>
  </si>
  <si>
    <t>Existing</t>
  </si>
  <si>
    <t>New</t>
  </si>
  <si>
    <t>Revenue (net of discounts/allowances)</t>
  </si>
  <si>
    <t>Non-Dividend Adjmts to Retained Earnings</t>
  </si>
  <si>
    <t>Other Cash Adjustments to Equity</t>
  </si>
  <si>
    <t>Enter Project/Company Name</t>
  </si>
  <si>
    <t>Projected</t>
  </si>
  <si>
    <t>[Convert to USD button]</t>
  </si>
  <si>
    <t>Statement Preparation Type</t>
  </si>
  <si>
    <t>Audited-Qualified</t>
  </si>
  <si>
    <t>Audited-Unqualified</t>
  </si>
  <si>
    <t>Reconciliation of Equity</t>
  </si>
  <si>
    <t>Starting Equity</t>
  </si>
  <si>
    <t>Changes to Retained Earnings</t>
  </si>
  <si>
    <t>Changes to Other Equity</t>
  </si>
  <si>
    <t>Changes due to Y-to-Y Exchange Rate</t>
  </si>
  <si>
    <t>Unexplained Changes to Equity</t>
  </si>
  <si>
    <t>Ending Equity</t>
  </si>
  <si>
    <t>Actual</t>
  </si>
  <si>
    <t>Other Cash Deductions (-)</t>
  </si>
  <si>
    <t>Other Non-Cash Deductions (-)</t>
  </si>
  <si>
    <t>Pre-existing Fixed Assets</t>
  </si>
  <si>
    <t>End of Year Exchange Rate                 (statement currency/USD)</t>
  </si>
  <si>
    <t>Change in Payables/Other Curr. Liabilities</t>
  </si>
  <si>
    <t>Other Historical Cash Items</t>
  </si>
  <si>
    <t>Interest &amp; Fee Income/(Expense)</t>
  </si>
  <si>
    <t>Cash Flow Statement</t>
  </si>
  <si>
    <t>Net Cash After Investing Activities</t>
  </si>
  <si>
    <t>Trade Payables and Other Current Liabilities</t>
  </si>
  <si>
    <t>Short Term Debt Inflow/(Outflow)</t>
  </si>
  <si>
    <t>LT Senior Debt Inflow/(Outflow)</t>
  </si>
  <si>
    <t>Subordinated Debt Inflow/(Outflow)</t>
  </si>
  <si>
    <t>Equity Inflow/(Outflow)</t>
  </si>
  <si>
    <t>Change in other LT Liabilities</t>
  </si>
  <si>
    <t>Current Portion -- Long Term Debt</t>
  </si>
  <si>
    <t>Long Term Debt-Senior</t>
  </si>
  <si>
    <t>Other Long Term Liabilities</t>
  </si>
  <si>
    <t>Stock and Paid in Capital</t>
  </si>
  <si>
    <t>Net Cash After Financing Activities</t>
  </si>
  <si>
    <t>Principal Payments</t>
  </si>
  <si>
    <t>+Principal Repayment</t>
  </si>
  <si>
    <t>Principal Repayment</t>
  </si>
  <si>
    <t>Name of Lender</t>
  </si>
  <si>
    <t>Name</t>
  </si>
  <si>
    <t>Annual Interest Rate (%)</t>
  </si>
  <si>
    <t>Other Senior Debt -- Assumptions and Schedule</t>
  </si>
  <si>
    <t>Total Other Senior Debt Service</t>
  </si>
  <si>
    <t>Short Term Debt -- Assumptions and Schedule</t>
  </si>
  <si>
    <t>Subordinated Debt -- Assumptions and Schedule</t>
  </si>
  <si>
    <t>Total Short Term Debt Service</t>
  </si>
  <si>
    <t>Total Subordinated Debt Service</t>
  </si>
  <si>
    <t>Equity and Reconciliation of Retained Earnings</t>
  </si>
  <si>
    <t>Operating Costs in $000s</t>
  </si>
  <si>
    <t>Cost of Goods Sold in $000s</t>
  </si>
  <si>
    <t>Total Local Currency Cost (local 000s)</t>
  </si>
  <si>
    <t>Total Local currency cost in $000s</t>
  </si>
  <si>
    <t>Operating Expense (local 000s)</t>
  </si>
  <si>
    <t>Total US Dollar Costs ($000s)</t>
  </si>
  <si>
    <t>Total Indirect Costs ($000s)</t>
  </si>
  <si>
    <t>Capital Costs in $000s</t>
  </si>
  <si>
    <t>Total Loan Amount in $000s</t>
  </si>
  <si>
    <t>Principal Disbursements (in $000s)</t>
  </si>
  <si>
    <t>Fees (in $000s)</t>
  </si>
  <si>
    <t>Principal Repayments (in $000s)</t>
  </si>
  <si>
    <t>Principal Repayments (in $000)</t>
  </si>
  <si>
    <t>Principal Disbursements ($000s)</t>
  </si>
  <si>
    <t>Fees or Interest (if allowed) ($000s)</t>
  </si>
  <si>
    <t>Principal Repayments ($000s)</t>
  </si>
  <si>
    <t>Revenues in $000s</t>
  </si>
  <si>
    <t>Equity (Start of Year) in $000s</t>
  </si>
  <si>
    <t>New Equity Contributions in $000s</t>
  </si>
  <si>
    <t>Equity (End of Year)</t>
  </si>
  <si>
    <t>Pre-Existing Fixed Assets</t>
  </si>
  <si>
    <t xml:space="preserve">Please enter amounts in "thousands" of currency units.  </t>
  </si>
  <si>
    <t>Operating Expenses</t>
  </si>
  <si>
    <t>Total Operating Expenses</t>
  </si>
  <si>
    <t>Special (Historical) Items</t>
  </si>
  <si>
    <t>Net Interest &amp; Fee Expense</t>
  </si>
  <si>
    <t>Other LT and Subordinated Debt Disb</t>
  </si>
  <si>
    <t>Project-Related Working Capital</t>
  </si>
  <si>
    <t>Funding of Debt Service Reserve</t>
  </si>
  <si>
    <t>Profitability Statistics</t>
  </si>
  <si>
    <t>EBITDA (%)</t>
  </si>
  <si>
    <t>EBITDA (USD)</t>
  </si>
  <si>
    <t>Net Income (USD)</t>
  </si>
  <si>
    <t>Net Income (%)</t>
  </si>
  <si>
    <t>Cash Flow and Debt Service Coverage Statistics</t>
  </si>
  <si>
    <t>Operating Cash Flow (USD)</t>
  </si>
  <si>
    <t>Return Statistics</t>
  </si>
  <si>
    <t>Project IRR</t>
  </si>
  <si>
    <t>Project NPV</t>
  </si>
  <si>
    <t>Equity IRR</t>
  </si>
  <si>
    <t>Equity NPV</t>
  </si>
  <si>
    <t>Leverage Ratios</t>
  </si>
  <si>
    <t>Depreciation/Amortization Assumptions</t>
  </si>
  <si>
    <t>Working Capital and Debt Service Reserve Assumptions</t>
  </si>
  <si>
    <t>Amount of other Senior Debt</t>
  </si>
  <si>
    <t>Amount of Sub-Debt/Equity</t>
  </si>
  <si>
    <t>Debt/Equity</t>
  </si>
  <si>
    <t>Senior Debt/Sub-debt+Equity</t>
  </si>
  <si>
    <t>Operating CADS/Interest+Fees</t>
  </si>
  <si>
    <t>Working Capital Analysis</t>
  </si>
  <si>
    <t>Increase/(Decrease) in Receivables</t>
  </si>
  <si>
    <t>Increase/(Decrease) in Inventory</t>
  </si>
  <si>
    <t>(Increase)/Decrease in Payables</t>
  </si>
  <si>
    <t>Net Working Capital Cost</t>
  </si>
  <si>
    <t>DFC Debt Assumptions and Schedule</t>
  </si>
  <si>
    <t>DFC Debt Principal Disbursements in $000s</t>
  </si>
  <si>
    <t>DFC Debt Fees (Facility, Commitment)</t>
  </si>
  <si>
    <t>DFC Debt Interest</t>
  </si>
  <si>
    <t>DFC Debt Principal Repayments</t>
  </si>
  <si>
    <t>Total DFC Debt Service</t>
  </si>
  <si>
    <t>Amount of DFC Debt</t>
  </si>
  <si>
    <t>DFC Debt Disbursements</t>
  </si>
  <si>
    <t>Enter Target Date for First Disbursement of DFC-Supported Debt</t>
  </si>
  <si>
    <t>Serious Shea</t>
  </si>
  <si>
    <t xml:space="preserve">Name: </t>
  </si>
  <si>
    <t>Please enter Info Here:</t>
  </si>
  <si>
    <t xml:space="preserve">Phone Number 1 (office):                                     Phone Number 2 (mobile): </t>
  </si>
  <si>
    <t xml:space="preserve">Relationship to the Borrower / Investee / Guaranteed Party:  </t>
  </si>
  <si>
    <t xml:space="preserve">Name of Representative’s Company (if different from the Borrower / Investee / Guaranteed Party) </t>
  </si>
  <si>
    <t xml:space="preserve">Address (if different from the address of the Borrower / Investee / Guaranteed Party): </t>
  </si>
  <si>
    <t xml:space="preserve">E-mail: </t>
  </si>
  <si>
    <t xml:space="preserve">Name and Title of Representative: </t>
  </si>
  <si>
    <t>Loan Arranger</t>
  </si>
  <si>
    <t>Kaan Celebi / President</t>
  </si>
  <si>
    <t>TA Group, Inc.</t>
  </si>
  <si>
    <t>9705 Liberia Avenue, Suite 260 Manassas VA 20110</t>
  </si>
  <si>
    <t>+1 703-928-7922</t>
  </si>
  <si>
    <t>kaan.celebi@tagroupglobal.com</t>
  </si>
  <si>
    <t>Please provide Information - See guide below, can be sent via separate E-mail.</t>
  </si>
  <si>
    <t>Organizational Chart</t>
  </si>
  <si>
    <t>Key Relationship Chart</t>
  </si>
  <si>
    <t>Ownership Chart</t>
  </si>
  <si>
    <t>4A</t>
  </si>
  <si>
    <t>4B</t>
  </si>
  <si>
    <t xml:space="preserve">Please list and provide requested information on each of the following types of entities/individuals.  If an </t>
  </si>
  <si>
    <t xml:space="preserve">entity/individual plays multiple roles in a transaction, only list them once and indicate their most </t>
  </si>
  <si>
    <t xml:space="preserve">important/primary role: </t>
  </si>
  <si>
    <t xml:space="preserve">• Each business entity/individual that owns 10% or more (either directly or indirectly) of the </t>
  </si>
  <si>
    <t xml:space="preserve">Borrower/Investee/transaction. </t>
  </si>
  <si>
    <t xml:space="preserve">• Each business entity/individual that does or intends to provide credit support (e.g. a guarantor) </t>
  </si>
  <si>
    <t xml:space="preserve">• Each business entity/individual that does or will have a significant managerial relationship with the </t>
  </si>
  <si>
    <t xml:space="preserve">Borrower/Investee/transaction (e.g. executives/directors).   </t>
  </si>
  <si>
    <t xml:space="preserve">• Each business entity/individual that does or will have a primary contractual relationship with the </t>
  </si>
  <si>
    <t xml:space="preserve">Borrower/Investee (e.g. construction contractor, operations and maintenance contractor, hotel management </t>
  </si>
  <si>
    <t xml:space="preserve">company, etc.) </t>
  </si>
  <si>
    <t>DESCRIBE THE TRANSACTION</t>
  </si>
  <si>
    <t xml:space="preserve">Please provide a brief description of the proposed transaction, making sure to address the following: </t>
  </si>
  <si>
    <t>• What are the objectives – commercial-financial and social-developmental – of the proposed transaction?</t>
  </si>
  <si>
    <t>• What factors or resources under the control of the involved parties will contribute most toward meeting those</t>
  </si>
  <si>
    <t>objectives and why?</t>
  </si>
  <si>
    <t>• How would DFC’s participation in the transaction contribute to its success?</t>
  </si>
  <si>
    <t xml:space="preserve">Please attach the following supporting documents: </t>
  </si>
  <si>
    <t xml:space="preserve">Business Plan/Preliminary Information Memorandum </t>
  </si>
  <si>
    <t xml:space="preserve">Financial Projections Model </t>
  </si>
  <si>
    <t xml:space="preserve">Historical Financial Statements </t>
  </si>
  <si>
    <t xml:space="preserve">Please provide Information </t>
  </si>
  <si>
    <t xml:space="preserve">Since DFC supports a variety of transaction structures in many different sectors/industries and </t>
  </si>
  <si>
    <t xml:space="preserve">countries, it is not possible to provide a standard business plan template.  The following checklist </t>
  </si>
  <si>
    <t xml:space="preserve">details the items that applicants should consider as they prepare their business plans.   </t>
  </si>
  <si>
    <t xml:space="preserve">Investment/Transaction Summary </t>
  </si>
  <si>
    <t xml:space="preserve">loan/guaranty is to be used and any development activities completed to date -- investment made </t>
  </si>
  <si>
    <t>to date, market or feasibility studies performed, status of</t>
  </si>
  <si>
    <t xml:space="preserve">documentation/permits/government consents, environmental studies, past and ongoing </t>
  </si>
  <si>
    <t xml:space="preserve">consultations with project-affected communities (including disadvantaged and vulnerable groups), </t>
  </si>
  <si>
    <t>etc.</t>
  </si>
  <si>
    <t xml:space="preserve">amount, tenor, grace period -- and source, timing and amount of DFC or other equity </t>
  </si>
  <si>
    <t>contributions, grants or other funding; describe any proposed collateral and other credit support.</t>
  </si>
  <si>
    <t xml:space="preserve">Key Parties and Technical Assistance </t>
  </si>
  <si>
    <t>detailed information on the key parties associated with the transaction, fully explain their role(s),</t>
  </si>
  <si>
    <t>and explain the relationships among them.  If certain characteristics (e.g. a strong credit rating)</t>
  </si>
  <si>
    <t>or capabilities/experience (e.g. a strong track record in a given market or industry) are important</t>
  </si>
  <si>
    <t>to that party being considered a good candidate to fulfill their role in the transaction, please</t>
  </si>
  <si>
    <t>highlight that information.</t>
  </si>
  <si>
    <t>key factor in the successful development of the investment, please explain the role that it will</t>
  </si>
  <si>
    <t>play.</t>
  </si>
  <si>
    <t xml:space="preserve">Sector/Target Market/Economics </t>
  </si>
  <si>
    <t>and any recent or emerging trends that may affect its success.</t>
  </si>
  <si>
    <t>what quantity, and whether for the local market or for export (and if for export, to which countries).</t>
  </si>
  <si>
    <t>parameters, construction plans/schedule, equipment/land to be procured, off-take arrangements,</t>
  </si>
  <si>
    <t>such as concession or franchise/royalty agreement(s), construction contract(s), offtake</t>
  </si>
  <si>
    <t>agreement(s), environmental impact studies, feasibility studies, marketing studies, technical</t>
  </si>
  <si>
    <t>assistance agreement(s), management services agreement(s), lease(s), etc. (and attach</t>
  </si>
  <si>
    <t>electronically if available).</t>
  </si>
  <si>
    <t xml:space="preserve">Legal, Economic, Political Environment and Government Participation </t>
  </si>
  <si>
    <t>etc. required by the country/local government and the status of such documentation.</t>
  </si>
  <si>
    <t>the sector.</t>
  </si>
  <si>
    <t>country/region where the investment is located.</t>
  </si>
  <si>
    <t>the investment or the sector and any government incentives such as tax holidays.</t>
  </si>
  <si>
    <t>resolution processes that have occurred or are occurring involving any of the key parties that</t>
  </si>
  <si>
    <t>could affect this investment.</t>
  </si>
  <si>
    <r>
      <rPr>
        <b/>
        <sz val="12"/>
        <rFont val="Arial"/>
        <family val="2"/>
      </rPr>
      <t xml:space="preserve">• Financial Plan and Credit Support </t>
    </r>
    <r>
      <rPr>
        <sz val="12"/>
        <rFont val="Arial"/>
        <family val="2"/>
      </rPr>
      <t xml:space="preserve">Describe the proposed DFC and other lender debt  -- loan </t>
    </r>
  </si>
  <si>
    <r>
      <t>•</t>
    </r>
    <r>
      <rPr>
        <b/>
        <sz val="12"/>
        <rFont val="Arial"/>
        <family val="2"/>
      </rPr>
      <t xml:space="preserve"> Investment/Transaction Description/Status </t>
    </r>
    <r>
      <rPr>
        <sz val="12"/>
        <rFont val="Arial"/>
        <family val="2"/>
      </rPr>
      <t>Describe the purpose for which the DFC</t>
    </r>
  </si>
  <si>
    <r>
      <rPr>
        <b/>
        <sz val="12"/>
        <rFont val="Arial"/>
        <family val="2"/>
      </rPr>
      <t xml:space="preserve">• Owners/Shareholders, Guarantors, Management, Contractors, Regulators </t>
    </r>
    <r>
      <rPr>
        <sz val="12"/>
        <rFont val="Arial"/>
        <family val="2"/>
      </rPr>
      <t>-- Provide</t>
    </r>
  </si>
  <si>
    <r>
      <rPr>
        <b/>
        <sz val="12"/>
        <rFont val="Arial"/>
        <family val="2"/>
      </rPr>
      <t xml:space="preserve">• Technical Assistance </t>
    </r>
    <r>
      <rPr>
        <sz val="12"/>
        <rFont val="Arial"/>
        <family val="2"/>
      </rPr>
      <t>– If technical assistance (provided either by the DFC or other parties) is a</t>
    </r>
  </si>
  <si>
    <r>
      <rPr>
        <b/>
        <sz val="12"/>
        <rFont val="Arial"/>
        <family val="2"/>
      </rPr>
      <t xml:space="preserve">• Sector/Industry </t>
    </r>
    <r>
      <rPr>
        <sz val="12"/>
        <rFont val="Arial"/>
        <family val="2"/>
      </rPr>
      <t>Describe the competitive environment in which the investment is being made</t>
    </r>
  </si>
  <si>
    <r>
      <rPr>
        <b/>
        <sz val="12"/>
        <rFont val="Arial"/>
        <family val="2"/>
      </rPr>
      <t>• Product/Services</t>
    </r>
    <r>
      <rPr>
        <sz val="12"/>
        <rFont val="Arial"/>
        <family val="2"/>
      </rPr>
      <t xml:space="preserve"> Describe the ultimate products or services that this investment will produce, in</t>
    </r>
  </si>
  <si>
    <t>Please provide Information - Note: Most of the information is found in the presentations.</t>
  </si>
  <si>
    <r>
      <rPr>
        <b/>
        <sz val="12"/>
        <rFont val="Arial"/>
        <family val="2"/>
      </rPr>
      <t>• Economic/Technical Specifications</t>
    </r>
    <r>
      <rPr>
        <sz val="12"/>
        <rFont val="Arial"/>
        <family val="2"/>
      </rPr>
      <t xml:space="preserve"> If relevant, provide economic assumptions, technical</t>
    </r>
  </si>
  <si>
    <r>
      <rPr>
        <b/>
        <sz val="12"/>
        <rFont val="Arial"/>
        <family val="2"/>
      </rPr>
      <t>• Agreements</t>
    </r>
    <r>
      <rPr>
        <sz val="12"/>
        <rFont val="Arial"/>
        <family val="2"/>
      </rPr>
      <t xml:space="preserve"> List any key contractual arrangements necessary to the success of the investment</t>
    </r>
  </si>
  <si>
    <r>
      <rPr>
        <b/>
        <sz val="12"/>
        <rFont val="Arial"/>
        <family val="2"/>
      </rPr>
      <t>• Licenses/Permits</t>
    </r>
    <r>
      <rPr>
        <sz val="12"/>
        <rFont val="Arial"/>
        <family val="2"/>
      </rPr>
      <t xml:space="preserve"> List all licenses, permits, consents, approvals, environmental requirements</t>
    </r>
  </si>
  <si>
    <r>
      <rPr>
        <b/>
        <sz val="12"/>
        <rFont val="Arial"/>
        <family val="2"/>
      </rPr>
      <t xml:space="preserve">• Legal Regime </t>
    </r>
    <r>
      <rPr>
        <sz val="12"/>
        <rFont val="Arial"/>
        <family val="2"/>
      </rPr>
      <t>List local laws, regulations or pending reforms that will impact the investment or</t>
    </r>
  </si>
  <si>
    <r>
      <t>•</t>
    </r>
    <r>
      <rPr>
        <b/>
        <sz val="12"/>
        <rFont val="Arial"/>
        <family val="2"/>
      </rPr>
      <t xml:space="preserve"> Economic/Political Climate</t>
    </r>
    <r>
      <rPr>
        <sz val="12"/>
        <rFont val="Arial"/>
        <family val="2"/>
      </rPr>
      <t xml:space="preserve"> Describe relevant economic and political factors in the</t>
    </r>
  </si>
  <si>
    <r>
      <rPr>
        <b/>
        <sz val="12"/>
        <rFont val="Arial"/>
        <family val="2"/>
      </rPr>
      <t>• Government/Multilateral Participation</t>
    </r>
    <r>
      <rPr>
        <sz val="12"/>
        <rFont val="Arial"/>
        <family val="2"/>
      </rPr>
      <t xml:space="preserve"> Describe any government or multilateral involvement in</t>
    </r>
  </si>
  <si>
    <r>
      <rPr>
        <b/>
        <sz val="12"/>
        <rFont val="Arial"/>
        <family val="2"/>
      </rPr>
      <t>• Litigation or Dispute Resolution</t>
    </r>
    <r>
      <rPr>
        <sz val="12"/>
        <rFont val="Arial"/>
        <family val="2"/>
      </rPr>
      <t xml:space="preserve"> Describe any litigation or community dispute or complaint</t>
    </r>
  </si>
  <si>
    <t xml:space="preserve">Transaction Strengths/Risks and Risk Mitigation </t>
  </si>
  <si>
    <t>investment/transaction.</t>
  </si>
  <si>
    <t xml:space="preserve">management risks, political/economic risks, legal/regulatory risks and environmental, social and </t>
  </si>
  <si>
    <t xml:space="preserve">human rights risks and what steps the Borrower / Guaranteed Party will take to mitigate such </t>
  </si>
  <si>
    <t xml:space="preserve">risks and provide access to accountability and remedy for negative project impacts on individuals </t>
  </si>
  <si>
    <t>and communities.</t>
  </si>
  <si>
    <r>
      <rPr>
        <b/>
        <sz val="12"/>
        <rFont val="Arial"/>
        <family val="2"/>
      </rPr>
      <t>• Strengths</t>
    </r>
    <r>
      <rPr>
        <sz val="12"/>
        <rFont val="Arial"/>
        <family val="2"/>
      </rPr>
      <t xml:space="preserve"> Describe those factors that contribute to the long-term viability of the</t>
    </r>
  </si>
  <si>
    <r>
      <rPr>
        <b/>
        <sz val="12"/>
        <rFont val="Arial"/>
        <family val="2"/>
      </rPr>
      <t xml:space="preserve">• Risks </t>
    </r>
    <r>
      <rPr>
        <sz val="12"/>
        <rFont val="Arial"/>
        <family val="2"/>
      </rPr>
      <t xml:space="preserve">Describe risks such as credit risks, sector/market risks and competition, operational and </t>
    </r>
  </si>
  <si>
    <t xml:space="preserve"> DETAIL COSTS AND FUNDING </t>
  </si>
  <si>
    <t xml:space="preserve">If the Financing Structure chosen in Question 1 was Project Finance/Investment, then the online form will show </t>
  </si>
  <si>
    <t xml:space="preserve">the following: </t>
  </si>
  <si>
    <t xml:space="preserve">For a Project Finance transaction, please provide a detailed list of the estimated project costs and the types and </t>
  </si>
  <si>
    <t xml:space="preserve">amounts of funding that will be used to cover them.  Remember to include both hard/physical asset costs (e.g. </t>
  </si>
  <si>
    <t xml:space="preserve">buildings or equipment) and soft/implementation costs (e.g. legal or consultant services, fees, contingency etc.) in </t>
  </si>
  <si>
    <t xml:space="preserve">the cost estimate. The total cost amount in Column A must equal the total funding amount in Column B.  </t>
  </si>
  <si>
    <r>
      <rPr>
        <sz val="10.5"/>
        <rFont val="Times New Roman"/>
        <family val="1"/>
      </rPr>
      <t>Column A</t>
    </r>
  </si>
  <si>
    <r>
      <rPr>
        <sz val="10.5"/>
        <rFont val="Times New Roman"/>
        <family val="1"/>
      </rPr>
      <t>Column B</t>
    </r>
  </si>
  <si>
    <r>
      <rPr>
        <b/>
        <sz val="10.5"/>
        <rFont val="Times New Roman"/>
        <family val="1"/>
      </rPr>
      <t>Cost Item</t>
    </r>
  </si>
  <si>
    <r>
      <rPr>
        <b/>
        <sz val="10.5"/>
        <rFont val="Times New Roman"/>
        <family val="1"/>
      </rPr>
      <t>USD</t>
    </r>
  </si>
  <si>
    <r>
      <rPr>
        <b/>
        <sz val="10.5"/>
        <rFont val="Times New Roman"/>
        <family val="1"/>
      </rPr>
      <t>%</t>
    </r>
  </si>
  <si>
    <r>
      <rPr>
        <b/>
        <sz val="10.5"/>
        <rFont val="Times New Roman"/>
        <family val="1"/>
      </rPr>
      <t>Funding Source</t>
    </r>
  </si>
  <si>
    <r>
      <rPr>
        <b/>
        <sz val="10.5"/>
        <rFont val="Times New Roman"/>
        <family val="1"/>
      </rPr>
      <t>Debt:</t>
    </r>
  </si>
  <si>
    <r>
      <rPr>
        <sz val="10.5"/>
        <rFont val="Times New Roman"/>
        <family val="1"/>
      </rPr>
      <t>DFC loan (indicate proposed term)</t>
    </r>
  </si>
  <si>
    <r>
      <rPr>
        <sz val="10.5"/>
        <rFont val="Times New Roman"/>
        <family val="1"/>
      </rPr>
      <t>Other term debt (indicate proposed term)</t>
    </r>
  </si>
  <si>
    <r>
      <rPr>
        <sz val="10.5"/>
        <rFont val="Times New Roman"/>
        <family val="1"/>
      </rPr>
      <t>Supplier financing</t>
    </r>
  </si>
  <si>
    <r>
      <rPr>
        <b/>
        <sz val="10.5"/>
        <rFont val="Times New Roman"/>
        <family val="1"/>
      </rPr>
      <t>Subordinated Debt:</t>
    </r>
  </si>
  <si>
    <r>
      <rPr>
        <sz val="10.5"/>
        <rFont val="Times New Roman"/>
        <family val="1"/>
      </rPr>
      <t>Third party subordinated debt</t>
    </r>
  </si>
  <si>
    <r>
      <rPr>
        <sz val="10.5"/>
        <rFont val="Times New Roman"/>
        <family val="1"/>
      </rPr>
      <t>Shareholder subordinated loans</t>
    </r>
  </si>
  <si>
    <r>
      <rPr>
        <b/>
        <sz val="10.5"/>
        <rFont val="Times New Roman"/>
        <family val="1"/>
      </rPr>
      <t>Equity:</t>
    </r>
  </si>
  <si>
    <r>
      <rPr>
        <sz val="10.5"/>
        <rFont val="Times New Roman"/>
        <family val="1"/>
      </rPr>
      <t>DFC Equity</t>
    </r>
  </si>
  <si>
    <r>
      <rPr>
        <sz val="10.5"/>
        <rFont val="Times New Roman"/>
        <family val="1"/>
      </rPr>
      <t>Cash</t>
    </r>
  </si>
  <si>
    <r>
      <rPr>
        <sz val="10.5"/>
        <rFont val="Times New Roman"/>
        <family val="1"/>
      </rPr>
      <t>In-kind contribution</t>
    </r>
    <r>
      <rPr>
        <vertAlign val="superscript"/>
        <sz val="7"/>
        <rFont val="Times New Roman"/>
        <family val="1"/>
      </rPr>
      <t>5</t>
    </r>
  </si>
  <si>
    <r>
      <rPr>
        <sz val="10.5"/>
        <rFont val="Times New Roman"/>
        <family val="1"/>
      </rPr>
      <t>Grants</t>
    </r>
  </si>
  <si>
    <r>
      <rPr>
        <b/>
        <sz val="10.5"/>
        <rFont val="Times New Roman"/>
        <family val="1"/>
      </rPr>
      <t>Total Project Costs:</t>
    </r>
  </si>
  <si>
    <r>
      <rPr>
        <b/>
        <sz val="10.5"/>
        <rFont val="Times New Roman"/>
        <family val="1"/>
      </rPr>
      <t>Total Project Funding:</t>
    </r>
  </si>
  <si>
    <t xml:space="preserve">DESCRIBE COLLATERAL AND/OR CREDIT ENHANCEMENTS (IF APPLICABLE) </t>
  </si>
  <si>
    <t xml:space="preserve">DFC usually requires a collateral/credit enhancement package tailored to the specific risks of a given transaction.  </t>
  </si>
  <si>
    <t xml:space="preserve">Following are indicative categories of collateral/credit enhancement that DFC may require.  Please indicate below </t>
  </si>
  <si>
    <t xml:space="preserve">those categories that may be available (check all that apply): </t>
  </si>
  <si>
    <t xml:space="preserve">____ Guaranties from creditworthy individuals or companies (Specify name(s) of guarantor(s): ____) </t>
  </si>
  <si>
    <t xml:space="preserve">____ Irrevocable standby letter(s) of credit </t>
  </si>
  <si>
    <t xml:space="preserve">____ Debt Service Reserve Account </t>
  </si>
  <si>
    <t xml:space="preserve">____ “Key Man” Life Insurance </t>
  </si>
  <si>
    <t xml:space="preserve">____ Other (describe: ____________________________) </t>
  </si>
  <si>
    <t xml:space="preserve">  MANAGEMENT EXPERIENCE AND TRACK RECORD </t>
  </si>
  <si>
    <t xml:space="preserve">Briefly describe relevant experience (in the sector, in the market, etc.) that the key parties (individually or as a team) </t>
  </si>
  <si>
    <t xml:space="preserve">may contribute towards the success of the proposed transaction.  </t>
  </si>
  <si>
    <t xml:space="preserve">Please attach a document compiling CVs or other documentation that demonstrates this experience:  </t>
  </si>
  <si>
    <t xml:space="preserve">PROVIDE INFORMATION ON PRIVATE SECTOR SOURCES OF FINANCING </t>
  </si>
  <si>
    <t xml:space="preserve">DFC does not compete with private sector providers of financing.  Therefore, DFC requires that applicants: (a) </t>
  </si>
  <si>
    <t xml:space="preserve">evaluate the possibility of obtaining financing from private sources and (b) decide to pursue DFC financing because </t>
  </si>
  <si>
    <t xml:space="preserve">private financing is not available on terms sufficient to make the investment viable or because of specific benefits </t>
  </si>
  <si>
    <t xml:space="preserve">DFC participation will bring to the investment. </t>
  </si>
  <si>
    <r>
      <rPr>
        <sz val="11"/>
        <rFont val="Times New Roman"/>
        <family val="1"/>
      </rPr>
      <t>Have you evaluated the possibility of obtaining financing for this transaction from private sector sources?</t>
    </r>
    <r>
      <rPr>
        <vertAlign val="superscript"/>
        <sz val="7"/>
        <rFont val="Times New Roman"/>
        <family val="1"/>
      </rPr>
      <t>6</t>
    </r>
  </si>
  <si>
    <r>
      <rPr>
        <sz val="11"/>
        <rFont val="Times New Roman"/>
        <family val="1"/>
      </rPr>
      <t>Yes</t>
    </r>
  </si>
  <si>
    <r>
      <rPr>
        <sz val="11"/>
        <rFont val="Times New Roman"/>
        <family val="1"/>
      </rPr>
      <t>No</t>
    </r>
  </si>
  <si>
    <r>
      <rPr>
        <sz val="11"/>
        <rFont val="Times New Roman"/>
        <family val="1"/>
      </rPr>
      <t>Have you determined that private sector financing is not a viable option in this case?</t>
    </r>
    <r>
      <rPr>
        <vertAlign val="superscript"/>
        <sz val="7"/>
        <rFont val="Times New Roman"/>
        <family val="1"/>
      </rPr>
      <t>7</t>
    </r>
  </si>
  <si>
    <r>
      <rPr>
        <sz val="11"/>
        <rFont val="Times New Roman"/>
        <family val="1"/>
      </rPr>
      <t xml:space="preserve">If </t>
    </r>
    <r>
      <rPr>
        <u/>
        <sz val="11"/>
        <rFont val="Times New Roman"/>
        <family val="1"/>
      </rPr>
      <t>Yes</t>
    </r>
    <r>
      <rPr>
        <sz val="11"/>
        <rFont val="Times New Roman"/>
        <family val="1"/>
      </rPr>
      <t>, please list the private sector funding source(s) you have approached regarding this transaction and explain why private financing is not a viable option (i.e. country capacity limits, unworkable tenor and/or pricing).</t>
    </r>
  </si>
  <si>
    <t xml:space="preserve">CONSIDERATION FOR GRANT/TECHNICAL ASSISTANCE FUNDING </t>
  </si>
  <si>
    <t xml:space="preserve">In situations where the investment being proposed is highly developmental and requires a grant or similar funding </t>
  </si>
  <si>
    <t xml:space="preserve">for feasibility studies, training or other investment development activities, DFC may be able to provide such funding.  </t>
  </si>
  <si>
    <t xml:space="preserve">If the investment is successful to the extent that it becomes capable of repaying this funding to DFC, then it would </t>
  </si>
  <si>
    <t xml:space="preserve">be required to do so. </t>
  </si>
  <si>
    <t xml:space="preserve">If Yes, please provide the following: </t>
  </si>
  <si>
    <t xml:space="preserve">Description of the activities on which the funds would be used and how those activities are required for the successful </t>
  </si>
  <si>
    <t xml:space="preserve">development of the overall investment:  </t>
  </si>
  <si>
    <t xml:space="preserve">HOW DID YOU LEARN ABOUT DFC? </t>
  </si>
  <si>
    <t xml:space="preserve">DFC is interested in knowing what types of communications about its programs are most effective.  If this is the first </t>
  </si>
  <si>
    <t xml:space="preserve">time you are applying for a DFC product, please select the source of your initial information about DFC: </t>
  </si>
  <si>
    <t xml:space="preserve">____   Referred by financial or legal advisor (Name of advisor ______________) </t>
  </si>
  <si>
    <t xml:space="preserve">____   Referred by portfolio facility manager (Name of facility manager___________________) </t>
  </si>
  <si>
    <t xml:space="preserve">____   Past or present DFC client. (Name of client _______________________) </t>
  </si>
  <si>
    <t xml:space="preserve">____   Other (describe:  ______) </t>
  </si>
  <si>
    <t xml:space="preserve">       N/A – This is not my first application to DFC </t>
  </si>
  <si>
    <t xml:space="preserve">___  DFC-sponsored workshop or event (Name of event________________) </t>
  </si>
  <si>
    <t xml:space="preserve">___  DFC speaker at an industry event (Name of event_________________) </t>
  </si>
  <si>
    <t>__    Other US Government Agency (e.g. USAID, State/Embassy, USEXIM, etc. - there is a drop-down list)</t>
  </si>
  <si>
    <t>MAY WE SHARE YOUR INFORMATION WITH OTHER DFIs?  (Yes/No)</t>
  </si>
  <si>
    <t xml:space="preserve">Do you permit DFC to share the following information with other development finance institutions (DFIs) who </t>
  </si>
  <si>
    <t>may be interested in the type of project/transaction you are proposing?</t>
  </si>
  <si>
    <t xml:space="preserve">• The Borrower/Investee/Guaranteed Party Name and Location from Question 2; </t>
  </si>
  <si>
    <t xml:space="preserve">• The Representative Name, Title, and E-mail address from Question 3; </t>
  </si>
  <si>
    <t xml:space="preserve">• The DFC-designated sectoral category (i.e. financial services, power generation) that corresponds with the      </t>
  </si>
  <si>
    <t xml:space="preserve">nature of your project/transaction.  </t>
  </si>
  <si>
    <t xml:space="preserve">Please note that this is not a guarantee that DFC will share the information nor a guarantee that recipients of the </t>
  </si>
  <si>
    <t>information will provide additional support to the transaction.</t>
  </si>
  <si>
    <t xml:space="preserve">SUBMISSION/SIGNATURE Page </t>
  </si>
  <si>
    <t xml:space="preserve">Select DFC Origination Officer </t>
  </si>
  <si>
    <t xml:space="preserve">Please select a recipient to receive your application materials.  If you are already working with a DFC </t>
  </si>
  <si>
    <t xml:space="preserve">origination officer, please select their name from the menu below.  If not, please select “Officer not </t>
  </si>
  <si>
    <t xml:space="preserve">assigned” and your application will be forwarded to a DFC officer who reviews incoming applications. </t>
  </si>
  <si>
    <t xml:space="preserve">Officer Name: (drop-down list) </t>
  </si>
  <si>
    <t xml:space="preserve">I certify that the statements and information provided herein are true to and correct to the best of my knowledge </t>
  </si>
  <si>
    <t xml:space="preserve">and belief. </t>
  </si>
  <si>
    <t xml:space="preserve">Title/Role in Transaction: </t>
  </si>
  <si>
    <t xml:space="preserve">Email Address: </t>
  </si>
  <si>
    <t>Shea Butter</t>
  </si>
  <si>
    <t>Dried Shea Fruit</t>
  </si>
  <si>
    <t>Dried Mango</t>
  </si>
  <si>
    <t>Compost (Biogaz)</t>
  </si>
  <si>
    <t>Regional Management</t>
  </si>
  <si>
    <t>Collection Center Opex</t>
  </si>
  <si>
    <t>Processing Center Opex</t>
  </si>
  <si>
    <t>Building&amp;Equipment Costs of Collection Centers</t>
  </si>
  <si>
    <t>Building&amp;Equipment Costs of Processing Centers</t>
  </si>
  <si>
    <t>Environmental Impact Study Cost</t>
  </si>
  <si>
    <t>Development of the constitution and bylaws of texts training, registration cost of the COOP-CA cooperative society</t>
  </si>
  <si>
    <t>Office equipment and furniture</t>
  </si>
  <si>
    <t>Computer equipment and accessories (printer, internet key) + facilities</t>
  </si>
  <si>
    <t>Start-up costs</t>
  </si>
  <si>
    <t>Initial procurement (to be deducted from 1st year)</t>
  </si>
  <si>
    <t>Software and Training</t>
  </si>
  <si>
    <t>Loan Proccesing Fee</t>
  </si>
  <si>
    <t xml:space="preserve">To Be incorporated </t>
    <phoneticPr fontId="0" type="noConversion"/>
  </si>
  <si>
    <t xml:space="preserve">40% Shares </t>
  </si>
  <si>
    <t>60% Shares</t>
  </si>
  <si>
    <t xml:space="preserve">SeriousShea SARL </t>
  </si>
  <si>
    <t xml:space="preserve"> Shea Wall  Community Foundation </t>
  </si>
  <si>
    <t>Secteur 29, 01 BP 6433 , – Lot: 24 Section: XT Parcelle: 03,  Ouagadougou 01, Burkina Faso</t>
  </si>
  <si>
    <t>TBD</t>
  </si>
  <si>
    <t>Serious Shea Business Plan is attached for this purpose</t>
    <phoneticPr fontId="0" type="noConversion"/>
  </si>
  <si>
    <t>Development of the constitution and bylaws of texts, training, registration cost of the COOP-CA cooperative society</t>
  </si>
  <si>
    <r>
      <t>__</t>
    </r>
    <r>
      <rPr>
        <sz val="12"/>
        <color indexed="10"/>
        <rFont val="Arial"/>
        <family val="2"/>
      </rPr>
      <t>x</t>
    </r>
    <r>
      <rPr>
        <sz val="12"/>
        <rFont val="Arial"/>
        <family val="2"/>
      </rPr>
      <t xml:space="preserve">__ Pledge of shares of the Borrower </t>
    </r>
  </si>
  <si>
    <r>
      <t>__</t>
    </r>
    <r>
      <rPr>
        <sz val="12"/>
        <color indexed="10"/>
        <rFont val="Arial"/>
        <family val="2"/>
      </rPr>
      <t>x</t>
    </r>
    <r>
      <rPr>
        <sz val="12"/>
        <rFont val="Arial"/>
        <family val="2"/>
      </rPr>
      <t xml:space="preserve">__ Liens/Mortgages on Borrower assets (Specify types/locations:  ___________) </t>
    </r>
  </si>
  <si>
    <r>
      <t>__</t>
    </r>
    <r>
      <rPr>
        <sz val="12"/>
        <color indexed="10"/>
        <rFont val="Arial"/>
        <family val="2"/>
      </rPr>
      <t>x_</t>
    </r>
    <r>
      <rPr>
        <sz val="12"/>
        <rFont val="Arial"/>
        <family val="2"/>
      </rPr>
      <t xml:space="preserve">_ Liens/Mortgages on other assets (Specify types/locations:  _____________) </t>
    </r>
  </si>
  <si>
    <t>Local private sector financing does not provide long term ressource and the rates of 12% + will make the project non profitable. They do not factor the environmental and social impact. </t>
  </si>
  <si>
    <r>
      <t xml:space="preserve">Would you like to be considered for this type of funding?  </t>
    </r>
    <r>
      <rPr>
        <sz val="12"/>
        <color indexed="10"/>
        <rFont val="Arial"/>
        <family val="2"/>
      </rPr>
      <t>Yes</t>
    </r>
  </si>
  <si>
    <r>
      <t xml:space="preserve">Amount Requested: </t>
    </r>
    <r>
      <rPr>
        <sz val="10"/>
        <color indexed="10"/>
        <rFont val="Arial"/>
        <family val="2"/>
        <charset val="162"/>
      </rPr>
      <t>USD1,000,000</t>
    </r>
  </si>
  <si>
    <t>The funds are required to develop and deploy training to the cooperatives in order to support the change</t>
    <phoneticPr fontId="0" type="noConversion"/>
  </si>
  <si>
    <t xml:space="preserve">process and to understand the environmental impact of the value chain. Further, we intend tp provide literacy, </t>
    <phoneticPr fontId="0" type="noConversion"/>
  </si>
  <si>
    <t>numeracy and management seminars and tools, assistance to structure the associations in</t>
    <phoneticPr fontId="0" type="noConversion"/>
  </si>
  <si>
    <t>cooperatives and structure financial inclusion services.</t>
    <phoneticPr fontId="0" type="noConversion"/>
  </si>
  <si>
    <r>
      <t>_</t>
    </r>
    <r>
      <rPr>
        <sz val="12"/>
        <color indexed="10"/>
        <rFont val="Arial"/>
        <family val="2"/>
      </rPr>
      <t>x</t>
    </r>
    <r>
      <rPr>
        <sz val="12"/>
        <rFont val="Arial"/>
        <family val="2"/>
      </rPr>
      <t xml:space="preserve">_    DFC’s website or other social media (Twitter, Facebook, etc.) </t>
    </r>
  </si>
  <si>
    <t>www.seriousshea.com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</si>
</sst>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(* #,##0_);_(* \(#,##0\);_(* &quot;-&quot;_);_(@_)"/>
    <numFmt numFmtId="43" formatCode="_(* #,##0.00_);_(* \(#,##0.00\);_(* &quot;-&quot;??_);_(@_)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_);_(* \(#,##0\);_(* &quot;-&quot;??_);_(@_)"/>
    <numFmt numFmtId="168" formatCode="0.0%"/>
    <numFmt numFmtId="169" formatCode="mm/dd/yy"/>
    <numFmt numFmtId="170" formatCode="m/d/yy"/>
    <numFmt numFmtId="171" formatCode="_-[$$-409]* #,##0.00_ ;_-[$$-409]* \-#,##0.00\ ;_-[$$-409]* &quot;-&quot;??_ ;_-@_ "/>
    <numFmt numFmtId="172" formatCode="0.0000000"/>
  </numFmts>
  <fonts count="43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2"/>
      <color rgb="FFFF0000"/>
      <name val="Arial"/>
      <family val="2"/>
    </font>
    <font>
      <b/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9"/>
      <color indexed="81"/>
      <name val="Microsoft Sans Serif"/>
      <family val="2"/>
    </font>
    <font>
      <b/>
      <sz val="9"/>
      <color indexed="81"/>
      <name val="Tahoma"/>
      <family val="2"/>
    </font>
    <font>
      <sz val="12"/>
      <name val="Arial"/>
      <family val="2"/>
    </font>
    <font>
      <sz val="10"/>
      <color rgb="FFFF0000"/>
      <name val="Arial"/>
      <family val="2"/>
    </font>
    <font>
      <sz val="14"/>
      <color rgb="FFFF0000"/>
      <name val="Arial"/>
      <family val="2"/>
    </font>
    <font>
      <sz val="12"/>
      <color rgb="FFFF0000"/>
      <name val="Arial"/>
      <family val="2"/>
    </font>
    <font>
      <u/>
      <sz val="10"/>
      <color theme="10"/>
      <name val="Arial"/>
      <family val="2"/>
    </font>
    <font>
      <b/>
      <i/>
      <sz val="14"/>
      <name val="Arial"/>
      <family val="2"/>
    </font>
    <font>
      <sz val="10.5"/>
      <name val="Times New Roman"/>
      <family val="1"/>
    </font>
    <font>
      <b/>
      <sz val="10.5"/>
      <name val="Times New Roman"/>
      <family val="1"/>
    </font>
    <font>
      <vertAlign val="superscript"/>
      <sz val="7"/>
      <name val="Times New Roman"/>
      <family val="1"/>
    </font>
    <font>
      <sz val="11"/>
      <name val="Times New Roman"/>
      <family val="1"/>
    </font>
    <font>
      <u/>
      <sz val="11"/>
      <name val="Times New Roman"/>
      <family val="1"/>
    </font>
    <font>
      <sz val="10"/>
      <name val="Arial"/>
      <family val="2"/>
      <charset val="162"/>
    </font>
    <font>
      <sz val="10"/>
      <color rgb="FFFF0000"/>
      <name val="Arial"/>
      <family val="2"/>
      <charset val="162"/>
    </font>
    <font>
      <sz val="14"/>
      <color indexed="10"/>
      <name val="Arial"/>
      <family val="2"/>
    </font>
    <font>
      <sz val="10"/>
      <color indexed="10"/>
      <name val="Arial"/>
      <family val="2"/>
      <charset val="162"/>
    </font>
    <font>
      <sz val="10"/>
      <color indexed="18"/>
      <name val="Arial"/>
      <family val="2"/>
      <charset val="162"/>
    </font>
    <font>
      <sz val="12"/>
      <color indexed="18"/>
      <name val="Arial"/>
      <family val="2"/>
      <charset val="162"/>
    </font>
    <font>
      <sz val="12"/>
      <color indexed="8"/>
      <name val="Arial"/>
      <family val="2"/>
      <charset val="162"/>
    </font>
    <font>
      <sz val="12"/>
      <color indexed="10"/>
      <name val="Arial"/>
      <family val="2"/>
    </font>
    <font>
      <u/>
      <sz val="10"/>
      <color theme="10"/>
      <name val="Arial"/>
      <family val="2"/>
      <charset val="162"/>
    </font>
    <font>
      <b/>
      <sz val="12"/>
      <color rgb="FF000000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32" fillId="0" borderId="0"/>
    <xf numFmtId="0" fontId="40" fillId="0" borderId="0" applyNumberFormat="0" applyFill="0" applyBorder="0" applyAlignment="0" applyProtection="0"/>
  </cellStyleXfs>
  <cellXfs count="36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right"/>
    </xf>
    <xf numFmtId="10" fontId="0" fillId="0" borderId="0" xfId="0" applyNumberFormat="1"/>
    <xf numFmtId="0" fontId="0" fillId="0" borderId="0" xfId="0" applyNumberFormat="1"/>
    <xf numFmtId="3" fontId="0" fillId="0" borderId="0" xfId="0" applyNumberFormat="1"/>
    <xf numFmtId="2" fontId="0" fillId="0" borderId="0" xfId="0" applyNumberFormat="1"/>
    <xf numFmtId="0" fontId="0" fillId="2" borderId="0" xfId="0" applyFill="1"/>
    <xf numFmtId="10" fontId="0" fillId="2" borderId="0" xfId="0" applyNumberFormat="1" applyFill="1"/>
    <xf numFmtId="0" fontId="6" fillId="0" borderId="0" xfId="0" applyFont="1"/>
    <xf numFmtId="0" fontId="0" fillId="3" borderId="0" xfId="0" applyFill="1"/>
    <xf numFmtId="0" fontId="0" fillId="0" borderId="0" xfId="0" applyFill="1"/>
    <xf numFmtId="1" fontId="0" fillId="0" borderId="0" xfId="0" applyNumberFormat="1"/>
    <xf numFmtId="0" fontId="1" fillId="0" borderId="0" xfId="0" applyFont="1" applyBorder="1" applyAlignment="1">
      <alignment horizontal="center"/>
    </xf>
    <xf numFmtId="169" fontId="0" fillId="0" borderId="0" xfId="0" applyNumberFormat="1" applyFill="1" applyBorder="1" applyProtection="1"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Fill="1" applyProtection="1">
      <protection locked="0"/>
    </xf>
    <xf numFmtId="2" fontId="0" fillId="0" borderId="4" xfId="0" applyNumberFormat="1" applyFill="1" applyBorder="1" applyProtection="1">
      <protection locked="0"/>
    </xf>
    <xf numFmtId="1" fontId="0" fillId="0" borderId="0" xfId="0" applyNumberFormat="1" applyFill="1" applyProtection="1">
      <protection locked="0"/>
    </xf>
    <xf numFmtId="0" fontId="0" fillId="0" borderId="0" xfId="0" applyNumberFormat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Fill="1" applyAlignment="1" applyProtection="1">
      <alignment horizontal="right"/>
      <protection locked="0"/>
    </xf>
    <xf numFmtId="2" fontId="0" fillId="0" borderId="0" xfId="0" applyNumberFormat="1" applyFill="1" applyProtection="1"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5" fillId="0" borderId="0" xfId="0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1" fillId="0" borderId="6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4" fillId="0" borderId="9" xfId="0" applyFont="1" applyFill="1" applyBorder="1" applyAlignment="1" applyProtection="1">
      <alignment horizontal="left"/>
      <protection locked="0"/>
    </xf>
    <xf numFmtId="10" fontId="10" fillId="0" borderId="0" xfId="0" applyNumberFormat="1" applyFont="1" applyFill="1" applyProtection="1">
      <protection locked="0"/>
    </xf>
    <xf numFmtId="10" fontId="4" fillId="0" borderId="9" xfId="0" applyNumberFormat="1" applyFont="1" applyFill="1" applyBorder="1" applyAlignment="1" applyProtection="1">
      <alignment horizontal="left"/>
      <protection locked="0"/>
    </xf>
    <xf numFmtId="10" fontId="0" fillId="0" borderId="0" xfId="0" applyNumberFormat="1" applyFill="1" applyBorder="1" applyProtection="1">
      <protection locked="0"/>
    </xf>
    <xf numFmtId="10" fontId="10" fillId="0" borderId="0" xfId="0" applyNumberFormat="1" applyFont="1" applyFill="1" applyAlignment="1" applyProtection="1">
      <alignment horizontal="center"/>
      <protection locked="0"/>
    </xf>
    <xf numFmtId="10" fontId="0" fillId="0" borderId="9" xfId="0" applyNumberFormat="1" applyFill="1" applyBorder="1" applyProtection="1">
      <protection locked="0"/>
    </xf>
    <xf numFmtId="10" fontId="0" fillId="0" borderId="9" xfId="0" applyNumberFormat="1" applyFill="1" applyBorder="1" applyAlignment="1" applyProtection="1">
      <alignment horizontal="right"/>
      <protection locked="0"/>
    </xf>
    <xf numFmtId="10" fontId="0" fillId="0" borderId="10" xfId="0" applyNumberFormat="1" applyFill="1" applyBorder="1" applyProtection="1">
      <protection locked="0"/>
    </xf>
    <xf numFmtId="170" fontId="0" fillId="0" borderId="0" xfId="0" applyNumberFormat="1" applyFill="1" applyBorder="1" applyProtection="1">
      <protection locked="0"/>
    </xf>
    <xf numFmtId="1" fontId="10" fillId="0" borderId="0" xfId="0" applyNumberFormat="1" applyFont="1" applyFill="1" applyBorder="1" applyProtection="1">
      <protection locked="0"/>
    </xf>
    <xf numFmtId="10" fontId="11" fillId="0" borderId="0" xfId="0" applyNumberFormat="1" applyFont="1" applyFill="1" applyBorder="1" applyProtection="1">
      <protection locked="0"/>
    </xf>
    <xf numFmtId="2" fontId="0" fillId="0" borderId="0" xfId="0" applyNumberFormat="1" applyFill="1" applyBorder="1" applyProtection="1">
      <protection locked="0"/>
    </xf>
    <xf numFmtId="10" fontId="0" fillId="0" borderId="9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169" fontId="0" fillId="0" borderId="0" xfId="0" applyNumberFormat="1" applyBorder="1" applyProtection="1">
      <protection locked="0"/>
    </xf>
    <xf numFmtId="1" fontId="0" fillId="0" borderId="0" xfId="0" applyNumberFormat="1" applyBorder="1" applyProtection="1">
      <protection locked="0"/>
    </xf>
    <xf numFmtId="10" fontId="0" fillId="0" borderId="11" xfId="0" applyNumberFormat="1" applyBorder="1" applyProtection="1">
      <protection locked="0"/>
    </xf>
    <xf numFmtId="10" fontId="0" fillId="0" borderId="5" xfId="0" applyNumberFormat="1" applyBorder="1" applyProtection="1">
      <protection locked="0"/>
    </xf>
    <xf numFmtId="1" fontId="0" fillId="0" borderId="5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3" fontId="0" fillId="0" borderId="0" xfId="1" applyNumberFormat="1" applyFont="1" applyBorder="1" applyProtection="1">
      <protection locked="0"/>
    </xf>
    <xf numFmtId="0" fontId="0" fillId="0" borderId="9" xfId="0" applyFill="1" applyBorder="1" applyProtection="1">
      <protection locked="0"/>
    </xf>
    <xf numFmtId="3" fontId="0" fillId="0" borderId="0" xfId="1" applyNumberFormat="1" applyFont="1" applyFill="1" applyBorder="1" applyProtection="1">
      <protection locked="0"/>
    </xf>
    <xf numFmtId="0" fontId="1" fillId="0" borderId="9" xfId="0" applyFont="1" applyBorder="1" applyAlignment="1" applyProtection="1">
      <alignment horizontal="right"/>
      <protection locked="0"/>
    </xf>
    <xf numFmtId="0" fontId="4" fillId="0" borderId="11" xfId="0" applyFont="1" applyBorder="1" applyAlignment="1" applyProtection="1">
      <alignment horizontal="left"/>
      <protection locked="0"/>
    </xf>
    <xf numFmtId="3" fontId="0" fillId="0" borderId="5" xfId="1" applyNumberFormat="1" applyFont="1" applyBorder="1" applyProtection="1">
      <protection locked="0"/>
    </xf>
    <xf numFmtId="0" fontId="4" fillId="0" borderId="9" xfId="0" applyFont="1" applyBorder="1" applyAlignment="1" applyProtection="1">
      <alignment horizontal="left"/>
      <protection locked="0"/>
    </xf>
    <xf numFmtId="3" fontId="0" fillId="0" borderId="0" xfId="0" applyNumberFormat="1" applyBorder="1" applyProtection="1">
      <protection locked="0"/>
    </xf>
    <xf numFmtId="3" fontId="0" fillId="0" borderId="5" xfId="0" applyNumberFormat="1" applyBorder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10" fontId="0" fillId="0" borderId="0" xfId="0" applyNumberFormat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right"/>
      <protection locked="0"/>
    </xf>
    <xf numFmtId="3" fontId="0" fillId="0" borderId="0" xfId="0" applyNumberFormat="1" applyProtection="1">
      <protection locked="0"/>
    </xf>
    <xf numFmtId="0" fontId="4" fillId="0" borderId="0" xfId="0" applyFont="1" applyFill="1" applyAlignment="1" applyProtection="1">
      <alignment horizontal="left"/>
      <protection locked="0"/>
    </xf>
    <xf numFmtId="3" fontId="1" fillId="0" borderId="0" xfId="0" applyNumberFormat="1" applyFont="1" applyProtection="1">
      <protection locked="0"/>
    </xf>
    <xf numFmtId="3" fontId="1" fillId="0" borderId="0" xfId="0" applyNumberFormat="1" applyFont="1" applyAlignment="1" applyProtection="1">
      <alignment horizontal="right"/>
      <protection locked="0"/>
    </xf>
    <xf numFmtId="3" fontId="5" fillId="0" borderId="0" xfId="0" applyNumberFormat="1" applyFont="1" applyProtection="1">
      <protection locked="0"/>
    </xf>
    <xf numFmtId="3" fontId="0" fillId="0" borderId="0" xfId="0" applyNumberFormat="1" applyAlignment="1" applyProtection="1">
      <alignment horizontal="center"/>
      <protection locked="0"/>
    </xf>
    <xf numFmtId="3" fontId="3" fillId="0" borderId="0" xfId="0" applyNumberFormat="1" applyFont="1" applyAlignment="1" applyProtection="1">
      <alignment horizontal="right"/>
      <protection locked="0"/>
    </xf>
    <xf numFmtId="3" fontId="4" fillId="0" borderId="0" xfId="0" applyNumberFormat="1" applyFont="1" applyAlignment="1" applyProtection="1">
      <alignment horizontal="right"/>
      <protection locked="0"/>
    </xf>
    <xf numFmtId="3" fontId="1" fillId="0" borderId="0" xfId="0" applyNumberFormat="1" applyFont="1" applyAlignment="1" applyProtection="1">
      <alignment horizontal="left"/>
      <protection locked="0"/>
    </xf>
    <xf numFmtId="3" fontId="0" fillId="0" borderId="0" xfId="0" applyNumberFormat="1" applyAlignment="1" applyProtection="1">
      <alignment horizontal="right"/>
      <protection locked="0"/>
    </xf>
    <xf numFmtId="3" fontId="0" fillId="0" borderId="0" xfId="0" applyNumberFormat="1" applyAlignment="1" applyProtection="1">
      <alignment horizontal="left"/>
      <protection locked="0"/>
    </xf>
    <xf numFmtId="3" fontId="0" fillId="0" borderId="0" xfId="0" applyNumberFormat="1" applyAlignment="1" applyProtection="1">
      <alignment horizontal="right" wrapText="1"/>
      <protection locked="0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3" fontId="0" fillId="0" borderId="0" xfId="0" quotePrefix="1" applyNumberFormat="1" applyProtection="1">
      <protection locked="0"/>
    </xf>
    <xf numFmtId="3" fontId="0" fillId="0" borderId="0" xfId="0" quotePrefix="1" applyNumberFormat="1" applyAlignment="1" applyProtection="1">
      <alignment horizontal="left"/>
      <protection locked="0"/>
    </xf>
    <xf numFmtId="2" fontId="1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0" fillId="0" borderId="4" xfId="0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10" xfId="0" applyNumberFormat="1" applyBorder="1" applyProtection="1">
      <protection locked="0"/>
    </xf>
    <xf numFmtId="0" fontId="1" fillId="0" borderId="0" xfId="0" applyFont="1" applyProtection="1">
      <protection locked="0"/>
    </xf>
    <xf numFmtId="2" fontId="4" fillId="0" borderId="0" xfId="0" applyNumberFormat="1" applyFont="1" applyProtection="1">
      <protection locked="0"/>
    </xf>
    <xf numFmtId="0" fontId="8" fillId="0" borderId="0" xfId="0" applyFont="1"/>
    <xf numFmtId="0" fontId="0" fillId="0" borderId="4" xfId="0" applyBorder="1"/>
    <xf numFmtId="0" fontId="8" fillId="0" borderId="0" xfId="0" applyFont="1" applyAlignment="1">
      <alignment horizontal="right"/>
    </xf>
    <xf numFmtId="3" fontId="0" fillId="0" borderId="0" xfId="0" applyNumberFormat="1" applyFill="1" applyProtection="1">
      <protection locked="0"/>
    </xf>
    <xf numFmtId="0" fontId="12" fillId="0" borderId="0" xfId="0" applyFont="1" applyBorder="1" applyProtection="1">
      <protection locked="0"/>
    </xf>
    <xf numFmtId="3" fontId="4" fillId="0" borderId="0" xfId="0" applyNumberFormat="1" applyFont="1" applyProtection="1">
      <protection locked="0"/>
    </xf>
    <xf numFmtId="3" fontId="4" fillId="0" borderId="0" xfId="0" applyNumberFormat="1" applyFont="1" applyAlignment="1" applyProtection="1">
      <alignment horizontal="center"/>
      <protection locked="0"/>
    </xf>
    <xf numFmtId="9" fontId="4" fillId="0" borderId="0" xfId="3" applyFont="1" applyProtection="1">
      <protection locked="0"/>
    </xf>
    <xf numFmtId="9" fontId="4" fillId="5" borderId="0" xfId="3" applyFont="1" applyFill="1" applyProtection="1"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0" fillId="0" borderId="5" xfId="0" applyBorder="1"/>
    <xf numFmtId="10" fontId="4" fillId="0" borderId="9" xfId="0" applyNumberFormat="1" applyFont="1" applyBorder="1" applyProtection="1">
      <protection locked="0"/>
    </xf>
    <xf numFmtId="165" fontId="4" fillId="0" borderId="0" xfId="0" applyNumberFormat="1" applyFont="1" applyFill="1" applyAlignment="1" applyProtection="1">
      <alignment horizontal="center"/>
      <protection locked="0"/>
    </xf>
    <xf numFmtId="0" fontId="8" fillId="0" borderId="0" xfId="0" applyFont="1" applyAlignment="1">
      <alignment wrapText="1"/>
    </xf>
    <xf numFmtId="4" fontId="13" fillId="4" borderId="0" xfId="2" applyNumberFormat="1" applyFont="1" applyFill="1"/>
    <xf numFmtId="169" fontId="0" fillId="0" borderId="0" xfId="0" applyNumberFormat="1" applyFill="1"/>
    <xf numFmtId="39" fontId="13" fillId="0" borderId="0" xfId="1" applyNumberFormat="1" applyFont="1" applyFill="1"/>
    <xf numFmtId="14" fontId="0" fillId="4" borderId="0" xfId="0" applyNumberFormat="1" applyFill="1"/>
    <xf numFmtId="1" fontId="0" fillId="4" borderId="0" xfId="0" applyNumberFormat="1" applyFill="1"/>
    <xf numFmtId="9" fontId="0" fillId="4" borderId="0" xfId="3" applyFont="1" applyFill="1"/>
    <xf numFmtId="2" fontId="0" fillId="0" borderId="0" xfId="0" applyNumberFormat="1" applyFill="1"/>
    <xf numFmtId="14" fontId="0" fillId="0" borderId="0" xfId="0" applyNumberFormat="1" applyFill="1"/>
    <xf numFmtId="2" fontId="0" fillId="0" borderId="0" xfId="0" applyNumberFormat="1" applyBorder="1"/>
    <xf numFmtId="43" fontId="13" fillId="0" borderId="0" xfId="1" applyNumberFormat="1" applyFont="1"/>
    <xf numFmtId="169" fontId="0" fillId="0" borderId="0" xfId="0" applyNumberFormat="1"/>
    <xf numFmtId="1" fontId="0" fillId="0" borderId="0" xfId="0" applyNumberFormat="1" applyFill="1"/>
    <xf numFmtId="0" fontId="4" fillId="0" borderId="0" xfId="0" applyFont="1" applyFill="1"/>
    <xf numFmtId="0" fontId="4" fillId="0" borderId="0" xfId="0" applyFont="1"/>
    <xf numFmtId="0" fontId="0" fillId="0" borderId="8" xfId="0" applyBorder="1"/>
    <xf numFmtId="0" fontId="0" fillId="0" borderId="12" xfId="0" applyBorder="1"/>
    <xf numFmtId="3" fontId="0" fillId="0" borderId="0" xfId="0" applyNumberFormat="1" applyBorder="1"/>
    <xf numFmtId="9" fontId="0" fillId="0" borderId="0" xfId="3" applyFont="1" applyBorder="1"/>
    <xf numFmtId="0" fontId="0" fillId="0" borderId="0" xfId="0" applyBorder="1"/>
    <xf numFmtId="0" fontId="0" fillId="0" borderId="13" xfId="0" applyBorder="1"/>
    <xf numFmtId="0" fontId="4" fillId="0" borderId="9" xfId="0" applyFont="1" applyFill="1" applyBorder="1" applyAlignment="1" applyProtection="1">
      <alignment horizontal="right"/>
      <protection locked="0"/>
    </xf>
    <xf numFmtId="0" fontId="0" fillId="0" borderId="9" xfId="0" applyBorder="1"/>
    <xf numFmtId="0" fontId="4" fillId="0" borderId="9" xfId="0" applyFont="1" applyBorder="1"/>
    <xf numFmtId="10" fontId="0" fillId="0" borderId="0" xfId="0" applyNumberFormat="1" applyBorder="1"/>
    <xf numFmtId="0" fontId="0" fillId="0" borderId="14" xfId="0" applyBorder="1"/>
    <xf numFmtId="0" fontId="4" fillId="0" borderId="15" xfId="0" applyFont="1" applyFill="1" applyBorder="1" applyAlignment="1" applyProtection="1">
      <alignment horizontal="left"/>
      <protection locked="0"/>
    </xf>
    <xf numFmtId="3" fontId="0" fillId="0" borderId="4" xfId="0" applyNumberFormat="1" applyBorder="1"/>
    <xf numFmtId="9" fontId="0" fillId="0" borderId="4" xfId="3" applyFont="1" applyBorder="1"/>
    <xf numFmtId="0" fontId="4" fillId="0" borderId="15" xfId="0" applyFont="1" applyBorder="1"/>
    <xf numFmtId="0" fontId="4" fillId="0" borderId="0" xfId="0" applyFont="1" applyFill="1" applyBorder="1" applyAlignment="1">
      <alignment horizontal="right"/>
    </xf>
    <xf numFmtId="9" fontId="0" fillId="0" borderId="0" xfId="0" applyNumberForma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Alignment="1"/>
    <xf numFmtId="3" fontId="1" fillId="0" borderId="16" xfId="0" applyNumberFormat="1" applyFont="1" applyBorder="1" applyAlignment="1" applyProtection="1">
      <alignment horizontal="right"/>
      <protection locked="0"/>
    </xf>
    <xf numFmtId="3" fontId="0" fillId="0" borderId="16" xfId="0" applyNumberFormat="1" applyBorder="1" applyProtection="1">
      <protection locked="0"/>
    </xf>
    <xf numFmtId="0" fontId="0" fillId="0" borderId="16" xfId="0" applyBorder="1"/>
    <xf numFmtId="9" fontId="4" fillId="5" borderId="16" xfId="3" applyFont="1" applyFill="1" applyBorder="1" applyProtection="1">
      <protection locked="0"/>
    </xf>
    <xf numFmtId="0" fontId="15" fillId="0" borderId="0" xfId="0" applyFont="1" applyProtection="1">
      <protection locked="0"/>
    </xf>
    <xf numFmtId="14" fontId="0" fillId="0" borderId="0" xfId="0" applyNumberFormat="1"/>
    <xf numFmtId="0" fontId="7" fillId="0" borderId="0" xfId="0" applyFont="1"/>
    <xf numFmtId="1" fontId="8" fillId="0" borderId="0" xfId="0" applyNumberFormat="1" applyFont="1"/>
    <xf numFmtId="0" fontId="5" fillId="0" borderId="0" xfId="0" applyFont="1"/>
    <xf numFmtId="0" fontId="8" fillId="0" borderId="0" xfId="0" applyFont="1" applyAlignment="1">
      <alignment horizontal="left"/>
    </xf>
    <xf numFmtId="0" fontId="4" fillId="0" borderId="0" xfId="0" applyFont="1" applyAlignment="1">
      <alignment horizontal="right" wrapText="1"/>
    </xf>
    <xf numFmtId="0" fontId="8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1" fillId="0" borderId="3" xfId="0" applyFont="1" applyFill="1" applyBorder="1" applyAlignment="1" applyProtection="1">
      <alignment horizontal="center"/>
      <protection locked="0"/>
    </xf>
    <xf numFmtId="0" fontId="0" fillId="0" borderId="7" xfId="0" applyBorder="1"/>
    <xf numFmtId="0" fontId="5" fillId="0" borderId="0" xfId="0" applyFont="1" applyBorder="1"/>
    <xf numFmtId="0" fontId="4" fillId="0" borderId="0" xfId="0" applyFont="1" applyBorder="1"/>
    <xf numFmtId="0" fontId="0" fillId="0" borderId="11" xfId="0" applyBorder="1"/>
    <xf numFmtId="0" fontId="5" fillId="0" borderId="0" xfId="0" applyFont="1" applyAlignment="1">
      <alignment horizontal="left"/>
    </xf>
    <xf numFmtId="0" fontId="12" fillId="0" borderId="0" xfId="0" applyFont="1" applyFill="1" applyBorder="1" applyAlignment="1" applyProtection="1">
      <alignment horizontal="left"/>
      <protection locked="0"/>
    </xf>
    <xf numFmtId="14" fontId="0" fillId="0" borderId="10" xfId="0" applyNumberFormat="1" applyBorder="1"/>
    <xf numFmtId="0" fontId="12" fillId="0" borderId="0" xfId="0" applyFont="1" applyFill="1" applyProtection="1">
      <protection locked="0"/>
    </xf>
    <xf numFmtId="1" fontId="8" fillId="0" borderId="0" xfId="0" applyNumberFormat="1" applyFont="1" applyBorder="1"/>
    <xf numFmtId="49" fontId="12" fillId="0" borderId="0" xfId="0" applyNumberFormat="1" applyFont="1"/>
    <xf numFmtId="0" fontId="0" fillId="7" borderId="0" xfId="0" applyFill="1"/>
    <xf numFmtId="0" fontId="4" fillId="0" borderId="0" xfId="0" quotePrefix="1" applyFont="1"/>
    <xf numFmtId="0" fontId="1" fillId="0" borderId="0" xfId="0" applyFont="1" applyAlignment="1">
      <alignment horizontal="left"/>
    </xf>
    <xf numFmtId="0" fontId="16" fillId="0" borderId="0" xfId="0" applyFont="1" applyBorder="1" applyProtection="1">
      <protection locked="0"/>
    </xf>
    <xf numFmtId="0" fontId="17" fillId="0" borderId="0" xfId="0" applyFont="1"/>
    <xf numFmtId="0" fontId="18" fillId="0" borderId="0" xfId="0" applyFont="1"/>
    <xf numFmtId="1" fontId="1" fillId="0" borderId="1" xfId="0" applyNumberFormat="1" applyFont="1" applyBorder="1" applyAlignment="1" applyProtection="1">
      <alignment horizontal="center"/>
      <protection locked="0"/>
    </xf>
    <xf numFmtId="3" fontId="0" fillId="5" borderId="0" xfId="0" applyNumberFormat="1" applyFill="1" applyProtection="1">
      <protection locked="0"/>
    </xf>
    <xf numFmtId="3" fontId="4" fillId="0" borderId="16" xfId="0" applyNumberFormat="1" applyFont="1" applyBorder="1" applyProtection="1">
      <protection locked="0"/>
    </xf>
    <xf numFmtId="3" fontId="4" fillId="0" borderId="0" xfId="0" applyNumberFormat="1" applyFont="1" applyBorder="1" applyProtection="1">
      <protection locked="0"/>
    </xf>
    <xf numFmtId="3" fontId="0" fillId="5" borderId="4" xfId="0" applyNumberFormat="1" applyFill="1" applyBorder="1" applyProtection="1">
      <protection locked="0"/>
    </xf>
    <xf numFmtId="3" fontId="1" fillId="0" borderId="0" xfId="0" applyNumberFormat="1" applyFont="1" applyFill="1" applyProtection="1">
      <protection locked="0"/>
    </xf>
    <xf numFmtId="3" fontId="4" fillId="0" borderId="0" xfId="0" applyNumberFormat="1" applyFont="1" applyFill="1" applyBorder="1" applyProtection="1">
      <protection locked="0"/>
    </xf>
    <xf numFmtId="9" fontId="4" fillId="0" borderId="0" xfId="3" applyFont="1" applyFill="1" applyProtection="1">
      <protection locked="0"/>
    </xf>
    <xf numFmtId="3" fontId="0" fillId="0" borderId="0" xfId="0" applyNumberFormat="1" applyFill="1"/>
    <xf numFmtId="3" fontId="4" fillId="0" borderId="0" xfId="0" applyNumberFormat="1" applyFont="1" applyFill="1" applyAlignment="1" applyProtection="1">
      <alignment horizontal="right"/>
      <protection locked="0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4" fillId="0" borderId="0" xfId="0" applyNumberFormat="1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center"/>
    </xf>
    <xf numFmtId="41" fontId="0" fillId="6" borderId="17" xfId="1" applyNumberFormat="1" applyFont="1" applyFill="1" applyBorder="1"/>
    <xf numFmtId="41" fontId="0" fillId="0" borderId="0" xfId="1" applyNumberFormat="1" applyFont="1"/>
    <xf numFmtId="41" fontId="0" fillId="0" borderId="0" xfId="1" applyNumberFormat="1" applyFont="1" applyFill="1"/>
    <xf numFmtId="41" fontId="4" fillId="8" borderId="0" xfId="1" applyNumberFormat="1" applyFont="1" applyFill="1"/>
    <xf numFmtId="3" fontId="4" fillId="0" borderId="0" xfId="0" applyNumberFormat="1" applyFont="1" applyAlignment="1" applyProtection="1">
      <alignment horizontal="left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9" borderId="0" xfId="0" applyNumberFormat="1" applyFill="1" applyProtection="1">
      <protection locked="0"/>
    </xf>
    <xf numFmtId="3" fontId="4" fillId="0" borderId="0" xfId="0" quotePrefix="1" applyNumberFormat="1" applyFont="1" applyProtection="1">
      <protection locked="0"/>
    </xf>
    <xf numFmtId="0" fontId="12" fillId="0" borderId="0" xfId="0" applyFont="1" applyProtection="1">
      <protection locked="0"/>
    </xf>
    <xf numFmtId="0" fontId="0" fillId="7" borderId="0" xfId="0" applyFill="1" applyProtection="1">
      <protection locked="0"/>
    </xf>
    <xf numFmtId="0" fontId="1" fillId="7" borderId="0" xfId="0" applyFont="1" applyFill="1" applyAlignment="1" applyProtection="1">
      <alignment horizontal="righ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10" fillId="0" borderId="0" xfId="0" applyFont="1" applyBorder="1" applyProtection="1">
      <protection locked="0"/>
    </xf>
    <xf numFmtId="0" fontId="12" fillId="0" borderId="0" xfId="0" applyFont="1" applyBorder="1" applyAlignment="1" applyProtection="1">
      <alignment horizontal="left"/>
      <protection locked="0"/>
    </xf>
    <xf numFmtId="9" fontId="0" fillId="0" borderId="0" xfId="3" applyFont="1" applyFill="1" applyBorder="1" applyProtection="1">
      <protection locked="0"/>
    </xf>
    <xf numFmtId="0" fontId="4" fillId="7" borderId="0" xfId="0" applyFont="1" applyFill="1" applyBorder="1" applyAlignment="1" applyProtection="1">
      <alignment horizontal="left"/>
      <protection locked="0"/>
    </xf>
    <xf numFmtId="0" fontId="0" fillId="7" borderId="0" xfId="0" applyFill="1" applyBorder="1" applyProtection="1">
      <protection locked="0"/>
    </xf>
    <xf numFmtId="3" fontId="0" fillId="7" borderId="0" xfId="1" applyNumberFormat="1" applyFont="1" applyFill="1" applyBorder="1" applyProtection="1">
      <protection locked="0"/>
    </xf>
    <xf numFmtId="0" fontId="4" fillId="7" borderId="0" xfId="0" applyFont="1" applyFill="1" applyAlignment="1" applyProtection="1">
      <alignment horizontal="left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0" borderId="9" xfId="0" applyFont="1" applyFill="1" applyBorder="1" applyProtection="1">
      <protection locked="0"/>
    </xf>
    <xf numFmtId="3" fontId="0" fillId="0" borderId="0" xfId="1" applyNumberFormat="1" applyFont="1" applyFill="1" applyBorder="1" applyAlignment="1" applyProtection="1">
      <alignment horizontal="center"/>
      <protection locked="0"/>
    </xf>
    <xf numFmtId="0" fontId="4" fillId="0" borderId="9" xfId="0" applyFont="1" applyBorder="1" applyProtection="1">
      <protection locked="0"/>
    </xf>
    <xf numFmtId="0" fontId="12" fillId="0" borderId="7" xfId="0" applyFont="1" applyBorder="1" applyAlignment="1" applyProtection="1">
      <alignment horizontal="left"/>
      <protection locked="0"/>
    </xf>
    <xf numFmtId="0" fontId="4" fillId="0" borderId="0" xfId="0" applyFont="1" applyFill="1" applyProtection="1">
      <protection locked="0"/>
    </xf>
    <xf numFmtId="0" fontId="4" fillId="0" borderId="0" xfId="0" applyFont="1" applyFill="1" applyAlignment="1" applyProtection="1">
      <alignment horizontal="right"/>
      <protection locked="0"/>
    </xf>
    <xf numFmtId="0" fontId="1" fillId="0" borderId="21" xfId="0" applyFont="1" applyBorder="1"/>
    <xf numFmtId="0" fontId="1" fillId="0" borderId="19" xfId="0" applyFont="1" applyBorder="1"/>
    <xf numFmtId="0" fontId="1" fillId="0" borderId="20" xfId="0" applyFont="1" applyBorder="1"/>
    <xf numFmtId="0" fontId="2" fillId="7" borderId="0" xfId="0" applyFont="1" applyFill="1" applyProtection="1">
      <protection locked="0"/>
    </xf>
    <xf numFmtId="10" fontId="0" fillId="7" borderId="0" xfId="0" applyNumberFormat="1" applyFill="1" applyProtection="1">
      <protection locked="0"/>
    </xf>
    <xf numFmtId="3" fontId="4" fillId="0" borderId="0" xfId="0" applyNumberFormat="1" applyFont="1" applyFill="1" applyProtection="1">
      <protection locked="0"/>
    </xf>
    <xf numFmtId="3" fontId="4" fillId="0" borderId="0" xfId="0" applyNumberFormat="1" applyFont="1" applyFill="1" applyAlignment="1" applyProtection="1">
      <alignment horizontal="center"/>
      <protection locked="0"/>
    </xf>
    <xf numFmtId="0" fontId="1" fillId="7" borderId="0" xfId="0" applyFont="1" applyFill="1" applyAlignment="1">
      <alignment horizontal="right"/>
    </xf>
    <xf numFmtId="0" fontId="12" fillId="0" borderId="7" xfId="0" applyFont="1" applyFill="1" applyBorder="1" applyAlignment="1">
      <alignment horizontal="left"/>
    </xf>
    <xf numFmtId="3" fontId="12" fillId="0" borderId="0" xfId="0" applyNumberFormat="1" applyFont="1" applyProtection="1">
      <protection locked="0"/>
    </xf>
    <xf numFmtId="3" fontId="5" fillId="9" borderId="0" xfId="0" applyNumberFormat="1" applyFont="1" applyFill="1" applyAlignment="1" applyProtection="1">
      <alignment horizontal="right"/>
      <protection locked="0"/>
    </xf>
    <xf numFmtId="2" fontId="12" fillId="0" borderId="0" xfId="0" applyNumberFormat="1" applyFont="1" applyProtection="1">
      <protection locked="0"/>
    </xf>
    <xf numFmtId="0" fontId="4" fillId="10" borderId="0" xfId="0" applyFont="1" applyFill="1" applyAlignment="1">
      <alignment horizontal="right"/>
    </xf>
    <xf numFmtId="3" fontId="0" fillId="0" borderId="0" xfId="0" applyNumberFormat="1" applyFill="1" applyBorder="1" applyProtection="1">
      <protection locked="0"/>
    </xf>
    <xf numFmtId="37" fontId="4" fillId="0" borderId="0" xfId="0" applyNumberFormat="1" applyFont="1" applyBorder="1" applyProtection="1">
      <protection locked="0"/>
    </xf>
    <xf numFmtId="37" fontId="0" fillId="0" borderId="0" xfId="0" applyNumberFormat="1" applyProtection="1">
      <protection locked="0"/>
    </xf>
    <xf numFmtId="37" fontId="0" fillId="0" borderId="0" xfId="0" applyNumberFormat="1" applyFill="1" applyProtection="1">
      <protection locked="0"/>
    </xf>
    <xf numFmtId="37" fontId="0" fillId="9" borderId="0" xfId="0" applyNumberFormat="1" applyFill="1" applyProtection="1">
      <protection locked="0"/>
    </xf>
    <xf numFmtId="37" fontId="0" fillId="8" borderId="0" xfId="0" applyNumberFormat="1" applyFill="1" applyProtection="1">
      <protection locked="0"/>
    </xf>
    <xf numFmtId="37" fontId="0" fillId="0" borderId="0" xfId="0" applyNumberFormat="1"/>
    <xf numFmtId="37" fontId="0" fillId="10" borderId="0" xfId="0" applyNumberFormat="1" applyFill="1"/>
    <xf numFmtId="164" fontId="0" fillId="0" borderId="0" xfId="0" applyNumberFormat="1"/>
    <xf numFmtId="164" fontId="0" fillId="0" borderId="0" xfId="1" applyNumberFormat="1" applyFont="1"/>
    <xf numFmtId="37" fontId="4" fillId="0" borderId="0" xfId="0" applyNumberFormat="1" applyFont="1" applyFill="1" applyBorder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2" fontId="4" fillId="0" borderId="0" xfId="0" applyNumberFormat="1" applyFont="1" applyAlignment="1" applyProtection="1">
      <alignment horizontal="right"/>
      <protection locked="0"/>
    </xf>
    <xf numFmtId="2" fontId="1" fillId="0" borderId="0" xfId="0" applyNumberFormat="1" applyFont="1" applyAlignment="1" applyProtection="1">
      <alignment horizontal="left"/>
      <protection locked="0"/>
    </xf>
    <xf numFmtId="38" fontId="0" fillId="0" borderId="0" xfId="0" applyNumberFormat="1"/>
    <xf numFmtId="0" fontId="6" fillId="11" borderId="0" xfId="0" applyFont="1" applyFill="1" applyProtection="1">
      <protection locked="0"/>
    </xf>
    <xf numFmtId="37" fontId="0" fillId="11" borderId="0" xfId="1" applyNumberFormat="1" applyFont="1" applyFill="1" applyProtection="1">
      <protection locked="0"/>
    </xf>
    <xf numFmtId="37" fontId="0" fillId="11" borderId="0" xfId="1" applyNumberFormat="1" applyFont="1" applyFill="1" applyBorder="1" applyProtection="1">
      <protection locked="0"/>
    </xf>
    <xf numFmtId="2" fontId="0" fillId="11" borderId="4" xfId="0" applyNumberFormat="1" applyFill="1" applyBorder="1" applyProtection="1">
      <protection locked="0"/>
    </xf>
    <xf numFmtId="3" fontId="0" fillId="11" borderId="0" xfId="0" applyNumberFormat="1" applyFill="1" applyProtection="1">
      <protection locked="0"/>
    </xf>
    <xf numFmtId="3" fontId="0" fillId="11" borderId="0" xfId="0" applyNumberFormat="1" applyFill="1" applyBorder="1" applyProtection="1">
      <protection locked="0"/>
    </xf>
    <xf numFmtId="168" fontId="0" fillId="11" borderId="0" xfId="3" applyNumberFormat="1" applyFont="1" applyFill="1" applyProtection="1">
      <protection locked="0"/>
    </xf>
    <xf numFmtId="0" fontId="4" fillId="11" borderId="0" xfId="0" applyFont="1" applyFill="1" applyProtection="1">
      <protection locked="0"/>
    </xf>
    <xf numFmtId="3" fontId="0" fillId="11" borderId="4" xfId="0" applyNumberFormat="1" applyFill="1" applyBorder="1" applyProtection="1">
      <protection locked="0"/>
    </xf>
    <xf numFmtId="0" fontId="0" fillId="11" borderId="0" xfId="0" applyFill="1" applyAlignment="1" applyProtection="1">
      <alignment horizontal="right"/>
      <protection locked="0"/>
    </xf>
    <xf numFmtId="10" fontId="0" fillId="11" borderId="0" xfId="0" applyNumberFormat="1" applyFill="1" applyBorder="1" applyProtection="1">
      <protection locked="0"/>
    </xf>
    <xf numFmtId="1" fontId="0" fillId="11" borderId="0" xfId="0" applyNumberFormat="1" applyFill="1" applyBorder="1" applyProtection="1">
      <protection locked="0"/>
    </xf>
    <xf numFmtId="1" fontId="0" fillId="11" borderId="0" xfId="0" applyNumberFormat="1" applyFill="1" applyBorder="1" applyAlignment="1" applyProtection="1">
      <alignment horizontal="center"/>
      <protection locked="0"/>
    </xf>
    <xf numFmtId="3" fontId="0" fillId="11" borderId="0" xfId="1" applyNumberFormat="1" applyFont="1" applyFill="1" applyBorder="1" applyProtection="1">
      <protection locked="0"/>
    </xf>
    <xf numFmtId="9" fontId="0" fillId="11" borderId="0" xfId="3" applyFont="1" applyFill="1" applyBorder="1" applyProtection="1">
      <protection locked="0"/>
    </xf>
    <xf numFmtId="167" fontId="0" fillId="11" borderId="0" xfId="1" applyNumberFormat="1" applyFont="1" applyFill="1" applyBorder="1" applyProtection="1">
      <protection locked="0"/>
    </xf>
    <xf numFmtId="0" fontId="0" fillId="11" borderId="0" xfId="0" applyFill="1" applyProtection="1">
      <protection locked="0"/>
    </xf>
    <xf numFmtId="9" fontId="0" fillId="11" borderId="0" xfId="0" applyNumberFormat="1" applyFill="1" applyProtection="1">
      <protection locked="0"/>
    </xf>
    <xf numFmtId="9" fontId="0" fillId="11" borderId="4" xfId="3" applyFont="1" applyFill="1" applyBorder="1" applyProtection="1">
      <protection locked="0"/>
    </xf>
    <xf numFmtId="41" fontId="0" fillId="12" borderId="17" xfId="1" applyNumberFormat="1" applyFont="1" applyFill="1" applyBorder="1"/>
    <xf numFmtId="41" fontId="0" fillId="0" borderId="17" xfId="1" applyNumberFormat="1" applyFont="1" applyFill="1" applyBorder="1"/>
    <xf numFmtId="0" fontId="12" fillId="0" borderId="0" xfId="0" applyFont="1" applyAlignment="1" applyProtection="1">
      <alignment horizontal="left"/>
      <protection locked="0"/>
    </xf>
    <xf numFmtId="3" fontId="0" fillId="11" borderId="0" xfId="1" applyNumberFormat="1" applyFont="1" applyFill="1" applyBorder="1" applyAlignment="1" applyProtection="1">
      <alignment horizontal="center"/>
      <protection locked="0"/>
    </xf>
    <xf numFmtId="41" fontId="0" fillId="0" borderId="0" xfId="1" applyNumberFormat="1" applyFont="1" applyFill="1" applyBorder="1"/>
    <xf numFmtId="9" fontId="0" fillId="0" borderId="0" xfId="3" applyFont="1" applyProtection="1">
      <protection locked="0"/>
    </xf>
    <xf numFmtId="0" fontId="4" fillId="0" borderId="4" xfId="0" applyFont="1" applyBorder="1"/>
    <xf numFmtId="37" fontId="4" fillId="0" borderId="0" xfId="0" applyNumberFormat="1" applyFont="1"/>
    <xf numFmtId="37" fontId="0" fillId="0" borderId="4" xfId="0" applyNumberFormat="1" applyBorder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quotePrefix="1" applyFont="1"/>
    <xf numFmtId="0" fontId="25" fillId="0" borderId="0" xfId="4"/>
    <xf numFmtId="0" fontId="21" fillId="0" borderId="0" xfId="0" quotePrefix="1" applyFont="1"/>
    <xf numFmtId="0" fontId="26" fillId="0" borderId="0" xfId="0" applyFont="1"/>
    <xf numFmtId="0" fontId="21" fillId="0" borderId="0" xfId="0" applyFont="1" applyAlignment="1">
      <alignment horizontal="left" indent="1"/>
    </xf>
    <xf numFmtId="0" fontId="33" fillId="13" borderId="0" xfId="0" applyFont="1" applyFill="1"/>
    <xf numFmtId="0" fontId="0" fillId="13" borderId="0" xfId="0" applyFill="1"/>
    <xf numFmtId="0" fontId="34" fillId="0" borderId="0" xfId="0" applyFont="1"/>
    <xf numFmtId="49" fontId="35" fillId="0" borderId="37" xfId="0" applyNumberFormat="1" applyFont="1" applyBorder="1"/>
    <xf numFmtId="49" fontId="36" fillId="0" borderId="37" xfId="0" applyNumberFormat="1" applyFont="1" applyBorder="1"/>
    <xf numFmtId="49" fontId="37" fillId="0" borderId="37" xfId="0" applyNumberFormat="1" applyFont="1" applyBorder="1"/>
    <xf numFmtId="0" fontId="38" fillId="0" borderId="37" xfId="0" applyFont="1" applyBorder="1"/>
    <xf numFmtId="0" fontId="35" fillId="0" borderId="37" xfId="0" applyFont="1" applyBorder="1"/>
    <xf numFmtId="0" fontId="32" fillId="0" borderId="0" xfId="5"/>
    <xf numFmtId="0" fontId="34" fillId="0" borderId="0" xfId="5" applyFont="1"/>
    <xf numFmtId="0" fontId="1" fillId="0" borderId="0" xfId="5" applyFont="1"/>
    <xf numFmtId="0" fontId="21" fillId="0" borderId="0" xfId="5" applyFont="1"/>
    <xf numFmtId="0" fontId="39" fillId="0" borderId="0" xfId="5" applyFont="1"/>
    <xf numFmtId="0" fontId="39" fillId="0" borderId="0" xfId="5" quotePrefix="1" applyFont="1"/>
    <xf numFmtId="0" fontId="40" fillId="0" borderId="0" xfId="6"/>
    <xf numFmtId="0" fontId="35" fillId="0" borderId="0" xfId="5" applyFont="1"/>
    <xf numFmtId="0" fontId="39" fillId="0" borderId="0" xfId="0" applyFont="1"/>
    <xf numFmtId="0" fontId="39" fillId="0" borderId="37" xfId="0" applyFont="1" applyBorder="1"/>
    <xf numFmtId="0" fontId="21" fillId="0" borderId="0" xfId="6" applyFont="1"/>
    <xf numFmtId="0" fontId="0" fillId="0" borderId="41" xfId="0" applyBorder="1" applyAlignment="1">
      <alignment horizontal="left" wrapText="1"/>
    </xf>
    <xf numFmtId="0" fontId="28" fillId="0" borderId="41" xfId="0" applyFont="1" applyBorder="1" applyAlignment="1">
      <alignment horizontal="left" vertical="top" wrapText="1"/>
    </xf>
    <xf numFmtId="0" fontId="0" fillId="0" borderId="38" xfId="0" applyBorder="1" applyAlignment="1">
      <alignment wrapText="1"/>
    </xf>
    <xf numFmtId="0" fontId="0" fillId="0" borderId="39" xfId="0" applyBorder="1" applyAlignment="1">
      <alignment wrapText="1"/>
    </xf>
    <xf numFmtId="172" fontId="0" fillId="0" borderId="41" xfId="0" applyNumberFormat="1" applyBorder="1" applyAlignment="1">
      <alignment horizontal="left" wrapText="1"/>
    </xf>
    <xf numFmtId="0" fontId="35" fillId="0" borderId="0" xfId="0" applyFont="1"/>
    <xf numFmtId="0" fontId="34" fillId="0" borderId="37" xfId="0" applyFont="1" applyBorder="1"/>
    <xf numFmtId="168" fontId="0" fillId="0" borderId="0" xfId="3" applyNumberFormat="1" applyFont="1" applyBorder="1"/>
    <xf numFmtId="49" fontId="25" fillId="0" borderId="37" xfId="4" applyNumberFormat="1" applyBorder="1"/>
    <xf numFmtId="0" fontId="4" fillId="0" borderId="21" xfId="0" applyFont="1" applyBorder="1" applyAlignment="1"/>
    <xf numFmtId="0" fontId="0" fillId="0" borderId="19" xfId="0" applyBorder="1" applyAlignment="1"/>
    <xf numFmtId="0" fontId="0" fillId="0" borderId="20" xfId="0" applyBorder="1" applyAlignment="1"/>
    <xf numFmtId="0" fontId="5" fillId="0" borderId="0" xfId="0" applyFont="1" applyBorder="1" applyAlignment="1">
      <alignment horizontal="center" wrapText="1"/>
    </xf>
    <xf numFmtId="0" fontId="12" fillId="0" borderId="0" xfId="0" applyFont="1" applyAlignment="1" applyProtection="1">
      <alignment horizontal="left"/>
      <protection locked="0"/>
    </xf>
    <xf numFmtId="3" fontId="0" fillId="11" borderId="0" xfId="1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locked="0"/>
    </xf>
    <xf numFmtId="0" fontId="7" fillId="0" borderId="18" xfId="0" applyFont="1" applyBorder="1" applyAlignment="1" applyProtection="1">
      <alignment horizontal="center"/>
      <protection locked="0"/>
    </xf>
    <xf numFmtId="0" fontId="7" fillId="0" borderId="18" xfId="0" applyFont="1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28" fillId="0" borderId="38" xfId="0" applyFont="1" applyBorder="1" applyAlignment="1">
      <alignment horizontal="left" vertical="top" wrapText="1"/>
    </xf>
    <xf numFmtId="0" fontId="28" fillId="0" borderId="39" xfId="0" applyFont="1" applyBorder="1" applyAlignment="1">
      <alignment horizontal="left" vertical="top" wrapText="1"/>
    </xf>
    <xf numFmtId="0" fontId="28" fillId="0" borderId="40" xfId="0" applyFont="1" applyBorder="1" applyAlignment="1">
      <alignment horizontal="left" vertical="top" wrapText="1"/>
    </xf>
    <xf numFmtId="0" fontId="0" fillId="0" borderId="38" xfId="0" applyBorder="1" applyAlignment="1">
      <alignment horizontal="left" wrapText="1"/>
    </xf>
    <xf numFmtId="0" fontId="0" fillId="0" borderId="39" xfId="0" applyBorder="1" applyAlignment="1">
      <alignment horizontal="left" wrapText="1"/>
    </xf>
    <xf numFmtId="0" fontId="27" fillId="0" borderId="38" xfId="0" applyFont="1" applyBorder="1" applyAlignment="1">
      <alignment horizontal="left" vertical="top" wrapText="1"/>
    </xf>
    <xf numFmtId="0" fontId="27" fillId="0" borderId="40" xfId="0" applyFont="1" applyBorder="1" applyAlignment="1">
      <alignment horizontal="left" vertical="top" wrapText="1"/>
    </xf>
    <xf numFmtId="0" fontId="27" fillId="0" borderId="39" xfId="0" applyFont="1" applyBorder="1" applyAlignment="1">
      <alignment horizontal="left" vertical="top" wrapText="1"/>
    </xf>
    <xf numFmtId="0" fontId="0" fillId="0" borderId="40" xfId="0" applyBorder="1" applyAlignment="1">
      <alignment horizontal="left" wrapText="1"/>
    </xf>
    <xf numFmtId="171" fontId="0" fillId="0" borderId="38" xfId="0" applyNumberFormat="1" applyBorder="1" applyAlignment="1">
      <alignment horizontal="left" wrapText="1"/>
    </xf>
    <xf numFmtId="171" fontId="0" fillId="0" borderId="40" xfId="0" applyNumberFormat="1" applyBorder="1" applyAlignment="1">
      <alignment horizontal="left" wrapText="1"/>
    </xf>
    <xf numFmtId="171" fontId="0" fillId="0" borderId="39" xfId="0" applyNumberFormat="1" applyBorder="1" applyAlignment="1">
      <alignment horizontal="left" wrapText="1"/>
    </xf>
    <xf numFmtId="166" fontId="32" fillId="0" borderId="38" xfId="2" applyFont="1" applyBorder="1" applyAlignment="1">
      <alignment horizontal="left" wrapText="1"/>
    </xf>
    <xf numFmtId="166" fontId="32" fillId="0" borderId="40" xfId="2" applyFont="1" applyBorder="1" applyAlignment="1">
      <alignment horizontal="left" wrapText="1"/>
    </xf>
    <xf numFmtId="166" fontId="32" fillId="0" borderId="39" xfId="2" applyFont="1" applyBorder="1" applyAlignment="1">
      <alignment horizontal="left" wrapText="1"/>
    </xf>
    <xf numFmtId="0" fontId="0" fillId="0" borderId="38" xfId="0" applyBorder="1" applyAlignment="1">
      <alignment horizontal="left" vertical="top" wrapText="1"/>
    </xf>
    <xf numFmtId="0" fontId="0" fillId="0" borderId="40" xfId="0" applyBorder="1" applyAlignment="1">
      <alignment horizontal="left" vertical="top" wrapText="1"/>
    </xf>
    <xf numFmtId="0" fontId="0" fillId="0" borderId="39" xfId="0" applyBorder="1" applyAlignment="1">
      <alignment horizontal="left" vertical="top" wrapText="1"/>
    </xf>
    <xf numFmtId="166" fontId="0" fillId="0" borderId="38" xfId="0" applyNumberFormat="1" applyBorder="1" applyAlignment="1">
      <alignment horizontal="left" wrapText="1"/>
    </xf>
    <xf numFmtId="0" fontId="0" fillId="0" borderId="3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36" xfId="0" applyBorder="1" applyAlignment="1">
      <alignment horizontal="left" vertical="center" wrapText="1"/>
    </xf>
    <xf numFmtId="0" fontId="0" fillId="0" borderId="25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30" fillId="0" borderId="28" xfId="0" applyFont="1" applyBorder="1" applyAlignment="1">
      <alignment horizontal="right" vertical="top" wrapText="1"/>
    </xf>
    <xf numFmtId="0" fontId="30" fillId="0" borderId="26" xfId="0" applyFont="1" applyBorder="1" applyAlignment="1">
      <alignment horizontal="right" vertical="top" wrapText="1"/>
    </xf>
    <xf numFmtId="0" fontId="30" fillId="0" borderId="27" xfId="0" applyFont="1" applyBorder="1" applyAlignment="1">
      <alignment horizontal="right" vertical="top" wrapText="1"/>
    </xf>
    <xf numFmtId="0" fontId="30" fillId="0" borderId="29" xfId="0" applyFont="1" applyBorder="1" applyAlignment="1">
      <alignment horizontal="right" vertical="top" wrapText="1"/>
    </xf>
    <xf numFmtId="0" fontId="0" fillId="0" borderId="30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30" fillId="0" borderId="22" xfId="0" applyFont="1" applyBorder="1" applyAlignment="1">
      <alignment horizontal="right" vertical="top" wrapText="1"/>
    </xf>
    <xf numFmtId="0" fontId="30" fillId="0" borderId="24" xfId="0" applyFont="1" applyBorder="1" applyAlignment="1">
      <alignment horizontal="right" vertical="top" wrapText="1"/>
    </xf>
    <xf numFmtId="0" fontId="30" fillId="0" borderId="23" xfId="0" applyFont="1" applyBorder="1" applyAlignment="1">
      <alignment horizontal="right" vertical="top" wrapText="1"/>
    </xf>
    <xf numFmtId="0" fontId="30" fillId="0" borderId="31" xfId="0" applyFont="1" applyBorder="1" applyAlignment="1">
      <alignment horizontal="right" vertical="top" wrapText="1"/>
    </xf>
  </cellXfs>
  <cellStyles count="7">
    <cellStyle name="Comma" xfId="1" builtinId="3"/>
    <cellStyle name="Currency" xfId="2" builtinId="4"/>
    <cellStyle name="Hyperlink" xfId="4" builtinId="8"/>
    <cellStyle name="Hyperlink 2" xfId="6" xr:uid="{6A4A491D-C7E4-4FC6-9828-429BE984CD94}"/>
    <cellStyle name="Normal" xfId="0" builtinId="0"/>
    <cellStyle name="Normal 2" xfId="5" xr:uid="{51F157DB-ABEE-4F0C-86AA-2EB7C58D889A}"/>
    <cellStyle name="Percent" xfId="3" builtinId="5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FFCC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5" dropStyle="combo" dx="16" fmlaLink="$L$12" fmlaRange="$K$12:$K$16" noThreeD="1" sel="1" val="0"/>
</file>

<file path=xl/ctrlProps/ctrlProp4.xml><?xml version="1.0" encoding="utf-8"?>
<formControlPr xmlns="http://schemas.microsoft.com/office/spreadsheetml/2009/9/main" objectType="Drop" dropLines="5" dropStyle="combo" dx="16" fmlaLink="$M$12" fmlaRange="$K$12:$K$16" noThreeD="1" sel="1" val="0"/>
</file>

<file path=xl/ctrlProps/ctrlProp5.xml><?xml version="1.0" encoding="utf-8"?>
<formControlPr xmlns="http://schemas.microsoft.com/office/spreadsheetml/2009/9/main" objectType="Drop" dropLines="5" dropStyle="combo" dx="16" fmlaLink="$N$12" fmlaRange="$K$12:$K$16" noThreeD="1" sel="1" val="0"/>
</file>

<file path=xl/ctrlProps/ctrlProp6.xml><?xml version="1.0" encoding="utf-8"?>
<formControlPr xmlns="http://schemas.microsoft.com/office/spreadsheetml/2009/9/main" objectType="Drop" dropLines="5" dropStyle="combo" dx="16" fmlaLink="$O$12" fmlaRange="$K$12:$K$16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16" fmlaLink="$S$6" fmlaRange="$R$6:$R$7" noThreeD="1" sel="2" val="0"/>
</file>

<file path=xl/ctrlProps/ctrlProp11.xml><?xml version="1.0" encoding="utf-8"?>
<formControlPr xmlns="http://schemas.microsoft.com/office/spreadsheetml/2009/9/main" objectType="Drop" dropLines="2" dropStyle="combo" dx="16" fmlaLink="$S$12" fmlaRange="$R$12:$R$13" noThreeD="1" sel="2" val="0"/>
</file>

<file path=xl/ctrlProps/ctrlProp12.xml><?xml version="1.0" encoding="utf-8"?>
<formControlPr xmlns="http://schemas.microsoft.com/office/spreadsheetml/2009/9/main" objectType="Drop" dropLines="2" dropStyle="combo" dx="16" fmlaLink="$S$18" fmlaRange="$R$18:$R$19" noThreeD="1" sel="2" val="0"/>
</file>

<file path=xl/ctrlProps/ctrlProp13.xml><?xml version="1.0" encoding="utf-8"?>
<formControlPr xmlns="http://schemas.microsoft.com/office/spreadsheetml/2009/9/main" objectType="Drop" dropLines="2" dropStyle="combo" dx="16" fmlaLink="$S$24" fmlaRange="$R$24:$R$25" noThreeD="1" sel="2" val="0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25400</xdr:rowOff>
        </xdr:from>
        <xdr:to>
          <xdr:col>7</xdr:col>
          <xdr:colOff>0</xdr:colOff>
          <xdr:row>10</xdr:row>
          <xdr:rowOff>12700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Choose Type of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25400</xdr:rowOff>
        </xdr:from>
        <xdr:to>
          <xdr:col>4</xdr:col>
          <xdr:colOff>76200</xdr:colOff>
          <xdr:row>19</xdr:row>
          <xdr:rowOff>25400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Print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1200150</xdr:colOff>
      <xdr:row>46</xdr:row>
      <xdr:rowOff>85725</xdr:rowOff>
    </xdr:from>
    <xdr:to>
      <xdr:col>4</xdr:col>
      <xdr:colOff>295275</xdr:colOff>
      <xdr:row>46</xdr:row>
      <xdr:rowOff>85725</xdr:rowOff>
    </xdr:to>
    <xdr:cxnSp macro="">
      <xdr:nvCxnSpPr>
        <xdr:cNvPr id="9252" name="Straight Arrow Connector 2">
          <a:extLst>
            <a:ext uri="{FF2B5EF4-FFF2-40B4-BE49-F238E27FC236}">
              <a16:creationId xmlns:a16="http://schemas.microsoft.com/office/drawing/2014/main" id="{00000000-0008-0000-0100-000024240000}"/>
            </a:ext>
          </a:extLst>
        </xdr:cNvPr>
        <xdr:cNvCxnSpPr>
          <a:cxnSpLocks noChangeShapeType="1"/>
        </xdr:cNvCxnSpPr>
      </xdr:nvCxnSpPr>
      <xdr:spPr bwMode="auto">
        <a:xfrm flipH="1">
          <a:off x="6981825" y="8429625"/>
          <a:ext cx="295275" cy="0"/>
        </a:xfrm>
        <a:prstGeom prst="straightConnector1">
          <a:avLst/>
        </a:prstGeom>
        <a:noFill/>
        <a:ln w="2857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4</xdr:col>
      <xdr:colOff>28575</xdr:colOff>
      <xdr:row>52</xdr:row>
      <xdr:rowOff>0</xdr:rowOff>
    </xdr:from>
    <xdr:to>
      <xdr:col>4</xdr:col>
      <xdr:colOff>390525</xdr:colOff>
      <xdr:row>56</xdr:row>
      <xdr:rowOff>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5800725" y="10125075"/>
          <a:ext cx="361950" cy="647700"/>
        </a:xfrm>
        <a:prstGeom prst="rightBrace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</xdr:colOff>
      <xdr:row>56</xdr:row>
      <xdr:rowOff>85725</xdr:rowOff>
    </xdr:from>
    <xdr:to>
      <xdr:col>4</xdr:col>
      <xdr:colOff>371475</xdr:colOff>
      <xdr:row>56</xdr:row>
      <xdr:rowOff>85725</xdr:rowOff>
    </xdr:to>
    <xdr:cxnSp macro="">
      <xdr:nvCxnSpPr>
        <xdr:cNvPr id="7" name="Straight Arrow Connector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>
          <a:cxnSpLocks noChangeShapeType="1"/>
        </xdr:cNvCxnSpPr>
      </xdr:nvCxnSpPr>
      <xdr:spPr bwMode="auto">
        <a:xfrm flipH="1">
          <a:off x="5772152" y="10858500"/>
          <a:ext cx="371473" cy="0"/>
        </a:xfrm>
        <a:prstGeom prst="straightConnector1">
          <a:avLst/>
        </a:prstGeom>
        <a:noFill/>
        <a:ln w="2857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4</xdr:col>
      <xdr:colOff>0</xdr:colOff>
      <xdr:row>26</xdr:row>
      <xdr:rowOff>76200</xdr:rowOff>
    </xdr:from>
    <xdr:to>
      <xdr:col>4</xdr:col>
      <xdr:colOff>295275</xdr:colOff>
      <xdr:row>26</xdr:row>
      <xdr:rowOff>76200</xdr:rowOff>
    </xdr:to>
    <xdr:cxnSp macro="">
      <xdr:nvCxnSpPr>
        <xdr:cNvPr id="9" name="Straight Arrow Connector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>
          <a:cxnSpLocks noChangeShapeType="1"/>
        </xdr:cNvCxnSpPr>
      </xdr:nvCxnSpPr>
      <xdr:spPr bwMode="auto">
        <a:xfrm flipH="1">
          <a:off x="5772150" y="4981575"/>
          <a:ext cx="295275" cy="0"/>
        </a:xfrm>
        <a:prstGeom prst="straightConnector1">
          <a:avLst/>
        </a:prstGeom>
        <a:noFill/>
        <a:ln w="2857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4</xdr:col>
      <xdr:colOff>28574</xdr:colOff>
      <xdr:row>60</xdr:row>
      <xdr:rowOff>9524</xdr:rowOff>
    </xdr:from>
    <xdr:to>
      <xdr:col>4</xdr:col>
      <xdr:colOff>361949</xdr:colOff>
      <xdr:row>61</xdr:row>
      <xdr:rowOff>142874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800724" y="11429999"/>
          <a:ext cx="333375" cy="295275"/>
        </a:xfrm>
        <a:prstGeom prst="rightBrace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1</xdr:colOff>
      <xdr:row>62</xdr:row>
      <xdr:rowOff>95250</xdr:rowOff>
    </xdr:from>
    <xdr:to>
      <xdr:col>4</xdr:col>
      <xdr:colOff>409575</xdr:colOff>
      <xdr:row>62</xdr:row>
      <xdr:rowOff>95250</xdr:rowOff>
    </xdr:to>
    <xdr:cxnSp macro="">
      <xdr:nvCxnSpPr>
        <xdr:cNvPr id="11" name="Straight Arrow Connector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cxnSpLocks noChangeShapeType="1"/>
        </xdr:cNvCxnSpPr>
      </xdr:nvCxnSpPr>
      <xdr:spPr bwMode="auto">
        <a:xfrm flipH="1">
          <a:off x="5772151" y="11839575"/>
          <a:ext cx="409574" cy="0"/>
        </a:xfrm>
        <a:prstGeom prst="straightConnector1">
          <a:avLst/>
        </a:prstGeom>
        <a:noFill/>
        <a:ln w="2857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4</xdr:col>
      <xdr:colOff>0</xdr:colOff>
      <xdr:row>57</xdr:row>
      <xdr:rowOff>104775</xdr:rowOff>
    </xdr:from>
    <xdr:to>
      <xdr:col>4</xdr:col>
      <xdr:colOff>371473</xdr:colOff>
      <xdr:row>57</xdr:row>
      <xdr:rowOff>104775</xdr:rowOff>
    </xdr:to>
    <xdr:cxnSp macro="">
      <xdr:nvCxnSpPr>
        <xdr:cNvPr id="8" name="Straight Arrow Connector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 flipH="1">
          <a:off x="5772150" y="11039475"/>
          <a:ext cx="371473" cy="0"/>
        </a:xfrm>
        <a:prstGeom prst="straightConnector1">
          <a:avLst/>
        </a:prstGeom>
        <a:noFill/>
        <a:ln w="2857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0</xdr:rowOff>
        </xdr:from>
        <xdr:to>
          <xdr:col>1</xdr:col>
          <xdr:colOff>1143000</xdr:colOff>
          <xdr:row>6</xdr:row>
          <xdr:rowOff>203200</xdr:rowOff>
        </xdr:to>
        <xdr:sp macro="" textlink="">
          <xdr:nvSpPr>
            <xdr:cNvPr id="9225" name="Drop Dow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0</xdr:rowOff>
        </xdr:from>
        <xdr:to>
          <xdr:col>2</xdr:col>
          <xdr:colOff>1143000</xdr:colOff>
          <xdr:row>6</xdr:row>
          <xdr:rowOff>203200</xdr:rowOff>
        </xdr:to>
        <xdr:sp macro="" textlink="">
          <xdr:nvSpPr>
            <xdr:cNvPr id="9226" name="Drop Dow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6</xdr:row>
          <xdr:rowOff>0</xdr:rowOff>
        </xdr:from>
        <xdr:to>
          <xdr:col>3</xdr:col>
          <xdr:colOff>1219200</xdr:colOff>
          <xdr:row>6</xdr:row>
          <xdr:rowOff>203200</xdr:rowOff>
        </xdr:to>
        <xdr:sp macro="" textlink="">
          <xdr:nvSpPr>
            <xdr:cNvPr id="9227" name="Drop Dow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25400</xdr:rowOff>
        </xdr:from>
        <xdr:to>
          <xdr:col>3</xdr:col>
          <xdr:colOff>1219200</xdr:colOff>
          <xdr:row>2</xdr:row>
          <xdr:rowOff>25400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Choose Currency of Statements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70</xdr:row>
          <xdr:rowOff>88900</xdr:rowOff>
        </xdr:from>
        <xdr:to>
          <xdr:col>4</xdr:col>
          <xdr:colOff>292100</xdr:colOff>
          <xdr:row>71</xdr:row>
          <xdr:rowOff>139700</xdr:rowOff>
        </xdr:to>
        <xdr:sp macro="" textlink="">
          <xdr:nvSpPr>
            <xdr:cNvPr id="9248" name="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Convert to USD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(if statements entered in other currency)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73</xdr:row>
          <xdr:rowOff>25400</xdr:rowOff>
        </xdr:from>
        <xdr:to>
          <xdr:col>4</xdr:col>
          <xdr:colOff>292100</xdr:colOff>
          <xdr:row>75</xdr:row>
          <xdr:rowOff>12700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1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Re-open Entry Fields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(to edit original currency data)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73</xdr:row>
      <xdr:rowOff>63500</xdr:rowOff>
    </xdr:from>
    <xdr:to>
      <xdr:col>4</xdr:col>
      <xdr:colOff>264584</xdr:colOff>
      <xdr:row>73</xdr:row>
      <xdr:rowOff>63501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 bwMode="auto">
        <a:xfrm flipH="1" flipV="1">
          <a:off x="4243917" y="13218583"/>
          <a:ext cx="264584" cy="1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10583</xdr:colOff>
      <xdr:row>85</xdr:row>
      <xdr:rowOff>63500</xdr:rowOff>
    </xdr:from>
    <xdr:to>
      <xdr:col>4</xdr:col>
      <xdr:colOff>275167</xdr:colOff>
      <xdr:row>85</xdr:row>
      <xdr:rowOff>63501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 bwMode="auto">
        <a:xfrm flipH="1" flipV="1">
          <a:off x="4254500" y="15144750"/>
          <a:ext cx="264584" cy="1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80</xdr:row>
      <xdr:rowOff>95222</xdr:rowOff>
    </xdr:from>
    <xdr:to>
      <xdr:col>4</xdr:col>
      <xdr:colOff>264584</xdr:colOff>
      <xdr:row>80</xdr:row>
      <xdr:rowOff>95223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 bwMode="auto">
        <a:xfrm flipH="1" flipV="1">
          <a:off x="4243917" y="14382722"/>
          <a:ext cx="264584" cy="1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</xdr:row>
          <xdr:rowOff>139700</xdr:rowOff>
        </xdr:from>
        <xdr:to>
          <xdr:col>4</xdr:col>
          <xdr:colOff>368300</xdr:colOff>
          <xdr:row>5</xdr:row>
          <xdr:rowOff>12700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101600</xdr:rowOff>
        </xdr:from>
        <xdr:to>
          <xdr:col>4</xdr:col>
          <xdr:colOff>368300</xdr:colOff>
          <xdr:row>10</xdr:row>
          <xdr:rowOff>139700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139700</xdr:rowOff>
        </xdr:from>
        <xdr:to>
          <xdr:col>4</xdr:col>
          <xdr:colOff>368300</xdr:colOff>
          <xdr:row>17</xdr:row>
          <xdr:rowOff>12700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21</xdr:row>
          <xdr:rowOff>127000</xdr:rowOff>
        </xdr:from>
        <xdr:to>
          <xdr:col>4</xdr:col>
          <xdr:colOff>381000</xdr:colOff>
          <xdr:row>23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6769100</xdr:colOff>
      <xdr:row>47</xdr:row>
      <xdr:rowOff>12700</xdr:rowOff>
    </xdr:from>
    <xdr:to>
      <xdr:col>2</xdr:col>
      <xdr:colOff>6705600</xdr:colOff>
      <xdr:row>71</xdr:row>
      <xdr:rowOff>82550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550" y="8032750"/>
          <a:ext cx="6705600" cy="3879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160655</xdr:colOff>
      <xdr:row>71</xdr:row>
      <xdr:rowOff>95250</xdr:rowOff>
    </xdr:from>
    <xdr:to>
      <xdr:col>15</xdr:col>
      <xdr:colOff>163195</xdr:colOff>
      <xdr:row>79</xdr:row>
      <xdr:rowOff>125095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0955" y="11477625"/>
          <a:ext cx="6603365" cy="14776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7</xdr:col>
      <xdr:colOff>476250</xdr:colOff>
      <xdr:row>46</xdr:row>
      <xdr:rowOff>120650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550" y="615950"/>
          <a:ext cx="9658350" cy="736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26</xdr:row>
      <xdr:rowOff>164592</xdr:rowOff>
    </xdr:from>
    <xdr:to>
      <xdr:col>1</xdr:col>
      <xdr:colOff>2115820</xdr:colOff>
      <xdr:row>26</xdr:row>
      <xdr:rowOff>164592</xdr:rowOff>
    </xdr:to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0" y="19321272"/>
          <a:ext cx="2112010" cy="0"/>
        </a:xfrm>
        <a:custGeom>
          <a:avLst/>
          <a:gdLst/>
          <a:ahLst/>
          <a:cxnLst/>
          <a:rect l="0" t="0" r="0" b="0"/>
          <a:pathLst>
            <a:path w="1828800">
              <a:moveTo>
                <a:pt x="0" y="0"/>
              </a:moveTo>
              <a:lnTo>
                <a:pt x="1828800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1</xdr:col>
      <xdr:colOff>0</xdr:colOff>
      <xdr:row>26</xdr:row>
      <xdr:rowOff>171450</xdr:rowOff>
    </xdr:from>
    <xdr:to>
      <xdr:col>1</xdr:col>
      <xdr:colOff>2120900</xdr:colOff>
      <xdr:row>27</xdr:row>
      <xdr:rowOff>0</xdr:rowOff>
    </xdr:to>
    <xdr:sp macro="" textlink="">
      <xdr:nvSpPr>
        <xdr:cNvPr id="3" name="Shape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/>
        </xdr:cNvSpPr>
      </xdr:nvSpPr>
      <xdr:spPr bwMode="auto">
        <a:xfrm>
          <a:off x="615950" y="5448300"/>
          <a:ext cx="2120900" cy="0"/>
        </a:xfrm>
        <a:custGeom>
          <a:avLst/>
          <a:gdLst>
            <a:gd name="T0" fmla="*/ 0 w 1828800"/>
            <a:gd name="T1" fmla="*/ 4131255 w 1828800"/>
            <a:gd name="T2" fmla="*/ 0 60000 65536"/>
            <a:gd name="T3" fmla="*/ 0 60000 65536"/>
            <a:gd name="T4" fmla="*/ 0 w 1828800"/>
            <a:gd name="T5" fmla="*/ 1828800 w 1828800"/>
          </a:gdLst>
          <a:ahLst/>
          <a:cxnLst>
            <a:cxn ang="T2">
              <a:pos x="T0" y="0"/>
            </a:cxn>
            <a:cxn ang="T3">
              <a:pos x="T1" y="0"/>
            </a:cxn>
          </a:cxnLst>
          <a:rect l="T4" t="0" r="T5" b="0"/>
          <a:pathLst>
            <a:path w="1828800">
              <a:moveTo>
                <a:pt x="0" y="0"/>
              </a:moveTo>
              <a:lnTo>
                <a:pt x="1828800" y="0"/>
              </a:lnTo>
            </a:path>
          </a:pathLst>
        </a:custGeom>
        <a:noFill/>
        <a:ln w="9143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5</xdr:col>
      <xdr:colOff>533400</xdr:colOff>
      <xdr:row>31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1850" y="222250"/>
          <a:ext cx="8470900" cy="605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104770</xdr:colOff>
      <xdr:row>8</xdr:row>
      <xdr:rowOff>107450</xdr:rowOff>
    </xdr:from>
    <xdr:to>
      <xdr:col>17</xdr:col>
      <xdr:colOff>257805</xdr:colOff>
      <xdr:row>8</xdr:row>
      <xdr:rowOff>202700</xdr:rowOff>
    </xdr:to>
    <xdr:sp macro="" textlink="">
      <xdr:nvSpPr>
        <xdr:cNvPr id="2" name="Shape 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9038563" y="1710278"/>
          <a:ext cx="153035" cy="95250"/>
        </a:xfrm>
        <a:custGeom>
          <a:avLst/>
          <a:gdLst/>
          <a:ahLst/>
          <a:cxnLst/>
          <a:rect l="0" t="0" r="0" b="0"/>
          <a:pathLst>
            <a:path w="131445" h="131445">
              <a:moveTo>
                <a:pt x="0" y="0"/>
              </a:moveTo>
              <a:lnTo>
                <a:pt x="131064" y="0"/>
              </a:lnTo>
              <a:lnTo>
                <a:pt x="131064" y="131064"/>
              </a:lnTo>
              <a:lnTo>
                <a:pt x="0" y="131064"/>
              </a:lnTo>
              <a:lnTo>
                <a:pt x="0" y="0"/>
              </a:lnTo>
              <a:close/>
            </a:path>
          </a:pathLst>
        </a:custGeom>
        <a:solidFill>
          <a:schemeClr val="accent2"/>
        </a:solidFill>
        <a:ln w="9144">
          <a:solidFill>
            <a:srgbClr val="000000"/>
          </a:solidFill>
        </a:ln>
      </xdr:spPr>
    </xdr:sp>
    <xdr:clientData/>
  </xdr:twoCellAnchor>
  <xdr:twoCellAnchor editAs="oneCell">
    <xdr:from>
      <xdr:col>20</xdr:col>
      <xdr:colOff>89915</xdr:colOff>
      <xdr:row>8</xdr:row>
      <xdr:rowOff>124967</xdr:rowOff>
    </xdr:from>
    <xdr:to>
      <xdr:col>20</xdr:col>
      <xdr:colOff>228980</xdr:colOff>
      <xdr:row>8</xdr:row>
      <xdr:rowOff>220217</xdr:rowOff>
    </xdr:to>
    <xdr:sp macro="" textlink="">
      <xdr:nvSpPr>
        <xdr:cNvPr id="3" name="Shape 7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810755" y="29454347"/>
          <a:ext cx="131445" cy="131445"/>
        </a:xfrm>
        <a:custGeom>
          <a:avLst/>
          <a:gdLst/>
          <a:ahLst/>
          <a:cxnLst/>
          <a:rect l="0" t="0" r="0" b="0"/>
          <a:pathLst>
            <a:path w="131445" h="131445">
              <a:moveTo>
                <a:pt x="0" y="0"/>
              </a:moveTo>
              <a:lnTo>
                <a:pt x="131064" y="0"/>
              </a:lnTo>
              <a:lnTo>
                <a:pt x="131064" y="131064"/>
              </a:lnTo>
              <a:lnTo>
                <a:pt x="0" y="131064"/>
              </a:lnTo>
              <a:lnTo>
                <a:pt x="0" y="0"/>
              </a:lnTo>
              <a:close/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17</xdr:col>
      <xdr:colOff>96011</xdr:colOff>
      <xdr:row>9</xdr:row>
      <xdr:rowOff>59436</xdr:rowOff>
    </xdr:from>
    <xdr:to>
      <xdr:col>17</xdr:col>
      <xdr:colOff>249046</xdr:colOff>
      <xdr:row>9</xdr:row>
      <xdr:rowOff>179451</xdr:rowOff>
    </xdr:to>
    <xdr:sp macro="" textlink="">
      <xdr:nvSpPr>
        <xdr:cNvPr id="4" name="Shape 8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153911" y="29766006"/>
          <a:ext cx="149225" cy="131445"/>
        </a:xfrm>
        <a:custGeom>
          <a:avLst/>
          <a:gdLst/>
          <a:ahLst/>
          <a:cxnLst/>
          <a:rect l="0" t="0" r="0" b="0"/>
          <a:pathLst>
            <a:path w="131445" h="131445">
              <a:moveTo>
                <a:pt x="0" y="0"/>
              </a:moveTo>
              <a:lnTo>
                <a:pt x="131064" y="0"/>
              </a:lnTo>
              <a:lnTo>
                <a:pt x="131064" y="131064"/>
              </a:lnTo>
              <a:lnTo>
                <a:pt x="0" y="131064"/>
              </a:lnTo>
              <a:lnTo>
                <a:pt x="0" y="0"/>
              </a:lnTo>
              <a:close/>
            </a:path>
          </a:pathLst>
        </a:custGeom>
        <a:solidFill>
          <a:schemeClr val="accent2"/>
        </a:solidFill>
        <a:ln w="9144">
          <a:solidFill>
            <a:srgbClr val="000000"/>
          </a:solidFill>
        </a:ln>
      </xdr:spPr>
    </xdr:sp>
    <xdr:clientData/>
  </xdr:twoCellAnchor>
  <xdr:twoCellAnchor editAs="oneCell">
    <xdr:from>
      <xdr:col>20</xdr:col>
      <xdr:colOff>89915</xdr:colOff>
      <xdr:row>9</xdr:row>
      <xdr:rowOff>59436</xdr:rowOff>
    </xdr:from>
    <xdr:to>
      <xdr:col>20</xdr:col>
      <xdr:colOff>228980</xdr:colOff>
      <xdr:row>9</xdr:row>
      <xdr:rowOff>179451</xdr:rowOff>
    </xdr:to>
    <xdr:sp macro="" textlink="">
      <xdr:nvSpPr>
        <xdr:cNvPr id="5" name="Shape 9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810755" y="29766006"/>
          <a:ext cx="131445" cy="131445"/>
        </a:xfrm>
        <a:custGeom>
          <a:avLst/>
          <a:gdLst/>
          <a:ahLst/>
          <a:cxnLst/>
          <a:rect l="0" t="0" r="0" b="0"/>
          <a:pathLst>
            <a:path w="131445" h="131445">
              <a:moveTo>
                <a:pt x="0" y="0"/>
              </a:moveTo>
              <a:lnTo>
                <a:pt x="131064" y="0"/>
              </a:lnTo>
              <a:lnTo>
                <a:pt x="131064" y="131064"/>
              </a:lnTo>
              <a:lnTo>
                <a:pt x="0" y="131064"/>
              </a:lnTo>
              <a:lnTo>
                <a:pt x="0" y="0"/>
              </a:lnTo>
              <a:close/>
            </a:path>
          </a:pathLst>
        </a:custGeom>
        <a:ln w="9144">
          <a:solidFill>
            <a:srgbClr val="000000"/>
          </a:solidFill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eriousshea.com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kaan.celebi@tagroupglobal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16"/>
  <sheetViews>
    <sheetView showGridLines="0" workbookViewId="0">
      <selection activeCell="T21" sqref="T21"/>
    </sheetView>
  </sheetViews>
  <sheetFormatPr baseColWidth="10" defaultColWidth="8.83203125" defaultRowHeight="13" x14ac:dyDescent="0.15"/>
  <cols>
    <col min="3" max="3" width="11.1640625" customWidth="1"/>
    <col min="4" max="4" width="14.1640625" customWidth="1"/>
    <col min="5" max="5" width="12.33203125" customWidth="1"/>
    <col min="6" max="6" width="10.1640625" bestFit="1" customWidth="1"/>
    <col min="13" max="13" width="12.33203125" customWidth="1"/>
  </cols>
  <sheetData>
    <row r="1" spans="2:10" x14ac:dyDescent="0.15">
      <c r="C1" s="126" t="s">
        <v>158</v>
      </c>
      <c r="F1" s="152">
        <v>43831</v>
      </c>
    </row>
    <row r="2" spans="2:10" x14ac:dyDescent="0.15">
      <c r="C2" s="126"/>
      <c r="F2" s="152"/>
    </row>
    <row r="3" spans="2:10" ht="14" thickBot="1" x14ac:dyDescent="0.2">
      <c r="C3" s="126"/>
      <c r="F3" s="152"/>
    </row>
    <row r="4" spans="2:10" x14ac:dyDescent="0.15">
      <c r="B4" s="161"/>
      <c r="C4" s="127"/>
      <c r="D4" s="127"/>
      <c r="E4" s="127"/>
      <c r="F4" s="127"/>
      <c r="G4" s="127"/>
      <c r="H4" s="127"/>
      <c r="I4" s="128"/>
    </row>
    <row r="5" spans="2:10" ht="21" thickBot="1" x14ac:dyDescent="0.25">
      <c r="B5" s="134"/>
      <c r="C5" s="162" t="s">
        <v>206</v>
      </c>
      <c r="D5" s="166"/>
      <c r="E5" s="166"/>
      <c r="F5" s="166"/>
      <c r="G5" s="166"/>
      <c r="H5" s="166"/>
      <c r="I5" s="132"/>
    </row>
    <row r="6" spans="2:10" ht="22.5" customHeight="1" thickBot="1" x14ac:dyDescent="0.2">
      <c r="B6" s="134"/>
      <c r="C6" s="311" t="s">
        <v>316</v>
      </c>
      <c r="D6" s="312"/>
      <c r="E6" s="312"/>
      <c r="F6" s="312"/>
      <c r="G6" s="312"/>
      <c r="H6" s="313"/>
      <c r="I6" s="132"/>
    </row>
    <row r="7" spans="2:10" x14ac:dyDescent="0.15">
      <c r="B7" s="134"/>
      <c r="C7" s="131"/>
      <c r="D7" s="131"/>
      <c r="E7" s="131"/>
      <c r="F7" s="131"/>
      <c r="G7" s="131"/>
      <c r="H7" s="131"/>
      <c r="I7" s="132"/>
    </row>
    <row r="8" spans="2:10" ht="16" x14ac:dyDescent="0.2">
      <c r="B8" s="134"/>
      <c r="C8" s="162" t="s">
        <v>0</v>
      </c>
      <c r="D8" s="131"/>
      <c r="E8" s="131"/>
      <c r="F8" s="131"/>
      <c r="G8" s="131"/>
      <c r="H8" s="131"/>
      <c r="I8" s="132"/>
    </row>
    <row r="9" spans="2:10" x14ac:dyDescent="0.15">
      <c r="B9" s="134"/>
      <c r="C9" s="163" t="s">
        <v>0</v>
      </c>
      <c r="D9" s="131"/>
      <c r="E9" s="131"/>
      <c r="F9" s="163" t="s">
        <v>0</v>
      </c>
      <c r="G9" s="131"/>
      <c r="H9" s="131"/>
      <c r="I9" s="132"/>
      <c r="J9" s="126" t="s">
        <v>0</v>
      </c>
    </row>
    <row r="10" spans="2:10" x14ac:dyDescent="0.15">
      <c r="B10" s="134"/>
      <c r="C10" s="163" t="s">
        <v>0</v>
      </c>
      <c r="D10" s="131"/>
      <c r="E10" s="131"/>
      <c r="F10" s="163" t="s">
        <v>0</v>
      </c>
      <c r="G10" s="131"/>
      <c r="H10" s="131"/>
      <c r="I10" s="132"/>
    </row>
    <row r="11" spans="2:10" x14ac:dyDescent="0.15">
      <c r="B11" s="134"/>
      <c r="C11" s="131"/>
      <c r="D11" s="131"/>
      <c r="E11" s="131"/>
      <c r="F11" s="131"/>
      <c r="G11" s="131"/>
      <c r="H11" s="131"/>
      <c r="I11" s="132"/>
    </row>
    <row r="12" spans="2:10" ht="15.75" customHeight="1" thickBot="1" x14ac:dyDescent="0.2">
      <c r="B12" s="134"/>
      <c r="C12" s="314" t="s">
        <v>315</v>
      </c>
      <c r="D12" s="314"/>
      <c r="E12" s="131"/>
      <c r="F12" s="131"/>
      <c r="G12" s="131"/>
      <c r="H12" s="131"/>
      <c r="I12" s="132"/>
    </row>
    <row r="13" spans="2:10" ht="16.5" customHeight="1" thickBot="1" x14ac:dyDescent="0.2">
      <c r="B13" s="134"/>
      <c r="C13" s="314"/>
      <c r="D13" s="314"/>
      <c r="E13" s="167">
        <v>44727</v>
      </c>
      <c r="F13" s="131"/>
      <c r="G13" s="131"/>
      <c r="H13" s="131"/>
      <c r="I13" s="132"/>
    </row>
    <row r="14" spans="2:10" ht="15.75" customHeight="1" x14ac:dyDescent="0.15">
      <c r="B14" s="134"/>
      <c r="C14" s="314"/>
      <c r="D14" s="314"/>
      <c r="E14" s="131"/>
      <c r="F14" s="131"/>
      <c r="G14" s="131"/>
      <c r="H14" s="131"/>
      <c r="I14" s="132"/>
    </row>
    <row r="15" spans="2:10" x14ac:dyDescent="0.15">
      <c r="B15" s="134"/>
      <c r="C15" s="131"/>
      <c r="D15" s="131"/>
      <c r="E15" s="131"/>
      <c r="F15" s="131"/>
      <c r="G15" s="131"/>
      <c r="H15" s="131"/>
      <c r="I15" s="132"/>
    </row>
    <row r="16" spans="2:10" ht="14" thickBot="1" x14ac:dyDescent="0.2">
      <c r="B16" s="164"/>
      <c r="C16" s="109"/>
      <c r="D16" s="109"/>
      <c r="E16" s="109"/>
      <c r="F16" s="109"/>
      <c r="G16" s="109"/>
      <c r="H16" s="109"/>
      <c r="I16" s="137"/>
    </row>
  </sheetData>
  <mergeCells count="2">
    <mergeCell ref="C6:H6"/>
    <mergeCell ref="C12:D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nfigureforTransactionType">
                <anchor moveWithCells="1" sizeWithCells="1">
                  <from>
                    <xdr:col>2</xdr:col>
                    <xdr:colOff>25400</xdr:colOff>
                    <xdr:row>8</xdr:row>
                    <xdr:rowOff>25400</xdr:rowOff>
                  </from>
                  <to>
                    <xdr:col>7</xdr:col>
                    <xdr:colOff>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rintWorkbook">
                <anchor moveWithCells="1" sizeWithCells="1">
                  <from>
                    <xdr:col>1</xdr:col>
                    <xdr:colOff>76200</xdr:colOff>
                    <xdr:row>17</xdr:row>
                    <xdr:rowOff>25400</xdr:rowOff>
                  </from>
                  <to>
                    <xdr:col>4</xdr:col>
                    <xdr:colOff>76200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40"/>
  <sheetViews>
    <sheetView zoomScaleNormal="100" workbookViewId="0"/>
  </sheetViews>
  <sheetFormatPr baseColWidth="10" defaultColWidth="8.83203125" defaultRowHeight="13" x14ac:dyDescent="0.15"/>
  <cols>
    <col min="1" max="1" width="38.1640625" customWidth="1"/>
    <col min="2" max="3" width="17.33203125" customWidth="1"/>
    <col min="4" max="4" width="18.5" customWidth="1"/>
    <col min="5" max="5" width="17.33203125" customWidth="1"/>
    <col min="12" max="13" width="9.1640625" customWidth="1"/>
  </cols>
  <sheetData>
    <row r="1" spans="1:15" ht="20" x14ac:dyDescent="0.2">
      <c r="A1" s="153" t="str">
        <f>CONCATENATE(Start!C6," Historical Financial Statements")</f>
        <v>Serious Shea Historical Financial Statements</v>
      </c>
      <c r="B1" s="170"/>
      <c r="L1" s="99"/>
    </row>
    <row r="2" spans="1:15" ht="18" x14ac:dyDescent="0.2">
      <c r="A2" s="153"/>
      <c r="E2" s="126" t="s">
        <v>0</v>
      </c>
      <c r="L2" s="99"/>
    </row>
    <row r="3" spans="1:15" ht="19" thickBot="1" x14ac:dyDescent="0.25">
      <c r="A3" s="153"/>
      <c r="B3" s="126" t="s">
        <v>0</v>
      </c>
      <c r="L3" s="99"/>
    </row>
    <row r="4" spans="1:15" ht="19" thickBot="1" x14ac:dyDescent="0.25">
      <c r="A4" s="153"/>
      <c r="B4" s="218" t="s">
        <v>274</v>
      </c>
      <c r="C4" s="219"/>
      <c r="D4" s="220"/>
      <c r="L4" s="175" t="s">
        <v>159</v>
      </c>
      <c r="M4" s="176"/>
    </row>
    <row r="5" spans="1:15" x14ac:dyDescent="0.15">
      <c r="A5" s="125" t="s">
        <v>0</v>
      </c>
      <c r="L5" s="176" t="s">
        <v>160</v>
      </c>
      <c r="M5" s="176" t="s">
        <v>0</v>
      </c>
    </row>
    <row r="6" spans="1:15" x14ac:dyDescent="0.15">
      <c r="B6" s="154">
        <f>YEAR(Start!E13)-3</f>
        <v>2019</v>
      </c>
      <c r="C6" s="154">
        <f>B6+1</f>
        <v>2020</v>
      </c>
      <c r="D6" s="154">
        <f>C6+1</f>
        <v>2021</v>
      </c>
      <c r="K6" s="176" t="s">
        <v>161</v>
      </c>
      <c r="L6" s="176"/>
    </row>
    <row r="7" spans="1:15" ht="16.5" customHeight="1" x14ac:dyDescent="0.15">
      <c r="A7" s="3" t="s">
        <v>209</v>
      </c>
      <c r="B7" s="154"/>
      <c r="C7" s="154"/>
      <c r="D7" s="154"/>
    </row>
    <row r="8" spans="1:15" x14ac:dyDescent="0.15">
      <c r="A8" s="126" t="s">
        <v>0</v>
      </c>
      <c r="B8" s="169"/>
      <c r="C8" s="169"/>
      <c r="D8" s="169"/>
    </row>
    <row r="9" spans="1:15" x14ac:dyDescent="0.15">
      <c r="A9" s="126"/>
      <c r="B9" s="169"/>
      <c r="C9" s="169"/>
      <c r="D9" s="169"/>
    </row>
    <row r="10" spans="1:15" ht="28" hidden="1" x14ac:dyDescent="0.15">
      <c r="A10" s="157" t="s">
        <v>223</v>
      </c>
      <c r="B10" s="266"/>
      <c r="C10" s="266"/>
      <c r="D10" s="266"/>
    </row>
    <row r="11" spans="1:15" hidden="1" x14ac:dyDescent="0.15">
      <c r="B11" s="154"/>
      <c r="C11" s="154"/>
      <c r="D11" s="154"/>
      <c r="E11" s="126"/>
      <c r="K11" s="175" t="s">
        <v>162</v>
      </c>
      <c r="L11" s="176"/>
      <c r="M11" s="176"/>
      <c r="N11" s="176"/>
      <c r="O11" s="176"/>
    </row>
    <row r="12" spans="1:15" ht="16" x14ac:dyDescent="0.2">
      <c r="A12" s="155" t="s">
        <v>16</v>
      </c>
      <c r="H12" t="s">
        <v>0</v>
      </c>
      <c r="K12" s="176" t="s">
        <v>211</v>
      </c>
      <c r="L12" s="176">
        <v>1</v>
      </c>
      <c r="M12" s="176">
        <v>1</v>
      </c>
      <c r="N12" s="176">
        <v>1</v>
      </c>
      <c r="O12" s="176">
        <v>1</v>
      </c>
    </row>
    <row r="13" spans="1:15" x14ac:dyDescent="0.15">
      <c r="A13" s="99" t="s">
        <v>22</v>
      </c>
      <c r="K13" s="176" t="s">
        <v>210</v>
      </c>
      <c r="L13" s="176"/>
      <c r="M13" s="176"/>
      <c r="N13" s="176"/>
      <c r="O13" s="176"/>
    </row>
    <row r="14" spans="1:15" x14ac:dyDescent="0.15">
      <c r="A14" s="144" t="s">
        <v>163</v>
      </c>
      <c r="B14" s="265"/>
      <c r="C14" s="265"/>
      <c r="D14" s="265"/>
      <c r="K14" s="176" t="s">
        <v>164</v>
      </c>
      <c r="L14" s="176"/>
      <c r="M14" s="176"/>
      <c r="N14" s="176"/>
      <c r="O14" s="176"/>
    </row>
    <row r="15" spans="1:15" x14ac:dyDescent="0.15">
      <c r="A15" s="144" t="s">
        <v>165</v>
      </c>
      <c r="B15" s="265"/>
      <c r="C15" s="265"/>
      <c r="D15" s="265"/>
      <c r="K15" s="176" t="s">
        <v>166</v>
      </c>
      <c r="L15" s="176"/>
      <c r="M15" s="176"/>
      <c r="N15" s="176"/>
      <c r="O15" s="176"/>
    </row>
    <row r="16" spans="1:15" x14ac:dyDescent="0.15">
      <c r="A16" s="144" t="s">
        <v>167</v>
      </c>
      <c r="B16" s="265"/>
      <c r="C16" s="265"/>
      <c r="D16" s="265"/>
      <c r="K16" s="176" t="s">
        <v>168</v>
      </c>
      <c r="L16" s="176"/>
      <c r="M16" s="176"/>
      <c r="N16" s="176"/>
      <c r="O16" s="176"/>
    </row>
    <row r="17" spans="1:11" x14ac:dyDescent="0.15">
      <c r="A17" s="144" t="s">
        <v>169</v>
      </c>
      <c r="B17" s="265"/>
      <c r="C17" s="265"/>
      <c r="D17" s="265"/>
    </row>
    <row r="18" spans="1:11" x14ac:dyDescent="0.15">
      <c r="A18" s="156" t="s">
        <v>170</v>
      </c>
      <c r="K18" s="126"/>
    </row>
    <row r="19" spans="1:11" x14ac:dyDescent="0.15">
      <c r="A19" s="144" t="s">
        <v>171</v>
      </c>
      <c r="B19" s="265"/>
      <c r="C19" s="265"/>
      <c r="D19" s="265"/>
      <c r="K19" s="126"/>
    </row>
    <row r="20" spans="1:11" x14ac:dyDescent="0.15">
      <c r="A20" s="144" t="s">
        <v>172</v>
      </c>
      <c r="B20" s="265"/>
      <c r="C20" s="265"/>
      <c r="D20" s="265"/>
    </row>
    <row r="21" spans="1:11" x14ac:dyDescent="0.15">
      <c r="A21" s="144" t="s">
        <v>173</v>
      </c>
      <c r="B21" s="265"/>
      <c r="C21" s="265"/>
      <c r="D21" s="265"/>
    </row>
    <row r="22" spans="1:11" x14ac:dyDescent="0.15">
      <c r="A22" s="144" t="s">
        <v>174</v>
      </c>
      <c r="B22" s="265"/>
      <c r="C22" s="265"/>
      <c r="D22" s="265"/>
    </row>
    <row r="23" spans="1:11" x14ac:dyDescent="0.15">
      <c r="A23" s="144" t="s">
        <v>175</v>
      </c>
      <c r="B23" s="265"/>
      <c r="C23" s="265"/>
      <c r="D23" s="265"/>
    </row>
    <row r="24" spans="1:11" x14ac:dyDescent="0.15">
      <c r="A24" s="144" t="s">
        <v>176</v>
      </c>
      <c r="B24" s="265"/>
      <c r="C24" s="265"/>
      <c r="D24" s="265"/>
    </row>
    <row r="25" spans="1:11" x14ac:dyDescent="0.15">
      <c r="A25" s="144" t="s">
        <v>177</v>
      </c>
      <c r="B25" s="265"/>
      <c r="C25" s="265"/>
      <c r="D25" s="265"/>
    </row>
    <row r="26" spans="1:11" ht="12" customHeight="1" x14ac:dyDescent="0.15">
      <c r="A26" s="144" t="s">
        <v>178</v>
      </c>
      <c r="B26" s="265"/>
      <c r="C26" s="265"/>
      <c r="D26" s="265"/>
    </row>
    <row r="27" spans="1:11" ht="14" x14ac:dyDescent="0.15">
      <c r="A27" s="157" t="s">
        <v>179</v>
      </c>
      <c r="B27" s="265"/>
      <c r="C27" s="265"/>
      <c r="D27" s="265"/>
    </row>
    <row r="28" spans="1:11" x14ac:dyDescent="0.15">
      <c r="A28" s="144"/>
    </row>
    <row r="29" spans="1:11" x14ac:dyDescent="0.15">
      <c r="A29" s="144" t="s">
        <v>31</v>
      </c>
      <c r="B29" s="193">
        <f>SUM(B14:B17)+SUM(B19:B27)</f>
        <v>0</v>
      </c>
      <c r="C29" s="193">
        <f>SUM(C14:C17)+SUM(C19:C27)</f>
        <v>0</v>
      </c>
      <c r="D29" s="193">
        <f>SUM(D14:D17)+SUM(D19:D27)</f>
        <v>0</v>
      </c>
    </row>
    <row r="31" spans="1:11" x14ac:dyDescent="0.15">
      <c r="A31" s="156" t="s">
        <v>33</v>
      </c>
    </row>
    <row r="32" spans="1:11" x14ac:dyDescent="0.15">
      <c r="A32" s="144" t="s">
        <v>229</v>
      </c>
      <c r="B32" s="265"/>
      <c r="C32" s="265"/>
      <c r="D32" s="265"/>
    </row>
    <row r="33" spans="1:5" x14ac:dyDescent="0.15">
      <c r="A33" s="144" t="s">
        <v>181</v>
      </c>
      <c r="B33" s="265"/>
      <c r="C33" s="265"/>
      <c r="D33" s="265"/>
    </row>
    <row r="34" spans="1:5" x14ac:dyDescent="0.15">
      <c r="A34" s="144" t="s">
        <v>182</v>
      </c>
      <c r="B34" s="265"/>
      <c r="C34" s="265"/>
      <c r="D34" s="265"/>
    </row>
    <row r="36" spans="1:5" x14ac:dyDescent="0.15">
      <c r="A36" s="156" t="s">
        <v>183</v>
      </c>
    </row>
    <row r="37" spans="1:5" x14ac:dyDescent="0.15">
      <c r="A37" s="144" t="s">
        <v>184</v>
      </c>
      <c r="B37" s="265"/>
      <c r="C37" s="265"/>
      <c r="D37" s="265"/>
    </row>
    <row r="38" spans="1:5" x14ac:dyDescent="0.15">
      <c r="A38" s="144" t="s">
        <v>185</v>
      </c>
      <c r="B38" s="265"/>
      <c r="C38" s="265"/>
      <c r="D38" s="265"/>
    </row>
    <row r="39" spans="1:5" x14ac:dyDescent="0.15">
      <c r="A39" s="144" t="s">
        <v>186</v>
      </c>
      <c r="B39" s="265"/>
      <c r="C39" s="265"/>
      <c r="D39" s="265"/>
    </row>
    <row r="41" spans="1:5" x14ac:dyDescent="0.15">
      <c r="A41" s="99" t="s">
        <v>187</v>
      </c>
    </row>
    <row r="42" spans="1:5" x14ac:dyDescent="0.15">
      <c r="A42" s="144" t="s">
        <v>188</v>
      </c>
      <c r="B42" s="265"/>
      <c r="C42" s="265"/>
      <c r="D42" s="265"/>
    </row>
    <row r="43" spans="1:5" x14ac:dyDescent="0.15">
      <c r="A43" s="144" t="s">
        <v>189</v>
      </c>
      <c r="B43" s="265"/>
      <c r="C43" s="265"/>
      <c r="D43" s="265"/>
    </row>
    <row r="44" spans="1:5" x14ac:dyDescent="0.15">
      <c r="A44" s="144" t="s">
        <v>38</v>
      </c>
      <c r="B44" s="265"/>
      <c r="C44" s="265"/>
      <c r="D44" s="265"/>
    </row>
    <row r="45" spans="1:5" x14ac:dyDescent="0.15">
      <c r="A45" s="144"/>
    </row>
    <row r="46" spans="1:5" x14ac:dyDescent="0.15">
      <c r="A46" s="144" t="s">
        <v>40</v>
      </c>
      <c r="B46" s="193">
        <f>SUM(B32:B34)+SUM(B37:B39)+SUM(B42:B44)</f>
        <v>0</v>
      </c>
      <c r="C46" s="193">
        <f>SUM(C32:C34)+SUM(C37:C39)+SUM(C42:C44)</f>
        <v>0</v>
      </c>
      <c r="D46" s="193">
        <f>SUM(D32:D34)+SUM(D37:D39)+SUM(D42:D44)</f>
        <v>0</v>
      </c>
    </row>
    <row r="47" spans="1:5" x14ac:dyDescent="0.15">
      <c r="A47" s="144"/>
      <c r="B47" t="str">
        <f>IF(B29-B46=0,"    ","Error")</f>
        <v xml:space="preserve">    </v>
      </c>
      <c r="C47" t="str">
        <f>IF(C29-C46=0,"    ","Error")</f>
        <v xml:space="preserve">    </v>
      </c>
      <c r="D47" t="str">
        <f>IF(D29-D46=0,"    ","Error")</f>
        <v xml:space="preserve">    </v>
      </c>
    </row>
    <row r="48" spans="1:5" x14ac:dyDescent="0.15">
      <c r="A48" s="144"/>
    </row>
    <row r="49" spans="1:5" x14ac:dyDescent="0.15">
      <c r="A49" s="144"/>
    </row>
    <row r="51" spans="1:5" ht="16" x14ac:dyDescent="0.2">
      <c r="A51" s="165" t="s">
        <v>190</v>
      </c>
    </row>
    <row r="52" spans="1:5" x14ac:dyDescent="0.15">
      <c r="A52" s="144" t="s">
        <v>203</v>
      </c>
      <c r="B52" s="265"/>
      <c r="C52" s="265"/>
      <c r="D52" s="265"/>
    </row>
    <row r="53" spans="1:5" x14ac:dyDescent="0.15">
      <c r="A53" s="144" t="s">
        <v>53</v>
      </c>
      <c r="B53" s="265"/>
      <c r="C53" s="265"/>
      <c r="D53" s="265"/>
    </row>
    <row r="54" spans="1:5" x14ac:dyDescent="0.15">
      <c r="A54" s="144" t="s">
        <v>45</v>
      </c>
      <c r="B54" s="265"/>
      <c r="C54" s="265"/>
      <c r="D54" s="265"/>
    </row>
    <row r="55" spans="1:5" x14ac:dyDescent="0.15">
      <c r="A55" s="144" t="s">
        <v>191</v>
      </c>
      <c r="B55" s="265"/>
      <c r="C55" s="265"/>
      <c r="D55" s="265"/>
    </row>
    <row r="56" spans="1:5" x14ac:dyDescent="0.15">
      <c r="A56" s="144" t="s">
        <v>192</v>
      </c>
      <c r="B56" s="265"/>
      <c r="C56" s="265"/>
      <c r="D56" s="265"/>
    </row>
    <row r="57" spans="1:5" x14ac:dyDescent="0.15">
      <c r="A57" s="144" t="s">
        <v>193</v>
      </c>
      <c r="B57" s="265"/>
      <c r="C57" s="265"/>
      <c r="D57" s="265"/>
    </row>
    <row r="58" spans="1:5" x14ac:dyDescent="0.15">
      <c r="A58" s="144" t="s">
        <v>194</v>
      </c>
      <c r="B58" s="265"/>
      <c r="C58" s="265"/>
      <c r="D58" s="265"/>
    </row>
    <row r="59" spans="1:5" x14ac:dyDescent="0.15">
      <c r="A59" s="144" t="s">
        <v>195</v>
      </c>
      <c r="B59" s="265"/>
      <c r="C59" s="265"/>
      <c r="D59" s="265"/>
    </row>
    <row r="60" spans="1:5" x14ac:dyDescent="0.15">
      <c r="A60" s="144" t="s">
        <v>196</v>
      </c>
      <c r="B60" s="265"/>
      <c r="C60" s="265"/>
      <c r="D60" s="265"/>
    </row>
    <row r="61" spans="1:5" x14ac:dyDescent="0.15">
      <c r="A61" s="144" t="s">
        <v>220</v>
      </c>
      <c r="B61" s="265"/>
      <c r="C61" s="265"/>
      <c r="D61" s="265"/>
    </row>
    <row r="62" spans="1:5" x14ac:dyDescent="0.15">
      <c r="A62" s="144" t="s">
        <v>221</v>
      </c>
      <c r="B62" s="265"/>
      <c r="C62" s="265"/>
      <c r="D62" s="265"/>
    </row>
    <row r="63" spans="1:5" x14ac:dyDescent="0.15">
      <c r="A63" s="144" t="s">
        <v>9</v>
      </c>
      <c r="B63" s="194">
        <f t="shared" ref="B63:C63" si="0">B52-SUM(B53:B56)+B57-B58+SUM(B59:B62)</f>
        <v>0</v>
      </c>
      <c r="C63" s="194">
        <f t="shared" si="0"/>
        <v>0</v>
      </c>
      <c r="D63" s="194">
        <f>D52-SUM(D53:D56)+D57-D58+SUM(D59:D62)</f>
        <v>0</v>
      </c>
    </row>
    <row r="64" spans="1:5" x14ac:dyDescent="0.15">
      <c r="A64" s="142" t="s">
        <v>49</v>
      </c>
      <c r="B64" s="265"/>
      <c r="C64" s="265"/>
      <c r="D64" s="265"/>
    </row>
    <row r="65" spans="1:5" x14ac:dyDescent="0.15">
      <c r="A65" s="142" t="s">
        <v>0</v>
      </c>
    </row>
    <row r="66" spans="1:5" x14ac:dyDescent="0.15">
      <c r="A66" s="158" t="s">
        <v>199</v>
      </c>
      <c r="E66" s="269"/>
    </row>
    <row r="67" spans="1:5" x14ac:dyDescent="0.15">
      <c r="A67" s="159" t="s">
        <v>204</v>
      </c>
      <c r="B67" s="265"/>
      <c r="C67" s="265"/>
      <c r="D67" s="265"/>
    </row>
    <row r="68" spans="1:5" x14ac:dyDescent="0.15">
      <c r="A68" s="159" t="s">
        <v>205</v>
      </c>
      <c r="B68" s="265"/>
      <c r="C68" s="265"/>
      <c r="D68" s="265"/>
    </row>
    <row r="69" spans="1:5" x14ac:dyDescent="0.15">
      <c r="A69" t="s">
        <v>200</v>
      </c>
      <c r="B69" s="265"/>
      <c r="C69" s="265"/>
      <c r="D69" s="265"/>
    </row>
    <row r="71" spans="1:5" ht="25.5" hidden="1" customHeight="1" x14ac:dyDescent="0.15">
      <c r="C71" s="172" t="s">
        <v>208</v>
      </c>
    </row>
    <row r="72" spans="1:5" hidden="1" x14ac:dyDescent="0.15">
      <c r="C72" s="172"/>
    </row>
    <row r="73" spans="1:5" hidden="1" x14ac:dyDescent="0.15">
      <c r="A73" s="171"/>
      <c r="B73" s="171"/>
      <c r="C73" s="171"/>
      <c r="D73" s="171"/>
      <c r="E73" s="171"/>
    </row>
    <row r="74" spans="1:5" hidden="1" x14ac:dyDescent="0.15"/>
    <row r="75" spans="1:5" ht="16" hidden="1" x14ac:dyDescent="0.2">
      <c r="A75" s="155" t="s">
        <v>16</v>
      </c>
    </row>
    <row r="76" spans="1:5" hidden="1" x14ac:dyDescent="0.15">
      <c r="A76" s="99" t="s">
        <v>22</v>
      </c>
    </row>
    <row r="77" spans="1:5" hidden="1" x14ac:dyDescent="0.15">
      <c r="A77" s="144" t="s">
        <v>163</v>
      </c>
      <c r="B77" s="192" t="e">
        <f>B14*(1/$B$10)</f>
        <v>#DIV/0!</v>
      </c>
      <c r="C77" s="192" t="e">
        <f>C14*(1/$C$10)</f>
        <v>#DIV/0!</v>
      </c>
      <c r="D77" s="192">
        <f>CashFlow!D42</f>
        <v>0</v>
      </c>
    </row>
    <row r="78" spans="1:5" hidden="1" x14ac:dyDescent="0.15">
      <c r="A78" s="144" t="s">
        <v>165</v>
      </c>
      <c r="B78" s="192" t="e">
        <f>B15*(1/$B$10)</f>
        <v>#DIV/0!</v>
      </c>
      <c r="C78" s="192" t="e">
        <f>C15*(1/$C$10)</f>
        <v>#DIV/0!</v>
      </c>
      <c r="D78" s="192" t="e">
        <f>D15*(1/$D$10)</f>
        <v>#DIV/0!</v>
      </c>
    </row>
    <row r="79" spans="1:5" hidden="1" x14ac:dyDescent="0.15">
      <c r="A79" s="144" t="s">
        <v>167</v>
      </c>
      <c r="B79" s="192" t="e">
        <f>B16*(1/$B$10)</f>
        <v>#DIV/0!</v>
      </c>
      <c r="C79" s="192" t="e">
        <f>C16*(1/$C$10)</f>
        <v>#DIV/0!</v>
      </c>
      <c r="D79" s="192" t="e">
        <f>D16*(1/$D$10)</f>
        <v>#DIV/0!</v>
      </c>
    </row>
    <row r="80" spans="1:5" hidden="1" x14ac:dyDescent="0.15">
      <c r="A80" s="144" t="s">
        <v>169</v>
      </c>
      <c r="B80" s="192" t="e">
        <f>B17*(1/$B$10)</f>
        <v>#DIV/0!</v>
      </c>
      <c r="C80" s="192" t="e">
        <f>C17*(1/$C$10)</f>
        <v>#DIV/0!</v>
      </c>
      <c r="D80" s="192" t="e">
        <f>D17*(1/$D$10)</f>
        <v>#DIV/0!</v>
      </c>
    </row>
    <row r="81" spans="1:4" hidden="1" x14ac:dyDescent="0.15">
      <c r="A81" s="156" t="s">
        <v>170</v>
      </c>
    </row>
    <row r="82" spans="1:4" hidden="1" x14ac:dyDescent="0.15">
      <c r="A82" s="144" t="s">
        <v>171</v>
      </c>
      <c r="B82" s="192" t="e">
        <f>B19*(1/$B$10)</f>
        <v>#DIV/0!</v>
      </c>
      <c r="C82" s="192" t="e">
        <f>C19*(1/$C$10)</f>
        <v>#DIV/0!</v>
      </c>
      <c r="D82" s="192" t="e">
        <f>D19*(1/$D$10)</f>
        <v>#DIV/0!</v>
      </c>
    </row>
    <row r="83" spans="1:4" hidden="1" x14ac:dyDescent="0.15">
      <c r="A83" s="144" t="s">
        <v>172</v>
      </c>
      <c r="B83" s="192" t="e">
        <f t="shared" ref="B83:B90" si="1">B20*(1/$B$10)</f>
        <v>#DIV/0!</v>
      </c>
      <c r="C83" s="192" t="e">
        <f t="shared" ref="C83:C89" si="2">C20*(1/$C$10)</f>
        <v>#DIV/0!</v>
      </c>
      <c r="D83" s="192" t="e">
        <f t="shared" ref="D83:D89" si="3">D20*(1/$D$10)</f>
        <v>#DIV/0!</v>
      </c>
    </row>
    <row r="84" spans="1:4" hidden="1" x14ac:dyDescent="0.15">
      <c r="A84" s="144" t="s">
        <v>173</v>
      </c>
      <c r="B84" s="192" t="e">
        <f t="shared" si="1"/>
        <v>#DIV/0!</v>
      </c>
      <c r="C84" s="192" t="e">
        <f t="shared" si="2"/>
        <v>#DIV/0!</v>
      </c>
      <c r="D84" s="192" t="e">
        <f t="shared" si="3"/>
        <v>#DIV/0!</v>
      </c>
    </row>
    <row r="85" spans="1:4" hidden="1" x14ac:dyDescent="0.15">
      <c r="A85" s="144" t="s">
        <v>174</v>
      </c>
      <c r="B85" s="192" t="e">
        <f t="shared" si="1"/>
        <v>#DIV/0!</v>
      </c>
      <c r="C85" s="192" t="e">
        <f t="shared" si="2"/>
        <v>#DIV/0!</v>
      </c>
      <c r="D85" s="192" t="e">
        <f t="shared" si="3"/>
        <v>#DIV/0!</v>
      </c>
    </row>
    <row r="86" spans="1:4" hidden="1" x14ac:dyDescent="0.15">
      <c r="A86" s="144" t="s">
        <v>175</v>
      </c>
      <c r="B86" s="192" t="e">
        <f t="shared" si="1"/>
        <v>#DIV/0!</v>
      </c>
      <c r="C86" s="192" t="e">
        <f t="shared" si="2"/>
        <v>#DIV/0!</v>
      </c>
      <c r="D86" s="192" t="e">
        <f t="shared" si="3"/>
        <v>#DIV/0!</v>
      </c>
    </row>
    <row r="87" spans="1:4" hidden="1" x14ac:dyDescent="0.15">
      <c r="A87" s="144" t="s">
        <v>176</v>
      </c>
      <c r="B87" s="192" t="e">
        <f t="shared" si="1"/>
        <v>#DIV/0!</v>
      </c>
      <c r="C87" s="192" t="e">
        <f t="shared" si="2"/>
        <v>#DIV/0!</v>
      </c>
      <c r="D87" s="192" t="e">
        <f t="shared" si="3"/>
        <v>#DIV/0!</v>
      </c>
    </row>
    <row r="88" spans="1:4" hidden="1" x14ac:dyDescent="0.15">
      <c r="A88" s="144" t="s">
        <v>177</v>
      </c>
      <c r="B88" s="192" t="e">
        <f t="shared" si="1"/>
        <v>#DIV/0!</v>
      </c>
      <c r="C88" s="192" t="e">
        <f t="shared" si="2"/>
        <v>#DIV/0!</v>
      </c>
      <c r="D88" s="192" t="e">
        <f t="shared" si="3"/>
        <v>#DIV/0!</v>
      </c>
    </row>
    <row r="89" spans="1:4" hidden="1" x14ac:dyDescent="0.15">
      <c r="A89" s="144" t="s">
        <v>178</v>
      </c>
      <c r="B89" s="192" t="e">
        <f t="shared" si="1"/>
        <v>#DIV/0!</v>
      </c>
      <c r="C89" s="192" t="e">
        <f t="shared" si="2"/>
        <v>#DIV/0!</v>
      </c>
      <c r="D89" s="192" t="e">
        <f t="shared" si="3"/>
        <v>#DIV/0!</v>
      </c>
    </row>
    <row r="90" spans="1:4" ht="14" hidden="1" x14ac:dyDescent="0.15">
      <c r="A90" s="157" t="s">
        <v>179</v>
      </c>
      <c r="B90" s="192" t="e">
        <f t="shared" si="1"/>
        <v>#DIV/0!</v>
      </c>
      <c r="C90" s="192" t="e">
        <f>B27/$B$10+(B27/$C$10-B27/$B$10)-C118</f>
        <v>#DIV/0!</v>
      </c>
      <c r="D90" s="192" t="e">
        <f>C27/$C$10+(C27/$D$10-C27/$C$10)-D118</f>
        <v>#DIV/0!</v>
      </c>
    </row>
    <row r="91" spans="1:4" hidden="1" x14ac:dyDescent="0.15">
      <c r="A91" s="144"/>
    </row>
    <row r="92" spans="1:4" hidden="1" x14ac:dyDescent="0.15">
      <c r="A92" s="144" t="s">
        <v>31</v>
      </c>
      <c r="B92" s="193" t="e">
        <f>SUM(B77:B80)+SUM(B82:B90)</f>
        <v>#DIV/0!</v>
      </c>
      <c r="C92" s="193" t="e">
        <f>SUM(C77:C80)+SUM(C82:C90)</f>
        <v>#DIV/0!</v>
      </c>
      <c r="D92" s="193" t="e">
        <f>SUM(D77:D80)+SUM(D82:D90)</f>
        <v>#DIV/0!</v>
      </c>
    </row>
    <row r="93" spans="1:4" hidden="1" x14ac:dyDescent="0.15"/>
    <row r="94" spans="1:4" hidden="1" x14ac:dyDescent="0.15">
      <c r="A94" s="156" t="s">
        <v>33</v>
      </c>
    </row>
    <row r="95" spans="1:4" hidden="1" x14ac:dyDescent="0.15">
      <c r="A95" s="144" t="s">
        <v>180</v>
      </c>
      <c r="B95" s="192" t="e">
        <f>B32*(1/$B$10)</f>
        <v>#DIV/0!</v>
      </c>
      <c r="C95" s="192" t="e">
        <f>C32*(1/$C$10)</f>
        <v>#DIV/0!</v>
      </c>
      <c r="D95" s="192" t="e">
        <f>D32*(1/$D$10)</f>
        <v>#DIV/0!</v>
      </c>
    </row>
    <row r="96" spans="1:4" hidden="1" x14ac:dyDescent="0.15">
      <c r="A96" s="144" t="s">
        <v>181</v>
      </c>
      <c r="B96" s="192" t="e">
        <f t="shared" ref="B96:B97" si="4">B33*(1/$B$10)</f>
        <v>#DIV/0!</v>
      </c>
      <c r="C96" s="192" t="e">
        <f t="shared" ref="C96:C97" si="5">C33*(1/$C$10)</f>
        <v>#DIV/0!</v>
      </c>
      <c r="D96" s="192" t="e">
        <f t="shared" ref="D96:D97" si="6">D33*(1/$D$10)</f>
        <v>#DIV/0!</v>
      </c>
    </row>
    <row r="97" spans="1:4" hidden="1" x14ac:dyDescent="0.15">
      <c r="A97" s="144" t="s">
        <v>182</v>
      </c>
      <c r="B97" s="192" t="e">
        <f t="shared" si="4"/>
        <v>#DIV/0!</v>
      </c>
      <c r="C97" s="192" t="e">
        <f t="shared" si="5"/>
        <v>#DIV/0!</v>
      </c>
      <c r="D97" s="192" t="e">
        <f t="shared" si="6"/>
        <v>#DIV/0!</v>
      </c>
    </row>
    <row r="98" spans="1:4" hidden="1" x14ac:dyDescent="0.15"/>
    <row r="99" spans="1:4" hidden="1" x14ac:dyDescent="0.15">
      <c r="A99" s="156" t="s">
        <v>183</v>
      </c>
    </row>
    <row r="100" spans="1:4" hidden="1" x14ac:dyDescent="0.15">
      <c r="A100" s="144" t="s">
        <v>184</v>
      </c>
      <c r="B100" s="192" t="e">
        <f t="shared" ref="B100:B102" si="7">B37*(1/$B$10)</f>
        <v>#DIV/0!</v>
      </c>
      <c r="C100" s="192" t="e">
        <f t="shared" ref="C100:C102" si="8">C37*(1/$C$10)</f>
        <v>#DIV/0!</v>
      </c>
      <c r="D100" s="192" t="e">
        <f t="shared" ref="D100:D102" si="9">D37*(1/$D$10)</f>
        <v>#DIV/0!</v>
      </c>
    </row>
    <row r="101" spans="1:4" hidden="1" x14ac:dyDescent="0.15">
      <c r="A101" s="144" t="s">
        <v>185</v>
      </c>
      <c r="B101" s="192" t="e">
        <f t="shared" si="7"/>
        <v>#DIV/0!</v>
      </c>
      <c r="C101" s="192" t="e">
        <f t="shared" si="8"/>
        <v>#DIV/0!</v>
      </c>
      <c r="D101" s="192" t="e">
        <f t="shared" si="9"/>
        <v>#DIV/0!</v>
      </c>
    </row>
    <row r="102" spans="1:4" hidden="1" x14ac:dyDescent="0.15">
      <c r="A102" s="144" t="s">
        <v>186</v>
      </c>
      <c r="B102" s="192" t="e">
        <f t="shared" si="7"/>
        <v>#DIV/0!</v>
      </c>
      <c r="C102" s="192" t="e">
        <f t="shared" si="8"/>
        <v>#DIV/0!</v>
      </c>
      <c r="D102" s="192" t="e">
        <f t="shared" si="9"/>
        <v>#DIV/0!</v>
      </c>
    </row>
    <row r="103" spans="1:4" hidden="1" x14ac:dyDescent="0.15"/>
    <row r="104" spans="1:4" hidden="1" x14ac:dyDescent="0.15">
      <c r="A104" s="99" t="s">
        <v>187</v>
      </c>
    </row>
    <row r="105" spans="1:4" hidden="1" x14ac:dyDescent="0.15">
      <c r="A105" s="144" t="s">
        <v>188</v>
      </c>
      <c r="B105" s="192" t="e">
        <f>B42*(1/$B$10)</f>
        <v>#DIV/0!</v>
      </c>
      <c r="C105" s="192" t="e">
        <f>C42*(1/$C$10)</f>
        <v>#DIV/0!</v>
      </c>
      <c r="D105" s="192" t="e">
        <f>D42*(1/$D$10)</f>
        <v>#DIV/0!</v>
      </c>
    </row>
    <row r="106" spans="1:4" hidden="1" x14ac:dyDescent="0.15">
      <c r="A106" s="144" t="s">
        <v>189</v>
      </c>
      <c r="B106" s="192" t="e">
        <f>B43*(1/$B$10)</f>
        <v>#DIV/0!</v>
      </c>
      <c r="C106" s="192" t="e">
        <f>C43*(1/$C$10)</f>
        <v>#DIV/0!</v>
      </c>
      <c r="D106" s="192" t="e">
        <f>D43*(1/$D$10)</f>
        <v>#DIV/0!</v>
      </c>
    </row>
    <row r="107" spans="1:4" hidden="1" x14ac:dyDescent="0.15">
      <c r="A107" s="144" t="s">
        <v>38</v>
      </c>
      <c r="B107" s="192" t="e">
        <f>B44*(1/$B$10)</f>
        <v>#DIV/0!</v>
      </c>
      <c r="C107" s="192" t="e">
        <f>B44/$B$10+(B44/$C$10-B44/$B$10)+C125-C126</f>
        <v>#DIV/0!</v>
      </c>
      <c r="D107" s="192" t="e">
        <f>C44/$C$10+(C44/$D$10-C44/$C$10)+D125-D126</f>
        <v>#DIV/0!</v>
      </c>
    </row>
    <row r="108" spans="1:4" hidden="1" x14ac:dyDescent="0.15">
      <c r="A108" s="144"/>
    </row>
    <row r="109" spans="1:4" hidden="1" x14ac:dyDescent="0.15">
      <c r="A109" s="144" t="s">
        <v>40</v>
      </c>
      <c r="B109" s="193" t="e">
        <f>SUM(B95:B97)+SUM(B100:B102)+SUM(B105:B107)</f>
        <v>#DIV/0!</v>
      </c>
      <c r="C109" s="193" t="e">
        <f>SUM(C95:C97)+SUM(C100:C102)+SUM(C105:C107)</f>
        <v>#DIV/0!</v>
      </c>
      <c r="D109" s="193" t="e">
        <f>SUM(D95:D97)+SUM(D100:D102)+SUM(D105:D107)</f>
        <v>#DIV/0!</v>
      </c>
    </row>
    <row r="110" spans="1:4" hidden="1" x14ac:dyDescent="0.15">
      <c r="A110" s="144"/>
      <c r="B110" t="e">
        <f>IF(OR(B92-B109&lt;1,B92-B109&gt;-1),"    ","Error")</f>
        <v>#DIV/0!</v>
      </c>
      <c r="C110" t="e">
        <f>IF(OR(C92-C109&lt;1,C92-C109&gt;-1),"    ","Error")</f>
        <v>#DIV/0!</v>
      </c>
      <c r="D110" t="e">
        <f>IF(OR(D92-D109&lt;1,D92-D109&gt;-1),"    ","Error")</f>
        <v>#DIV/0!</v>
      </c>
    </row>
    <row r="111" spans="1:4" hidden="1" x14ac:dyDescent="0.15">
      <c r="A111" s="144"/>
    </row>
    <row r="112" spans="1:4" hidden="1" x14ac:dyDescent="0.15"/>
    <row r="113" spans="1:4" ht="16" hidden="1" x14ac:dyDescent="0.2">
      <c r="A113" s="165" t="s">
        <v>190</v>
      </c>
    </row>
    <row r="114" spans="1:4" hidden="1" x14ac:dyDescent="0.15">
      <c r="A114" s="144" t="s">
        <v>203</v>
      </c>
      <c r="B114" s="192" t="e">
        <f t="shared" ref="B114:B124" si="10">B52*(1/$B$10)</f>
        <v>#DIV/0!</v>
      </c>
      <c r="C114" s="192" t="e">
        <f t="shared" ref="C114:C124" si="11">C52*(1/$C$10)</f>
        <v>#DIV/0!</v>
      </c>
      <c r="D114" s="192" t="e">
        <f t="shared" ref="D114:D124" si="12">D52*(1/$D$10)</f>
        <v>#DIV/0!</v>
      </c>
    </row>
    <row r="115" spans="1:4" hidden="1" x14ac:dyDescent="0.15">
      <c r="A115" s="144" t="s">
        <v>53</v>
      </c>
      <c r="B115" s="192" t="e">
        <f t="shared" si="10"/>
        <v>#DIV/0!</v>
      </c>
      <c r="C115" s="192" t="e">
        <f t="shared" si="11"/>
        <v>#DIV/0!</v>
      </c>
      <c r="D115" s="192" t="e">
        <f t="shared" si="12"/>
        <v>#DIV/0!</v>
      </c>
    </row>
    <row r="116" spans="1:4" hidden="1" x14ac:dyDescent="0.15">
      <c r="A116" s="144" t="s">
        <v>45</v>
      </c>
      <c r="B116" s="192" t="e">
        <f t="shared" si="10"/>
        <v>#DIV/0!</v>
      </c>
      <c r="C116" s="192" t="e">
        <f t="shared" si="11"/>
        <v>#DIV/0!</v>
      </c>
      <c r="D116" s="192" t="e">
        <f t="shared" si="12"/>
        <v>#DIV/0!</v>
      </c>
    </row>
    <row r="117" spans="1:4" hidden="1" x14ac:dyDescent="0.15">
      <c r="A117" s="144" t="s">
        <v>191</v>
      </c>
      <c r="B117" s="192" t="e">
        <f t="shared" si="10"/>
        <v>#DIV/0!</v>
      </c>
      <c r="C117" s="192" t="e">
        <f t="shared" si="11"/>
        <v>#DIV/0!</v>
      </c>
      <c r="D117" s="192" t="e">
        <f t="shared" si="12"/>
        <v>#DIV/0!</v>
      </c>
    </row>
    <row r="118" spans="1:4" hidden="1" x14ac:dyDescent="0.15">
      <c r="A118" s="144" t="s">
        <v>192</v>
      </c>
      <c r="B118" s="192" t="e">
        <f t="shared" si="10"/>
        <v>#DIV/0!</v>
      </c>
      <c r="C118" s="192" t="e">
        <f t="shared" si="11"/>
        <v>#DIV/0!</v>
      </c>
      <c r="D118" s="192" t="e">
        <f t="shared" si="12"/>
        <v>#DIV/0!</v>
      </c>
    </row>
    <row r="119" spans="1:4" hidden="1" x14ac:dyDescent="0.15">
      <c r="A119" s="144" t="s">
        <v>193</v>
      </c>
      <c r="B119" s="192" t="e">
        <f t="shared" si="10"/>
        <v>#DIV/0!</v>
      </c>
      <c r="C119" s="192" t="e">
        <f t="shared" si="11"/>
        <v>#DIV/0!</v>
      </c>
      <c r="D119" s="192" t="e">
        <f t="shared" si="12"/>
        <v>#DIV/0!</v>
      </c>
    </row>
    <row r="120" spans="1:4" hidden="1" x14ac:dyDescent="0.15">
      <c r="A120" s="144" t="s">
        <v>194</v>
      </c>
      <c r="B120" s="192" t="e">
        <f t="shared" si="10"/>
        <v>#DIV/0!</v>
      </c>
      <c r="C120" s="192" t="e">
        <f t="shared" si="11"/>
        <v>#DIV/0!</v>
      </c>
      <c r="D120" s="192" t="e">
        <f t="shared" si="12"/>
        <v>#DIV/0!</v>
      </c>
    </row>
    <row r="121" spans="1:4" hidden="1" x14ac:dyDescent="0.15">
      <c r="A121" s="144" t="s">
        <v>195</v>
      </c>
      <c r="B121" s="192" t="e">
        <f t="shared" si="10"/>
        <v>#DIV/0!</v>
      </c>
      <c r="C121" s="192" t="e">
        <f t="shared" si="11"/>
        <v>#DIV/0!</v>
      </c>
      <c r="D121" s="192" t="e">
        <f t="shared" si="12"/>
        <v>#DIV/0!</v>
      </c>
    </row>
    <row r="122" spans="1:4" hidden="1" x14ac:dyDescent="0.15">
      <c r="A122" s="144" t="s">
        <v>196</v>
      </c>
      <c r="B122" s="192" t="e">
        <f t="shared" si="10"/>
        <v>#DIV/0!</v>
      </c>
      <c r="C122" s="192" t="e">
        <f t="shared" si="11"/>
        <v>#DIV/0!</v>
      </c>
      <c r="D122" s="192" t="e">
        <f t="shared" si="12"/>
        <v>#DIV/0!</v>
      </c>
    </row>
    <row r="123" spans="1:4" hidden="1" x14ac:dyDescent="0.15">
      <c r="A123" s="144" t="s">
        <v>197</v>
      </c>
      <c r="B123" s="192" t="e">
        <f t="shared" si="10"/>
        <v>#DIV/0!</v>
      </c>
      <c r="C123" s="192" t="e">
        <f t="shared" si="11"/>
        <v>#DIV/0!</v>
      </c>
      <c r="D123" s="192" t="e">
        <f t="shared" si="12"/>
        <v>#DIV/0!</v>
      </c>
    </row>
    <row r="124" spans="1:4" hidden="1" x14ac:dyDescent="0.15">
      <c r="A124" s="144" t="s">
        <v>198</v>
      </c>
      <c r="B124" s="192" t="e">
        <f t="shared" si="10"/>
        <v>#DIV/0!</v>
      </c>
      <c r="C124" s="192" t="e">
        <f t="shared" si="11"/>
        <v>#DIV/0!</v>
      </c>
      <c r="D124" s="192" t="e">
        <f t="shared" si="12"/>
        <v>#DIV/0!</v>
      </c>
    </row>
    <row r="125" spans="1:4" hidden="1" x14ac:dyDescent="0.15">
      <c r="A125" s="144" t="s">
        <v>9</v>
      </c>
      <c r="B125" s="194" t="e">
        <f t="shared" ref="B125:D125" si="13">B114-SUM(B115:B118)+B119-B120+SUM(B121:B124)</f>
        <v>#DIV/0!</v>
      </c>
      <c r="C125" s="194" t="e">
        <f t="shared" si="13"/>
        <v>#DIV/0!</v>
      </c>
      <c r="D125" s="194" t="e">
        <f t="shared" si="13"/>
        <v>#DIV/0!</v>
      </c>
    </row>
    <row r="126" spans="1:4" hidden="1" x14ac:dyDescent="0.15">
      <c r="A126" s="142" t="s">
        <v>49</v>
      </c>
      <c r="B126" s="192" t="e">
        <f>B64*(1/$B$10)</f>
        <v>#DIV/0!</v>
      </c>
      <c r="C126" s="192" t="e">
        <f>C64*(1/$C$10)</f>
        <v>#DIV/0!</v>
      </c>
      <c r="D126" s="192" t="e">
        <f>D64*(1/$D$10)</f>
        <v>#DIV/0!</v>
      </c>
    </row>
    <row r="127" spans="1:4" hidden="1" x14ac:dyDescent="0.15">
      <c r="A127" s="142" t="s">
        <v>0</v>
      </c>
    </row>
    <row r="128" spans="1:4" hidden="1" x14ac:dyDescent="0.15">
      <c r="A128" s="158" t="s">
        <v>199</v>
      </c>
    </row>
    <row r="129" spans="1:4" hidden="1" x14ac:dyDescent="0.15">
      <c r="A129" s="159" t="s">
        <v>204</v>
      </c>
      <c r="B129" s="192" t="e">
        <f>B67*(1/$B$10)</f>
        <v>#DIV/0!</v>
      </c>
      <c r="C129" s="192" t="e">
        <f>C67*(1/$C$10)</f>
        <v>#DIV/0!</v>
      </c>
      <c r="D129" s="192" t="e">
        <f>D67*(1/$D$10)</f>
        <v>#DIV/0!</v>
      </c>
    </row>
    <row r="130" spans="1:4" hidden="1" x14ac:dyDescent="0.15">
      <c r="A130" s="159" t="s">
        <v>205</v>
      </c>
      <c r="B130" s="192" t="e">
        <f>B68*(1/$B$10)</f>
        <v>#DIV/0!</v>
      </c>
      <c r="C130" s="192" t="e">
        <f>C68*(1/$C$10)</f>
        <v>#DIV/0!</v>
      </c>
      <c r="D130" s="192" t="e">
        <f>D68*(1/$D$10)</f>
        <v>#DIV/0!</v>
      </c>
    </row>
    <row r="131" spans="1:4" hidden="1" x14ac:dyDescent="0.15">
      <c r="A131" t="s">
        <v>200</v>
      </c>
      <c r="B131" s="192" t="e">
        <f>B69*(1/$B$10)</f>
        <v>#DIV/0!</v>
      </c>
      <c r="C131" s="192" t="e">
        <f>C69*(1/$C$10)</f>
        <v>#DIV/0!</v>
      </c>
      <c r="D131" s="192" t="e">
        <f>D69*(1/$D$10)</f>
        <v>#DIV/0!</v>
      </c>
    </row>
    <row r="132" spans="1:4" hidden="1" x14ac:dyDescent="0.15"/>
    <row r="134" spans="1:4" x14ac:dyDescent="0.15">
      <c r="A134" s="1" t="s">
        <v>212</v>
      </c>
    </row>
    <row r="135" spans="1:4" x14ac:dyDescent="0.15">
      <c r="A135" s="1" t="s">
        <v>213</v>
      </c>
      <c r="B135" s="195" t="s">
        <v>0</v>
      </c>
      <c r="C135" s="193">
        <f>IF($C$10=0,SUM(B42:B44),SUM(B105:B107))</f>
        <v>0</v>
      </c>
      <c r="D135" s="193">
        <f>IF($D$10=0,SUM(C42:C44),SUM(C105:C107))</f>
        <v>0</v>
      </c>
    </row>
    <row r="136" spans="1:4" x14ac:dyDescent="0.15">
      <c r="A136" s="142" t="s">
        <v>214</v>
      </c>
      <c r="B136" s="195" t="s">
        <v>0</v>
      </c>
      <c r="C136" s="193">
        <f>IF($C$10=0,C63-C64+C67,C125-C126+C129)</f>
        <v>0</v>
      </c>
      <c r="D136" s="193">
        <f>IF($D$10=0,D63-D64+D67,D125-D126+D129)</f>
        <v>0</v>
      </c>
    </row>
    <row r="137" spans="1:4" x14ac:dyDescent="0.15">
      <c r="A137" s="144" t="s">
        <v>215</v>
      </c>
      <c r="B137" s="195" t="s">
        <v>0</v>
      </c>
      <c r="C137" s="193">
        <f>IF($C$10=0,C68+C69,C130+C131)</f>
        <v>0</v>
      </c>
      <c r="D137" s="193">
        <f>IF($D$10=0,D68+D69,D130+D131)</f>
        <v>0</v>
      </c>
    </row>
    <row r="138" spans="1:4" x14ac:dyDescent="0.15">
      <c r="A138" s="144" t="s">
        <v>216</v>
      </c>
      <c r="B138" s="195" t="s">
        <v>0</v>
      </c>
      <c r="C138" s="193">
        <f>IF(C10=0,0,(SUM(B42:B44)/C10)-(SUM(B42:B44)/B10))</f>
        <v>0</v>
      </c>
      <c r="D138" s="193">
        <f>IF(D10=0,0,(SUM(C42:C44)/D10)-(SUM(C42:C44)/C10))</f>
        <v>0</v>
      </c>
    </row>
    <row r="139" spans="1:4" x14ac:dyDescent="0.15">
      <c r="A139" s="144" t="s">
        <v>217</v>
      </c>
      <c r="B139" s="195"/>
      <c r="C139" s="193">
        <f t="shared" ref="C139:D139" si="14">C140-SUM(C135:C138)</f>
        <v>0</v>
      </c>
      <c r="D139" s="193">
        <f t="shared" si="14"/>
        <v>0</v>
      </c>
    </row>
    <row r="140" spans="1:4" x14ac:dyDescent="0.15">
      <c r="A140" s="173" t="s">
        <v>218</v>
      </c>
      <c r="B140" s="195" t="s">
        <v>0</v>
      </c>
      <c r="C140" s="193">
        <f>IF($C$10=0,SUM(C42:C44),SUM(C105:C107))</f>
        <v>0</v>
      </c>
      <c r="D140" s="193">
        <f>IF($D$10=0,SUM(D42:D44),SUM(D105:D107))</f>
        <v>0</v>
      </c>
    </row>
  </sheetData>
  <conditionalFormatting sqref="B139:D139">
    <cfRule type="cellIs" dxfId="0" priority="1" operator="notEqual">
      <formula>0</formula>
    </cfRule>
  </conditionalFormatting>
  <pageMargins left="0.2" right="0.2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4" name="Drop Down 8">
              <controlPr defaultSize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5" name="Drop Down 9">
              <controlPr defaultSize="0" autoLine="0" autoPict="0">
                <anchor moveWithCells="1">
                  <from>
                    <xdr:col>1</xdr:col>
                    <xdr:colOff>12700</xdr:colOff>
                    <xdr:row>6</xdr:row>
                    <xdr:rowOff>0</xdr:rowOff>
                  </from>
                  <to>
                    <xdr:col>1</xdr:col>
                    <xdr:colOff>1143000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6" name="Drop Down 10">
              <controlPr defaultSize="0" autoLine="0" autoPict="0">
                <anchor moveWithCells="1">
                  <from>
                    <xdr:col>2</xdr:col>
                    <xdr:colOff>12700</xdr:colOff>
                    <xdr:row>6</xdr:row>
                    <xdr:rowOff>0</xdr:rowOff>
                  </from>
                  <to>
                    <xdr:col>2</xdr:col>
                    <xdr:colOff>1143000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Drop Down 11">
              <controlPr defaultSize="0" autoLine="0" autoPict="0">
                <anchor moveWithCells="1">
                  <from>
                    <xdr:col>3</xdr:col>
                    <xdr:colOff>12700</xdr:colOff>
                    <xdr:row>6</xdr:row>
                    <xdr:rowOff>0</xdr:rowOff>
                  </from>
                  <to>
                    <xdr:col>3</xdr:col>
                    <xdr:colOff>1219200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8" name="Button 31">
              <controlPr defaultSize="0" print="0" autoFill="0" autoPict="0" macro="[0]!ConfigureforCurrency">
                <anchor moveWithCells="1" sizeWithCells="1">
                  <from>
                    <xdr:col>1</xdr:col>
                    <xdr:colOff>12700</xdr:colOff>
                    <xdr:row>1</xdr:row>
                    <xdr:rowOff>25400</xdr:rowOff>
                  </from>
                  <to>
                    <xdr:col>3</xdr:col>
                    <xdr:colOff>1219200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9" name="Button 32">
              <controlPr defaultSize="0" print="0" autoFill="0" autoPict="0" macro="[0]!USDConversion">
                <anchor moveWithCells="1" sizeWithCells="1">
                  <from>
                    <xdr:col>1</xdr:col>
                    <xdr:colOff>1143000</xdr:colOff>
                    <xdr:row>70</xdr:row>
                    <xdr:rowOff>88900</xdr:rowOff>
                  </from>
                  <to>
                    <xdr:col>4</xdr:col>
                    <xdr:colOff>292100</xdr:colOff>
                    <xdr:row>71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10" name="Button 40">
              <controlPr defaultSize="0" print="0" autoFill="0" autoPict="0" macro="[0]!ReOpenEntryFields">
                <anchor moveWithCells="1" sizeWithCells="1">
                  <from>
                    <xdr:col>2</xdr:col>
                    <xdr:colOff>0</xdr:colOff>
                    <xdr:row>73</xdr:row>
                    <xdr:rowOff>25400</xdr:rowOff>
                  </from>
                  <to>
                    <xdr:col>4</xdr:col>
                    <xdr:colOff>292100</xdr:colOff>
                    <xdr:row>75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CC182"/>
  <sheetViews>
    <sheetView zoomScaleNormal="100" zoomScaleSheetLayoutView="80" workbookViewId="0">
      <pane ySplit="1" topLeftCell="A122" activePane="bottomLeft" state="frozen"/>
      <selection pane="bottomLeft" activeCell="F181" sqref="F181"/>
    </sheetView>
  </sheetViews>
  <sheetFormatPr baseColWidth="10" defaultColWidth="8.83203125" defaultRowHeight="13" x14ac:dyDescent="0.15"/>
  <cols>
    <col min="1" max="1" width="94.33203125" bestFit="1" customWidth="1"/>
    <col min="2" max="2" width="11.6640625" customWidth="1"/>
    <col min="3" max="3" width="8.1640625" bestFit="1" customWidth="1"/>
    <col min="4" max="16" width="12.33203125" customWidth="1"/>
  </cols>
  <sheetData>
    <row r="1" spans="1:81" s="2" customFormat="1" ht="15" thickTop="1" thickBot="1" x14ac:dyDescent="0.2">
      <c r="A1" s="16" t="s">
        <v>1</v>
      </c>
      <c r="B1" s="17"/>
      <c r="C1" s="17"/>
      <c r="D1" s="160">
        <f>YEAR(Start!E13)</f>
        <v>2022</v>
      </c>
      <c r="E1" s="17">
        <f>D1+1</f>
        <v>2023</v>
      </c>
      <c r="F1" s="17">
        <f t="shared" ref="F1:L1" si="0">E1+1</f>
        <v>2024</v>
      </c>
      <c r="G1" s="17">
        <f t="shared" si="0"/>
        <v>2025</v>
      </c>
      <c r="H1" s="17">
        <f t="shared" si="0"/>
        <v>2026</v>
      </c>
      <c r="I1" s="17">
        <f t="shared" si="0"/>
        <v>2027</v>
      </c>
      <c r="J1" s="17">
        <f t="shared" si="0"/>
        <v>2028</v>
      </c>
      <c r="K1" s="17">
        <f t="shared" si="0"/>
        <v>2029</v>
      </c>
      <c r="L1" s="17">
        <f t="shared" si="0"/>
        <v>2030</v>
      </c>
      <c r="M1" s="17">
        <f>L1+1</f>
        <v>2031</v>
      </c>
      <c r="N1" s="17">
        <f>M1+1</f>
        <v>2032</v>
      </c>
      <c r="O1" s="17">
        <f>N1+1</f>
        <v>2033</v>
      </c>
      <c r="P1" s="17">
        <f>O1+1</f>
        <v>2034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</row>
    <row r="2" spans="1:81" ht="28.5" customHeight="1" x14ac:dyDescent="0.2">
      <c r="A2" s="174" t="s">
        <v>0</v>
      </c>
      <c r="B2" s="58"/>
      <c r="C2" s="58"/>
      <c r="D2" s="168" t="str">
        <f>Start!C6</f>
        <v>Serious Shea</v>
      </c>
      <c r="E2" s="168"/>
      <c r="F2" s="168"/>
      <c r="G2" s="168"/>
      <c r="H2" s="168"/>
      <c r="I2" s="18"/>
      <c r="J2" s="18"/>
      <c r="K2" s="71" t="s">
        <v>0</v>
      </c>
      <c r="L2" s="18"/>
      <c r="M2" s="18"/>
      <c r="N2" s="18"/>
      <c r="O2" s="18"/>
      <c r="P2" s="18"/>
    </row>
    <row r="3" spans="1:81" ht="28.5" customHeight="1" x14ac:dyDescent="0.2">
      <c r="A3" s="103" t="s">
        <v>269</v>
      </c>
      <c r="B3" s="58"/>
      <c r="C3" s="58"/>
      <c r="D3" s="168"/>
      <c r="E3" s="168"/>
      <c r="F3" s="168"/>
      <c r="G3" s="168"/>
      <c r="H3" s="168"/>
      <c r="I3" s="18"/>
      <c r="J3" s="18"/>
      <c r="K3" s="71"/>
      <c r="L3" s="18"/>
      <c r="M3" s="18"/>
      <c r="N3" s="18"/>
      <c r="O3" s="18"/>
      <c r="P3" s="18"/>
    </row>
    <row r="4" spans="1:81" s="10" customFormat="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18"/>
      <c r="M4" s="18"/>
      <c r="N4" s="18"/>
      <c r="O4" s="18"/>
      <c r="P4" s="18"/>
      <c r="Q4"/>
      <c r="R4"/>
      <c r="S4"/>
      <c r="T4"/>
      <c r="U4"/>
      <c r="V4"/>
      <c r="W4"/>
      <c r="X4"/>
      <c r="Y4"/>
    </row>
    <row r="5" spans="1:81" s="10" customFormat="1" x14ac:dyDescent="0.15">
      <c r="A5" s="246" t="s">
        <v>503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18"/>
      <c r="M5" s="18"/>
      <c r="N5" s="18"/>
      <c r="O5" s="18"/>
      <c r="P5" s="18"/>
      <c r="Q5"/>
      <c r="R5"/>
      <c r="S5"/>
      <c r="T5"/>
      <c r="U5"/>
      <c r="V5"/>
      <c r="W5"/>
      <c r="X5"/>
      <c r="Y5"/>
    </row>
    <row r="6" spans="1:81" x14ac:dyDescent="0.15">
      <c r="A6" s="21" t="s">
        <v>98</v>
      </c>
      <c r="B6" s="18"/>
      <c r="C6" s="18"/>
      <c r="D6" s="247">
        <v>0</v>
      </c>
      <c r="E6" s="247">
        <v>3206</v>
      </c>
      <c r="F6" s="247">
        <v>3206</v>
      </c>
      <c r="G6" s="247">
        <v>3206</v>
      </c>
      <c r="H6" s="247">
        <v>3206</v>
      </c>
      <c r="I6" s="247">
        <v>3206</v>
      </c>
      <c r="J6" s="247">
        <v>3206</v>
      </c>
      <c r="K6" s="247">
        <v>3206</v>
      </c>
      <c r="L6" s="247">
        <v>3206</v>
      </c>
      <c r="M6" s="247">
        <v>3206</v>
      </c>
      <c r="N6" s="247">
        <v>0</v>
      </c>
      <c r="O6" s="247">
        <v>0</v>
      </c>
      <c r="P6" s="247">
        <v>0</v>
      </c>
      <c r="R6" s="126" t="s">
        <v>201</v>
      </c>
      <c r="S6">
        <v>2</v>
      </c>
    </row>
    <row r="7" spans="1:81" x14ac:dyDescent="0.15">
      <c r="A7" s="21" t="s">
        <v>97</v>
      </c>
      <c r="B7" s="18"/>
      <c r="C7" s="18"/>
      <c r="D7" s="248">
        <v>0</v>
      </c>
      <c r="E7" s="248">
        <v>2500</v>
      </c>
      <c r="F7" s="248">
        <v>2500</v>
      </c>
      <c r="G7" s="248">
        <v>2500</v>
      </c>
      <c r="H7" s="248">
        <v>2500</v>
      </c>
      <c r="I7" s="248">
        <v>2500</v>
      </c>
      <c r="J7" s="248">
        <v>2500</v>
      </c>
      <c r="K7" s="248">
        <v>2500</v>
      </c>
      <c r="L7" s="248">
        <v>2500</v>
      </c>
      <c r="M7" s="248">
        <v>2500</v>
      </c>
      <c r="N7" s="248">
        <v>0</v>
      </c>
      <c r="O7" s="248">
        <v>0</v>
      </c>
      <c r="P7" s="248">
        <v>0</v>
      </c>
      <c r="R7" s="126" t="s">
        <v>202</v>
      </c>
    </row>
    <row r="8" spans="1:81" x14ac:dyDescent="0.15">
      <c r="A8" s="21" t="s">
        <v>99</v>
      </c>
      <c r="B8" s="18"/>
      <c r="C8" s="18"/>
      <c r="D8" s="249">
        <v>1</v>
      </c>
      <c r="E8" s="249">
        <v>1</v>
      </c>
      <c r="F8" s="249">
        <v>1</v>
      </c>
      <c r="G8" s="22">
        <f>$F$8</f>
        <v>1</v>
      </c>
      <c r="H8" s="22">
        <f t="shared" ref="H8:P8" si="1">$F$8</f>
        <v>1</v>
      </c>
      <c r="I8" s="22">
        <f t="shared" si="1"/>
        <v>1</v>
      </c>
      <c r="J8" s="22">
        <f t="shared" si="1"/>
        <v>1</v>
      </c>
      <c r="K8" s="22">
        <f t="shared" si="1"/>
        <v>1</v>
      </c>
      <c r="L8" s="22">
        <f t="shared" si="1"/>
        <v>1</v>
      </c>
      <c r="M8" s="22">
        <f t="shared" si="1"/>
        <v>1</v>
      </c>
      <c r="N8" s="22">
        <f t="shared" si="1"/>
        <v>1</v>
      </c>
      <c r="O8" s="22">
        <f t="shared" si="1"/>
        <v>1</v>
      </c>
      <c r="P8" s="22">
        <f t="shared" si="1"/>
        <v>1</v>
      </c>
    </row>
    <row r="9" spans="1:81" x14ac:dyDescent="0.15">
      <c r="A9" s="21" t="str">
        <f>CONCATENATE(A5," Revenue in $000s")</f>
        <v>Shea Butter Revenue in $000s</v>
      </c>
      <c r="B9" s="18"/>
      <c r="C9" s="18"/>
      <c r="D9" s="102">
        <f>(D6*D7/1000)*(1/D8)</f>
        <v>0</v>
      </c>
      <c r="E9" s="102">
        <f t="shared" ref="E9:P9" si="2">(E6*E7/1000)*(1/E8)</f>
        <v>8015</v>
      </c>
      <c r="F9" s="102">
        <f t="shared" si="2"/>
        <v>8015</v>
      </c>
      <c r="G9" s="102">
        <f t="shared" si="2"/>
        <v>8015</v>
      </c>
      <c r="H9" s="102">
        <f t="shared" si="2"/>
        <v>8015</v>
      </c>
      <c r="I9" s="102">
        <f t="shared" si="2"/>
        <v>8015</v>
      </c>
      <c r="J9" s="102">
        <f t="shared" si="2"/>
        <v>8015</v>
      </c>
      <c r="K9" s="102">
        <f t="shared" si="2"/>
        <v>8015</v>
      </c>
      <c r="L9" s="102">
        <f t="shared" si="2"/>
        <v>8015</v>
      </c>
      <c r="M9" s="102">
        <f t="shared" si="2"/>
        <v>8015</v>
      </c>
      <c r="N9" s="102">
        <f t="shared" si="2"/>
        <v>0</v>
      </c>
      <c r="O9" s="102">
        <f t="shared" si="2"/>
        <v>0</v>
      </c>
      <c r="P9" s="102">
        <f t="shared" si="2"/>
        <v>0</v>
      </c>
    </row>
    <row r="10" spans="1:81" x14ac:dyDescent="0.15">
      <c r="A10" s="21"/>
      <c r="B10" s="18"/>
      <c r="C10" s="18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</row>
    <row r="11" spans="1:81" x14ac:dyDescent="0.15">
      <c r="A11" s="246" t="s">
        <v>504</v>
      </c>
      <c r="B11" s="18"/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8"/>
      <c r="P11" s="18"/>
    </row>
    <row r="12" spans="1:81" x14ac:dyDescent="0.15">
      <c r="A12" s="21" t="s">
        <v>98</v>
      </c>
      <c r="B12" s="18"/>
      <c r="C12" s="18"/>
      <c r="D12" s="250">
        <v>0</v>
      </c>
      <c r="E12" s="250">
        <v>432</v>
      </c>
      <c r="F12" s="250">
        <v>432</v>
      </c>
      <c r="G12" s="250">
        <v>432</v>
      </c>
      <c r="H12" s="250">
        <v>432</v>
      </c>
      <c r="I12" s="250">
        <v>432</v>
      </c>
      <c r="J12" s="250">
        <v>432</v>
      </c>
      <c r="K12" s="250">
        <v>432</v>
      </c>
      <c r="L12" s="250">
        <v>432</v>
      </c>
      <c r="M12" s="250">
        <v>432</v>
      </c>
      <c r="N12" s="250">
        <v>0</v>
      </c>
      <c r="O12" s="250">
        <v>0</v>
      </c>
      <c r="P12" s="250">
        <v>0</v>
      </c>
      <c r="R12" s="126" t="s">
        <v>201</v>
      </c>
      <c r="S12">
        <v>2</v>
      </c>
    </row>
    <row r="13" spans="1:81" x14ac:dyDescent="0.15">
      <c r="A13" s="21" t="s">
        <v>97</v>
      </c>
      <c r="B13" s="18"/>
      <c r="C13" s="18"/>
      <c r="D13" s="251">
        <v>0</v>
      </c>
      <c r="E13" s="251">
        <v>1500</v>
      </c>
      <c r="F13" s="251">
        <v>1500</v>
      </c>
      <c r="G13" s="251">
        <v>1500</v>
      </c>
      <c r="H13" s="251">
        <v>1500</v>
      </c>
      <c r="I13" s="251">
        <v>1500</v>
      </c>
      <c r="J13" s="251">
        <v>1500</v>
      </c>
      <c r="K13" s="251">
        <v>1500</v>
      </c>
      <c r="L13" s="251">
        <v>1500</v>
      </c>
      <c r="M13" s="251">
        <v>1500</v>
      </c>
      <c r="N13" s="251">
        <v>0</v>
      </c>
      <c r="O13" s="251">
        <v>0</v>
      </c>
      <c r="P13" s="251">
        <v>0</v>
      </c>
      <c r="R13" s="126" t="s">
        <v>202</v>
      </c>
    </row>
    <row r="14" spans="1:81" x14ac:dyDescent="0.15">
      <c r="A14" s="21" t="s">
        <v>99</v>
      </c>
      <c r="B14" s="18"/>
      <c r="C14" s="18"/>
      <c r="D14" s="22">
        <f>D8</f>
        <v>1</v>
      </c>
      <c r="E14" s="22">
        <f t="shared" ref="E14:N14" si="3">E8</f>
        <v>1</v>
      </c>
      <c r="F14" s="22">
        <f t="shared" si="3"/>
        <v>1</v>
      </c>
      <c r="G14" s="22">
        <f t="shared" si="3"/>
        <v>1</v>
      </c>
      <c r="H14" s="22">
        <f t="shared" si="3"/>
        <v>1</v>
      </c>
      <c r="I14" s="22">
        <f t="shared" si="3"/>
        <v>1</v>
      </c>
      <c r="J14" s="22">
        <f t="shared" si="3"/>
        <v>1</v>
      </c>
      <c r="K14" s="22">
        <f t="shared" si="3"/>
        <v>1</v>
      </c>
      <c r="L14" s="22">
        <f t="shared" si="3"/>
        <v>1</v>
      </c>
      <c r="M14" s="22">
        <f t="shared" si="3"/>
        <v>1</v>
      </c>
      <c r="N14" s="22">
        <f t="shared" si="3"/>
        <v>1</v>
      </c>
      <c r="O14" s="22">
        <f>O8</f>
        <v>1</v>
      </c>
      <c r="P14" s="22">
        <f>P8</f>
        <v>1</v>
      </c>
    </row>
    <row r="15" spans="1:81" x14ac:dyDescent="0.15">
      <c r="A15" s="21" t="str">
        <f>CONCATENATE(A11," Revenue in $000s")</f>
        <v>Dried Shea Fruit Revenue in $000s</v>
      </c>
      <c r="B15" s="18"/>
      <c r="C15" s="18"/>
      <c r="D15" s="102">
        <f>(D12*D13/1000)*(1/D14)</f>
        <v>0</v>
      </c>
      <c r="E15" s="102">
        <f t="shared" ref="E15:P15" si="4">(E12*E13/1000)*(1/E14)</f>
        <v>648</v>
      </c>
      <c r="F15" s="102">
        <f t="shared" si="4"/>
        <v>648</v>
      </c>
      <c r="G15" s="102">
        <f t="shared" si="4"/>
        <v>648</v>
      </c>
      <c r="H15" s="102">
        <f t="shared" si="4"/>
        <v>648</v>
      </c>
      <c r="I15" s="102">
        <f t="shared" si="4"/>
        <v>648</v>
      </c>
      <c r="J15" s="102">
        <f t="shared" si="4"/>
        <v>648</v>
      </c>
      <c r="K15" s="102">
        <f t="shared" si="4"/>
        <v>648</v>
      </c>
      <c r="L15" s="102">
        <f t="shared" si="4"/>
        <v>648</v>
      </c>
      <c r="M15" s="102">
        <f t="shared" si="4"/>
        <v>648</v>
      </c>
      <c r="N15" s="102">
        <f t="shared" si="4"/>
        <v>0</v>
      </c>
      <c r="O15" s="102">
        <f t="shared" si="4"/>
        <v>0</v>
      </c>
      <c r="P15" s="102">
        <f t="shared" si="4"/>
        <v>0</v>
      </c>
    </row>
    <row r="16" spans="1:81" x14ac:dyDescent="0.15">
      <c r="A16" s="21"/>
      <c r="B16" s="18"/>
      <c r="C16" s="18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8"/>
      <c r="P16" s="18"/>
    </row>
    <row r="17" spans="1:81" x14ac:dyDescent="0.15">
      <c r="A17" s="246" t="s">
        <v>505</v>
      </c>
      <c r="B17" s="18"/>
      <c r="C17" s="18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8"/>
      <c r="P17" s="18"/>
    </row>
    <row r="18" spans="1:81" x14ac:dyDescent="0.15">
      <c r="A18" s="21" t="s">
        <v>98</v>
      </c>
      <c r="B18" s="18"/>
      <c r="C18" s="18"/>
      <c r="D18" s="250">
        <v>0</v>
      </c>
      <c r="E18" s="250">
        <v>432</v>
      </c>
      <c r="F18" s="250">
        <v>432</v>
      </c>
      <c r="G18" s="250">
        <v>432</v>
      </c>
      <c r="H18" s="250">
        <v>432</v>
      </c>
      <c r="I18" s="250">
        <v>432</v>
      </c>
      <c r="J18" s="250">
        <v>432</v>
      </c>
      <c r="K18" s="250">
        <v>432</v>
      </c>
      <c r="L18" s="250">
        <v>432</v>
      </c>
      <c r="M18" s="250">
        <v>432</v>
      </c>
      <c r="N18" s="250">
        <v>0</v>
      </c>
      <c r="O18" s="250">
        <v>0</v>
      </c>
      <c r="P18" s="250">
        <v>0</v>
      </c>
      <c r="R18" s="126" t="s">
        <v>201</v>
      </c>
      <c r="S18">
        <v>2</v>
      </c>
    </row>
    <row r="19" spans="1:81" x14ac:dyDescent="0.15">
      <c r="A19" s="21" t="s">
        <v>97</v>
      </c>
      <c r="B19" s="18"/>
      <c r="C19" s="18"/>
      <c r="D19" s="251">
        <v>0</v>
      </c>
      <c r="E19" s="251">
        <v>6000</v>
      </c>
      <c r="F19" s="251">
        <v>6000</v>
      </c>
      <c r="G19" s="251">
        <v>6000</v>
      </c>
      <c r="H19" s="251">
        <v>6000</v>
      </c>
      <c r="I19" s="251">
        <v>6000</v>
      </c>
      <c r="J19" s="251">
        <v>6000</v>
      </c>
      <c r="K19" s="251">
        <v>6000</v>
      </c>
      <c r="L19" s="251">
        <v>6000</v>
      </c>
      <c r="M19" s="251">
        <v>6000</v>
      </c>
      <c r="N19" s="251">
        <v>0</v>
      </c>
      <c r="O19" s="251">
        <v>0</v>
      </c>
      <c r="P19" s="251">
        <v>0</v>
      </c>
      <c r="R19" s="126" t="s">
        <v>202</v>
      </c>
    </row>
    <row r="20" spans="1:81" x14ac:dyDescent="0.15">
      <c r="A20" s="21" t="s">
        <v>99</v>
      </c>
      <c r="B20" s="18"/>
      <c r="C20" s="18"/>
      <c r="D20" s="22">
        <f>D8</f>
        <v>1</v>
      </c>
      <c r="E20" s="22">
        <f t="shared" ref="E20:N20" si="5">E8</f>
        <v>1</v>
      </c>
      <c r="F20" s="22">
        <f t="shared" si="5"/>
        <v>1</v>
      </c>
      <c r="G20" s="22">
        <f t="shared" si="5"/>
        <v>1</v>
      </c>
      <c r="H20" s="22">
        <f t="shared" si="5"/>
        <v>1</v>
      </c>
      <c r="I20" s="22">
        <f t="shared" si="5"/>
        <v>1</v>
      </c>
      <c r="J20" s="22">
        <f t="shared" si="5"/>
        <v>1</v>
      </c>
      <c r="K20" s="22">
        <f t="shared" si="5"/>
        <v>1</v>
      </c>
      <c r="L20" s="22">
        <f t="shared" si="5"/>
        <v>1</v>
      </c>
      <c r="M20" s="22">
        <f t="shared" si="5"/>
        <v>1</v>
      </c>
      <c r="N20" s="22">
        <f t="shared" si="5"/>
        <v>1</v>
      </c>
      <c r="O20" s="22">
        <f>O8</f>
        <v>1</v>
      </c>
      <c r="P20" s="22">
        <f>P8</f>
        <v>1</v>
      </c>
    </row>
    <row r="21" spans="1:81" x14ac:dyDescent="0.15">
      <c r="A21" s="21" t="str">
        <f>CONCATENATE(A17," Revenue in $000s")</f>
        <v>Dried Mango Revenue in $000s</v>
      </c>
      <c r="B21" s="18"/>
      <c r="C21" s="18"/>
      <c r="D21" s="102">
        <f>(D18*D19/1000)*(1/D20)</f>
        <v>0</v>
      </c>
      <c r="E21" s="102">
        <f t="shared" ref="E21:P21" si="6">(E18*E19/1000)*(1/E20)</f>
        <v>2592</v>
      </c>
      <c r="F21" s="102">
        <f t="shared" si="6"/>
        <v>2592</v>
      </c>
      <c r="G21" s="102">
        <f t="shared" si="6"/>
        <v>2592</v>
      </c>
      <c r="H21" s="102">
        <f t="shared" si="6"/>
        <v>2592</v>
      </c>
      <c r="I21" s="102">
        <f t="shared" si="6"/>
        <v>2592</v>
      </c>
      <c r="J21" s="102">
        <f t="shared" si="6"/>
        <v>2592</v>
      </c>
      <c r="K21" s="102">
        <f t="shared" si="6"/>
        <v>2592</v>
      </c>
      <c r="L21" s="102">
        <f t="shared" si="6"/>
        <v>2592</v>
      </c>
      <c r="M21" s="102">
        <f t="shared" si="6"/>
        <v>2592</v>
      </c>
      <c r="N21" s="102">
        <f t="shared" si="6"/>
        <v>0</v>
      </c>
      <c r="O21" s="102">
        <f t="shared" si="6"/>
        <v>0</v>
      </c>
      <c r="P21" s="102">
        <f t="shared" si="6"/>
        <v>0</v>
      </c>
    </row>
    <row r="22" spans="1:81" x14ac:dyDescent="0.15">
      <c r="A22" s="20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1:81" x14ac:dyDescent="0.15">
      <c r="A23" s="246" t="s">
        <v>506</v>
      </c>
      <c r="B23" s="18"/>
      <c r="C23" s="18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8"/>
      <c r="P23" s="18"/>
    </row>
    <row r="24" spans="1:81" x14ac:dyDescent="0.15">
      <c r="A24" s="21" t="s">
        <v>98</v>
      </c>
      <c r="B24" s="18"/>
      <c r="C24" s="18"/>
      <c r="D24" s="250">
        <v>0</v>
      </c>
      <c r="E24" s="250">
        <v>7751</v>
      </c>
      <c r="F24" s="250">
        <v>7751</v>
      </c>
      <c r="G24" s="250">
        <v>7751</v>
      </c>
      <c r="H24" s="250">
        <v>7751</v>
      </c>
      <c r="I24" s="250">
        <v>7751</v>
      </c>
      <c r="J24" s="250">
        <v>7751</v>
      </c>
      <c r="K24" s="250">
        <v>7751</v>
      </c>
      <c r="L24" s="250">
        <v>7751</v>
      </c>
      <c r="M24" s="250">
        <v>7751</v>
      </c>
      <c r="N24" s="250">
        <v>0</v>
      </c>
      <c r="O24" s="250">
        <v>0</v>
      </c>
      <c r="P24" s="250">
        <v>0</v>
      </c>
      <c r="R24" s="126" t="s">
        <v>201</v>
      </c>
      <c r="S24">
        <v>2</v>
      </c>
    </row>
    <row r="25" spans="1:81" x14ac:dyDescent="0.15">
      <c r="A25" s="21" t="s">
        <v>97</v>
      </c>
      <c r="B25" s="18"/>
      <c r="C25" s="18"/>
      <c r="D25" s="251">
        <v>0</v>
      </c>
      <c r="E25" s="251">
        <v>100</v>
      </c>
      <c r="F25" s="251">
        <v>100</v>
      </c>
      <c r="G25" s="251">
        <v>100</v>
      </c>
      <c r="H25" s="251">
        <v>100</v>
      </c>
      <c r="I25" s="251">
        <v>100</v>
      </c>
      <c r="J25" s="251">
        <v>100</v>
      </c>
      <c r="K25" s="251">
        <v>100</v>
      </c>
      <c r="L25" s="251">
        <v>100</v>
      </c>
      <c r="M25" s="251">
        <v>100</v>
      </c>
      <c r="N25" s="251">
        <v>0</v>
      </c>
      <c r="O25" s="251">
        <v>0</v>
      </c>
      <c r="P25" s="251">
        <v>0</v>
      </c>
      <c r="R25" s="126" t="s">
        <v>202</v>
      </c>
    </row>
    <row r="26" spans="1:81" x14ac:dyDescent="0.15">
      <c r="A26" s="21" t="s">
        <v>99</v>
      </c>
      <c r="B26" s="18"/>
      <c r="C26" s="18"/>
      <c r="D26" s="22">
        <f>D8</f>
        <v>1</v>
      </c>
      <c r="E26" s="22">
        <f t="shared" ref="E26:N26" si="7">E8</f>
        <v>1</v>
      </c>
      <c r="F26" s="22">
        <f t="shared" si="7"/>
        <v>1</v>
      </c>
      <c r="G26" s="22">
        <f t="shared" si="7"/>
        <v>1</v>
      </c>
      <c r="H26" s="22">
        <f t="shared" si="7"/>
        <v>1</v>
      </c>
      <c r="I26" s="22">
        <f t="shared" si="7"/>
        <v>1</v>
      </c>
      <c r="J26" s="22">
        <f t="shared" si="7"/>
        <v>1</v>
      </c>
      <c r="K26" s="22">
        <f t="shared" si="7"/>
        <v>1</v>
      </c>
      <c r="L26" s="22">
        <f t="shared" si="7"/>
        <v>1</v>
      </c>
      <c r="M26" s="22">
        <f t="shared" si="7"/>
        <v>1</v>
      </c>
      <c r="N26" s="22">
        <f t="shared" si="7"/>
        <v>1</v>
      </c>
      <c r="O26" s="22">
        <f>O8</f>
        <v>1</v>
      </c>
      <c r="P26" s="22">
        <f>P8</f>
        <v>1</v>
      </c>
    </row>
    <row r="27" spans="1:81" x14ac:dyDescent="0.15">
      <c r="A27" s="21" t="str">
        <f>CONCATENATE(A23," Revenue in $000s")</f>
        <v>Compost (Biogaz) Revenue in $000s</v>
      </c>
      <c r="B27" s="18"/>
      <c r="C27" s="18"/>
      <c r="D27" s="102">
        <f>(D24*D25/1000)*(1/D26)</f>
        <v>0</v>
      </c>
      <c r="E27" s="102">
        <f t="shared" ref="E27:P27" si="8">(E24*E25/1000)*(1/E26)</f>
        <v>775.1</v>
      </c>
      <c r="F27" s="102">
        <f t="shared" si="8"/>
        <v>775.1</v>
      </c>
      <c r="G27" s="102">
        <f t="shared" si="8"/>
        <v>775.1</v>
      </c>
      <c r="H27" s="102">
        <f t="shared" si="8"/>
        <v>775.1</v>
      </c>
      <c r="I27" s="102">
        <f t="shared" si="8"/>
        <v>775.1</v>
      </c>
      <c r="J27" s="102">
        <f t="shared" si="8"/>
        <v>775.1</v>
      </c>
      <c r="K27" s="102">
        <f t="shared" si="8"/>
        <v>775.1</v>
      </c>
      <c r="L27" s="102">
        <f t="shared" si="8"/>
        <v>775.1</v>
      </c>
      <c r="M27" s="102">
        <f t="shared" si="8"/>
        <v>775.1</v>
      </c>
      <c r="N27" s="102">
        <f t="shared" si="8"/>
        <v>0</v>
      </c>
      <c r="O27" s="102">
        <f t="shared" si="8"/>
        <v>0</v>
      </c>
      <c r="P27" s="102">
        <f t="shared" si="8"/>
        <v>0</v>
      </c>
    </row>
    <row r="28" spans="1:81" x14ac:dyDescent="0.15">
      <c r="A28" s="21"/>
      <c r="B28" s="18"/>
      <c r="C28" s="18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18"/>
      <c r="P28" s="18"/>
    </row>
    <row r="29" spans="1:81" s="5" customFormat="1" ht="16" x14ac:dyDescent="0.2">
      <c r="A29" s="317" t="str">
        <f>CONCATENATE("Total Sales Revenues in $000s")</f>
        <v>Total Sales Revenues in $000s</v>
      </c>
      <c r="B29" s="317"/>
      <c r="C29" s="24"/>
      <c r="D29" s="73">
        <f>D9+D15+D21+D27</f>
        <v>0</v>
      </c>
      <c r="E29" s="73">
        <f t="shared" ref="E29:P29" si="9">E9+E15+E21+E27</f>
        <v>12030.1</v>
      </c>
      <c r="F29" s="73">
        <f t="shared" si="9"/>
        <v>12030.1</v>
      </c>
      <c r="G29" s="73">
        <f t="shared" si="9"/>
        <v>12030.1</v>
      </c>
      <c r="H29" s="73">
        <f t="shared" si="9"/>
        <v>12030.1</v>
      </c>
      <c r="I29" s="73">
        <f t="shared" si="9"/>
        <v>12030.1</v>
      </c>
      <c r="J29" s="73">
        <f t="shared" si="9"/>
        <v>12030.1</v>
      </c>
      <c r="K29" s="73">
        <f t="shared" si="9"/>
        <v>12030.1</v>
      </c>
      <c r="L29" s="73">
        <f t="shared" si="9"/>
        <v>12030.1</v>
      </c>
      <c r="M29" s="73">
        <f t="shared" si="9"/>
        <v>12030.1</v>
      </c>
      <c r="N29" s="73">
        <f t="shared" si="9"/>
        <v>0</v>
      </c>
      <c r="O29" s="73">
        <f t="shared" si="9"/>
        <v>0</v>
      </c>
      <c r="P29" s="73">
        <f t="shared" si="9"/>
        <v>0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</row>
    <row r="30" spans="1:81" s="11" customFormat="1" x14ac:dyDescent="0.15">
      <c r="A30" s="201"/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/>
      <c r="R30"/>
      <c r="S30"/>
      <c r="T30"/>
      <c r="U30"/>
      <c r="V30"/>
      <c r="W30"/>
      <c r="X30"/>
      <c r="Y30"/>
    </row>
    <row r="31" spans="1:81" ht="20" x14ac:dyDescent="0.2">
      <c r="A31" s="315" t="s">
        <v>253</v>
      </c>
      <c r="B31" s="315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81" ht="16" x14ac:dyDescent="0.2">
      <c r="A32" s="25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81" s="8" customFormat="1" x14ac:dyDescent="0.15">
      <c r="A33" s="21" t="s">
        <v>2</v>
      </c>
      <c r="B33" s="19"/>
      <c r="C33" s="19"/>
      <c r="D33" s="252">
        <v>0</v>
      </c>
      <c r="E33" s="252">
        <v>0.52073000000000003</v>
      </c>
      <c r="F33" s="252">
        <v>0.52073000000000003</v>
      </c>
      <c r="G33" s="252">
        <v>0.52073000000000003</v>
      </c>
      <c r="H33" s="252">
        <v>0.52073000000000003</v>
      </c>
      <c r="I33" s="252">
        <v>0.52073000000000003</v>
      </c>
      <c r="J33" s="252">
        <v>0.52073000000000003</v>
      </c>
      <c r="K33" s="252">
        <v>0.52073000000000003</v>
      </c>
      <c r="L33" s="252">
        <v>0.52073000000000003</v>
      </c>
      <c r="M33" s="252">
        <v>0.52073000000000003</v>
      </c>
      <c r="N33" s="252">
        <v>0</v>
      </c>
      <c r="O33" s="252">
        <v>0</v>
      </c>
      <c r="P33" s="252">
        <v>0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</row>
    <row r="34" spans="1:81" ht="16" x14ac:dyDescent="0.2">
      <c r="A34" s="25" t="s">
        <v>254</v>
      </c>
      <c r="B34" s="18"/>
      <c r="C34" s="18"/>
      <c r="D34" s="73">
        <f t="shared" ref="D34:L34" si="10">D29*D33</f>
        <v>0</v>
      </c>
      <c r="E34" s="73">
        <f t="shared" si="10"/>
        <v>6264.4339730000002</v>
      </c>
      <c r="F34" s="73">
        <f t="shared" si="10"/>
        <v>6264.4339730000002</v>
      </c>
      <c r="G34" s="73">
        <f t="shared" si="10"/>
        <v>6264.4339730000002</v>
      </c>
      <c r="H34" s="73">
        <f t="shared" si="10"/>
        <v>6264.4339730000002</v>
      </c>
      <c r="I34" s="73">
        <f t="shared" si="10"/>
        <v>6264.4339730000002</v>
      </c>
      <c r="J34" s="73">
        <f t="shared" si="10"/>
        <v>6264.4339730000002</v>
      </c>
      <c r="K34" s="73">
        <f t="shared" si="10"/>
        <v>6264.4339730000002</v>
      </c>
      <c r="L34" s="73">
        <f t="shared" si="10"/>
        <v>6264.4339730000002</v>
      </c>
      <c r="M34" s="73">
        <f>M29*M33</f>
        <v>6264.4339730000002</v>
      </c>
      <c r="N34" s="73">
        <f>N29*N33</f>
        <v>0</v>
      </c>
      <c r="O34" s="73">
        <f>O29*O33</f>
        <v>0</v>
      </c>
      <c r="P34" s="73">
        <f>P29*P33</f>
        <v>0</v>
      </c>
    </row>
    <row r="35" spans="1:81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1:81" ht="16" x14ac:dyDescent="0.2">
      <c r="A36" s="25" t="s">
        <v>103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1:81" ht="16" x14ac:dyDescent="0.2">
      <c r="A37" s="26" t="s">
        <v>104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1:81" s="8" customFormat="1" x14ac:dyDescent="0.15">
      <c r="A38" s="253" t="s">
        <v>257</v>
      </c>
      <c r="B38" s="19"/>
      <c r="C38" s="19"/>
      <c r="D38" s="250">
        <v>0</v>
      </c>
      <c r="E38" s="250">
        <v>0</v>
      </c>
      <c r="F38" s="250">
        <v>0</v>
      </c>
      <c r="G38" s="250">
        <v>0</v>
      </c>
      <c r="H38" s="250">
        <v>0</v>
      </c>
      <c r="I38" s="250">
        <v>0</v>
      </c>
      <c r="J38" s="250">
        <v>0</v>
      </c>
      <c r="K38" s="250">
        <v>0</v>
      </c>
      <c r="L38" s="250">
        <v>0</v>
      </c>
      <c r="M38" s="250">
        <v>0</v>
      </c>
      <c r="N38" s="250">
        <v>0</v>
      </c>
      <c r="O38" s="250">
        <v>0</v>
      </c>
      <c r="P38" s="250">
        <v>0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</row>
    <row r="39" spans="1:81" s="8" customFormat="1" x14ac:dyDescent="0.15">
      <c r="A39" s="253" t="s">
        <v>257</v>
      </c>
      <c r="B39" s="19"/>
      <c r="C39" s="19"/>
      <c r="D39" s="250">
        <v>0</v>
      </c>
      <c r="E39" s="250">
        <v>0</v>
      </c>
      <c r="F39" s="250">
        <v>0</v>
      </c>
      <c r="G39" s="250">
        <v>0</v>
      </c>
      <c r="H39" s="250">
        <v>0</v>
      </c>
      <c r="I39" s="250">
        <v>0</v>
      </c>
      <c r="J39" s="250">
        <v>0</v>
      </c>
      <c r="K39" s="250">
        <v>0</v>
      </c>
      <c r="L39" s="250">
        <v>0</v>
      </c>
      <c r="M39" s="250">
        <v>0</v>
      </c>
      <c r="N39" s="250">
        <v>0</v>
      </c>
      <c r="O39" s="250">
        <v>0</v>
      </c>
      <c r="P39" s="250">
        <v>0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</row>
    <row r="40" spans="1:81" s="8" customFormat="1" x14ac:dyDescent="0.15">
      <c r="A40" s="253" t="s">
        <v>257</v>
      </c>
      <c r="B40" s="19"/>
      <c r="C40" s="19"/>
      <c r="D40" s="250">
        <v>0</v>
      </c>
      <c r="E40" s="250">
        <v>0</v>
      </c>
      <c r="F40" s="250">
        <v>0</v>
      </c>
      <c r="G40" s="250">
        <v>0</v>
      </c>
      <c r="H40" s="250">
        <v>0</v>
      </c>
      <c r="I40" s="250">
        <v>0</v>
      </c>
      <c r="J40" s="250">
        <v>0</v>
      </c>
      <c r="K40" s="250">
        <v>0</v>
      </c>
      <c r="L40" s="250">
        <v>0</v>
      </c>
      <c r="M40" s="250">
        <v>0</v>
      </c>
      <c r="N40" s="250">
        <v>0</v>
      </c>
      <c r="O40" s="250">
        <v>0</v>
      </c>
      <c r="P40" s="250">
        <v>0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</row>
    <row r="41" spans="1:81" s="8" customFormat="1" x14ac:dyDescent="0.15">
      <c r="A41" s="253" t="s">
        <v>257</v>
      </c>
      <c r="B41" s="19"/>
      <c r="C41" s="19"/>
      <c r="D41" s="250">
        <v>0</v>
      </c>
      <c r="E41" s="250">
        <v>0</v>
      </c>
      <c r="F41" s="250">
        <v>0</v>
      </c>
      <c r="G41" s="250">
        <v>0</v>
      </c>
      <c r="H41" s="250">
        <v>0</v>
      </c>
      <c r="I41" s="250">
        <v>0</v>
      </c>
      <c r="J41" s="250">
        <v>0</v>
      </c>
      <c r="K41" s="250">
        <v>0</v>
      </c>
      <c r="L41" s="250">
        <v>0</v>
      </c>
      <c r="M41" s="250">
        <v>0</v>
      </c>
      <c r="N41" s="250">
        <v>0</v>
      </c>
      <c r="O41" s="250">
        <v>0</v>
      </c>
      <c r="P41" s="250">
        <v>0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</row>
    <row r="42" spans="1:81" s="8" customFormat="1" x14ac:dyDescent="0.15">
      <c r="A42" s="253" t="s">
        <v>257</v>
      </c>
      <c r="B42" s="19"/>
      <c r="C42" s="19"/>
      <c r="D42" s="254">
        <v>0</v>
      </c>
      <c r="E42" s="254">
        <v>0</v>
      </c>
      <c r="F42" s="254">
        <v>0</v>
      </c>
      <c r="G42" s="254">
        <v>0</v>
      </c>
      <c r="H42" s="254">
        <v>0</v>
      </c>
      <c r="I42" s="254">
        <v>0</v>
      </c>
      <c r="J42" s="254">
        <v>0</v>
      </c>
      <c r="K42" s="254">
        <v>0</v>
      </c>
      <c r="L42" s="254">
        <v>0</v>
      </c>
      <c r="M42" s="254">
        <v>0</v>
      </c>
      <c r="N42" s="254">
        <v>0</v>
      </c>
      <c r="O42" s="254">
        <v>0</v>
      </c>
      <c r="P42" s="254">
        <v>0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</row>
    <row r="43" spans="1:81" s="12" customFormat="1" x14ac:dyDescent="0.15">
      <c r="A43" s="216" t="s">
        <v>255</v>
      </c>
      <c r="B43" s="19"/>
      <c r="C43" s="19"/>
      <c r="D43" s="102">
        <f>SUM(D38:D42)</f>
        <v>0</v>
      </c>
      <c r="E43" s="102">
        <f t="shared" ref="E43:N43" si="11">SUM(E38:E42)</f>
        <v>0</v>
      </c>
      <c r="F43" s="102">
        <f t="shared" si="11"/>
        <v>0</v>
      </c>
      <c r="G43" s="102">
        <f t="shared" si="11"/>
        <v>0</v>
      </c>
      <c r="H43" s="102">
        <f t="shared" si="11"/>
        <v>0</v>
      </c>
      <c r="I43" s="102">
        <f t="shared" si="11"/>
        <v>0</v>
      </c>
      <c r="J43" s="102">
        <f t="shared" si="11"/>
        <v>0</v>
      </c>
      <c r="K43" s="102">
        <f t="shared" si="11"/>
        <v>0</v>
      </c>
      <c r="L43" s="102">
        <f t="shared" si="11"/>
        <v>0</v>
      </c>
      <c r="M43" s="102">
        <f t="shared" si="11"/>
        <v>0</v>
      </c>
      <c r="N43" s="102">
        <f t="shared" si="11"/>
        <v>0</v>
      </c>
      <c r="O43" s="102">
        <f>SUM(O38:O42)</f>
        <v>0</v>
      </c>
      <c r="P43" s="102">
        <f>SUM(P38:P42)</f>
        <v>0</v>
      </c>
    </row>
    <row r="44" spans="1:81" s="12" customFormat="1" x14ac:dyDescent="0.15">
      <c r="A44" s="27" t="s">
        <v>106</v>
      </c>
      <c r="B44" s="19"/>
      <c r="C44" s="19"/>
      <c r="D44" s="28">
        <f>D8</f>
        <v>1</v>
      </c>
      <c r="E44" s="28">
        <f t="shared" ref="E44:N44" si="12">E8</f>
        <v>1</v>
      </c>
      <c r="F44" s="28">
        <f t="shared" si="12"/>
        <v>1</v>
      </c>
      <c r="G44" s="28">
        <f t="shared" si="12"/>
        <v>1</v>
      </c>
      <c r="H44" s="28">
        <f t="shared" si="12"/>
        <v>1</v>
      </c>
      <c r="I44" s="28">
        <f t="shared" si="12"/>
        <v>1</v>
      </c>
      <c r="J44" s="28">
        <f t="shared" si="12"/>
        <v>1</v>
      </c>
      <c r="K44" s="28">
        <f t="shared" si="12"/>
        <v>1</v>
      </c>
      <c r="L44" s="28">
        <f t="shared" si="12"/>
        <v>1</v>
      </c>
      <c r="M44" s="28">
        <f t="shared" si="12"/>
        <v>1</v>
      </c>
      <c r="N44" s="28">
        <f t="shared" si="12"/>
        <v>1</v>
      </c>
      <c r="O44" s="28">
        <f>O8</f>
        <v>1</v>
      </c>
      <c r="P44" s="28">
        <f>P8</f>
        <v>1</v>
      </c>
    </row>
    <row r="45" spans="1:81" s="12" customFormat="1" x14ac:dyDescent="0.15">
      <c r="A45" s="216" t="s">
        <v>256</v>
      </c>
      <c r="B45" s="19"/>
      <c r="C45" s="19"/>
      <c r="D45" s="102">
        <f>D43*(1/D44)</f>
        <v>0</v>
      </c>
      <c r="E45" s="102">
        <f t="shared" ref="E45:N45" si="13">E43*(1/E44)</f>
        <v>0</v>
      </c>
      <c r="F45" s="102">
        <f t="shared" si="13"/>
        <v>0</v>
      </c>
      <c r="G45" s="102">
        <f t="shared" si="13"/>
        <v>0</v>
      </c>
      <c r="H45" s="102">
        <f t="shared" si="13"/>
        <v>0</v>
      </c>
      <c r="I45" s="102">
        <f t="shared" si="13"/>
        <v>0</v>
      </c>
      <c r="J45" s="102">
        <f t="shared" si="13"/>
        <v>0</v>
      </c>
      <c r="K45" s="102">
        <f t="shared" si="13"/>
        <v>0</v>
      </c>
      <c r="L45" s="102">
        <f t="shared" si="13"/>
        <v>0</v>
      </c>
      <c r="M45" s="102">
        <f t="shared" si="13"/>
        <v>0</v>
      </c>
      <c r="N45" s="102">
        <f t="shared" si="13"/>
        <v>0</v>
      </c>
      <c r="O45" s="102">
        <f>O43*(1/O44)</f>
        <v>0</v>
      </c>
      <c r="P45" s="102">
        <f>P43*(1/P44)</f>
        <v>0</v>
      </c>
    </row>
    <row r="46" spans="1:81" s="12" customFormat="1" x14ac:dyDescent="0.1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81" s="12" customFormat="1" ht="16" x14ac:dyDescent="0.2">
      <c r="A47" s="29" t="s">
        <v>105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81" s="8" customFormat="1" x14ac:dyDescent="0.15">
      <c r="A48" s="253" t="s">
        <v>507</v>
      </c>
      <c r="B48" s="19"/>
      <c r="C48" s="19"/>
      <c r="D48" s="250">
        <v>0</v>
      </c>
      <c r="E48" s="250">
        <v>57</v>
      </c>
      <c r="F48" s="250">
        <v>57</v>
      </c>
      <c r="G48" s="250">
        <v>57</v>
      </c>
      <c r="H48" s="250">
        <v>57</v>
      </c>
      <c r="I48" s="250">
        <v>57</v>
      </c>
      <c r="J48" s="250">
        <v>57</v>
      </c>
      <c r="K48" s="250">
        <v>57</v>
      </c>
      <c r="L48" s="250">
        <v>57</v>
      </c>
      <c r="M48" s="250">
        <v>57</v>
      </c>
      <c r="N48" s="250">
        <v>0</v>
      </c>
      <c r="O48" s="250">
        <v>0</v>
      </c>
      <c r="P48" s="250">
        <v>0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</row>
    <row r="49" spans="1:81" s="8" customFormat="1" x14ac:dyDescent="0.15">
      <c r="A49" s="253" t="s">
        <v>508</v>
      </c>
      <c r="B49" s="19"/>
      <c r="C49" s="19"/>
      <c r="D49" s="250">
        <v>0</v>
      </c>
      <c r="E49" s="250">
        <v>1017.635</v>
      </c>
      <c r="F49" s="250">
        <v>1017.635</v>
      </c>
      <c r="G49" s="250">
        <v>1017.635</v>
      </c>
      <c r="H49" s="250">
        <v>1017.635</v>
      </c>
      <c r="I49" s="250">
        <v>1017.635</v>
      </c>
      <c r="J49" s="250">
        <v>1017.635</v>
      </c>
      <c r="K49" s="250">
        <v>1017.635</v>
      </c>
      <c r="L49" s="250">
        <v>1017.635</v>
      </c>
      <c r="M49" s="250">
        <v>1017.635</v>
      </c>
      <c r="N49" s="250">
        <v>0</v>
      </c>
      <c r="O49" s="250">
        <v>0</v>
      </c>
      <c r="P49" s="250">
        <v>0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</row>
    <row r="50" spans="1:81" s="8" customFormat="1" x14ac:dyDescent="0.15">
      <c r="A50" s="253" t="s">
        <v>509</v>
      </c>
      <c r="B50" s="19"/>
      <c r="C50" s="19"/>
      <c r="D50" s="250">
        <v>0</v>
      </c>
      <c r="E50" s="250">
        <v>738</v>
      </c>
      <c r="F50" s="250">
        <v>738</v>
      </c>
      <c r="G50" s="250">
        <v>738</v>
      </c>
      <c r="H50" s="250">
        <v>738</v>
      </c>
      <c r="I50" s="250">
        <v>738</v>
      </c>
      <c r="J50" s="250">
        <v>738</v>
      </c>
      <c r="K50" s="250">
        <v>738</v>
      </c>
      <c r="L50" s="250">
        <v>738</v>
      </c>
      <c r="M50" s="250">
        <v>738</v>
      </c>
      <c r="N50" s="250">
        <v>0</v>
      </c>
      <c r="O50" s="250">
        <v>0</v>
      </c>
      <c r="P50" s="250">
        <v>0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</row>
    <row r="51" spans="1:81" s="8" customFormat="1" x14ac:dyDescent="0.15">
      <c r="A51" s="253" t="s">
        <v>257</v>
      </c>
      <c r="B51" s="19"/>
      <c r="C51" s="19"/>
      <c r="D51" s="250">
        <v>0</v>
      </c>
      <c r="E51" s="250">
        <v>0</v>
      </c>
      <c r="F51" s="250">
        <v>0</v>
      </c>
      <c r="G51" s="250">
        <v>0</v>
      </c>
      <c r="H51" s="250">
        <v>0</v>
      </c>
      <c r="I51" s="250">
        <v>0</v>
      </c>
      <c r="J51" s="250">
        <v>0</v>
      </c>
      <c r="K51" s="250">
        <v>0</v>
      </c>
      <c r="L51" s="250">
        <v>0</v>
      </c>
      <c r="M51" s="250">
        <v>0</v>
      </c>
      <c r="N51" s="250">
        <v>0</v>
      </c>
      <c r="O51" s="250">
        <v>0</v>
      </c>
      <c r="P51" s="250">
        <v>0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</row>
    <row r="52" spans="1:81" s="8" customFormat="1" x14ac:dyDescent="0.15">
      <c r="A52" s="253" t="s">
        <v>257</v>
      </c>
      <c r="B52" s="19"/>
      <c r="C52" s="19"/>
      <c r="D52" s="254">
        <v>0</v>
      </c>
      <c r="E52" s="254">
        <v>0</v>
      </c>
      <c r="F52" s="254">
        <v>0</v>
      </c>
      <c r="G52" s="254">
        <v>0</v>
      </c>
      <c r="H52" s="254">
        <v>0</v>
      </c>
      <c r="I52" s="254">
        <v>0</v>
      </c>
      <c r="J52" s="254">
        <v>0</v>
      </c>
      <c r="K52" s="254">
        <v>0</v>
      </c>
      <c r="L52" s="254">
        <v>0</v>
      </c>
      <c r="M52" s="254">
        <v>0</v>
      </c>
      <c r="N52" s="254">
        <v>0</v>
      </c>
      <c r="O52" s="254">
        <v>0</v>
      </c>
      <c r="P52" s="254">
        <v>0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</row>
    <row r="53" spans="1:81" s="8" customFormat="1" x14ac:dyDescent="0.15">
      <c r="A53" s="217" t="s">
        <v>258</v>
      </c>
      <c r="B53" s="19"/>
      <c r="C53" s="19"/>
      <c r="D53" s="231">
        <f>SUM(D48:D52)</f>
        <v>0</v>
      </c>
      <c r="E53" s="231">
        <f t="shared" ref="E53:N53" si="14">SUM(E48:E52)</f>
        <v>1812.635</v>
      </c>
      <c r="F53" s="231">
        <f t="shared" si="14"/>
        <v>1812.635</v>
      </c>
      <c r="G53" s="231">
        <f t="shared" si="14"/>
        <v>1812.635</v>
      </c>
      <c r="H53" s="231">
        <f t="shared" si="14"/>
        <v>1812.635</v>
      </c>
      <c r="I53" s="231">
        <f t="shared" si="14"/>
        <v>1812.635</v>
      </c>
      <c r="J53" s="231">
        <f t="shared" si="14"/>
        <v>1812.635</v>
      </c>
      <c r="K53" s="231">
        <f t="shared" si="14"/>
        <v>1812.635</v>
      </c>
      <c r="L53" s="231">
        <f t="shared" si="14"/>
        <v>1812.635</v>
      </c>
      <c r="M53" s="231">
        <f t="shared" si="14"/>
        <v>1812.635</v>
      </c>
      <c r="N53" s="231">
        <f t="shared" si="14"/>
        <v>0</v>
      </c>
      <c r="O53" s="231">
        <f>SUM(O48:O52)</f>
        <v>0</v>
      </c>
      <c r="P53" s="231">
        <f>SUM(P48:P52)</f>
        <v>0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</row>
    <row r="54" spans="1:81" ht="16" x14ac:dyDescent="0.2">
      <c r="A54" s="31" t="s">
        <v>259</v>
      </c>
      <c r="B54" s="18"/>
      <c r="C54" s="18"/>
      <c r="D54" s="73">
        <f>D45+D53</f>
        <v>0</v>
      </c>
      <c r="E54" s="73">
        <f t="shared" ref="E54:N54" si="15">E45+E53</f>
        <v>1812.635</v>
      </c>
      <c r="F54" s="73">
        <f t="shared" si="15"/>
        <v>1812.635</v>
      </c>
      <c r="G54" s="73">
        <f t="shared" si="15"/>
        <v>1812.635</v>
      </c>
      <c r="H54" s="73">
        <f t="shared" si="15"/>
        <v>1812.635</v>
      </c>
      <c r="I54" s="73">
        <f t="shared" si="15"/>
        <v>1812.635</v>
      </c>
      <c r="J54" s="73">
        <f t="shared" si="15"/>
        <v>1812.635</v>
      </c>
      <c r="K54" s="73">
        <f t="shared" si="15"/>
        <v>1812.635</v>
      </c>
      <c r="L54" s="73">
        <f t="shared" si="15"/>
        <v>1812.635</v>
      </c>
      <c r="M54" s="73">
        <f t="shared" si="15"/>
        <v>1812.635</v>
      </c>
      <c r="N54" s="73">
        <f t="shared" si="15"/>
        <v>0</v>
      </c>
      <c r="O54" s="73">
        <f>O45+O53</f>
        <v>0</v>
      </c>
      <c r="P54" s="73">
        <f>P45+P53</f>
        <v>0</v>
      </c>
    </row>
    <row r="55" spans="1:81" x14ac:dyDescent="0.15">
      <c r="A55" s="201"/>
      <c r="B55" s="201"/>
      <c r="C55" s="201"/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</row>
    <row r="56" spans="1:81" s="8" customFormat="1" ht="20" x14ac:dyDescent="0.2">
      <c r="A56" s="200" t="s">
        <v>260</v>
      </c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</row>
    <row r="57" spans="1:81" s="8" customFormat="1" x14ac:dyDescent="0.15">
      <c r="A57" s="18" t="s">
        <v>71</v>
      </c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</row>
    <row r="58" spans="1:81" s="8" customFormat="1" x14ac:dyDescent="0.15">
      <c r="A58" s="255" t="s">
        <v>510</v>
      </c>
      <c r="B58" s="19"/>
      <c r="C58" s="19"/>
      <c r="D58" s="250">
        <v>6054.6840000000002</v>
      </c>
      <c r="E58" s="250">
        <v>0</v>
      </c>
      <c r="F58" s="250">
        <v>0</v>
      </c>
      <c r="G58" s="250">
        <v>0</v>
      </c>
      <c r="H58" s="250">
        <v>0</v>
      </c>
      <c r="I58" s="250">
        <v>0</v>
      </c>
      <c r="J58" s="250">
        <v>0</v>
      </c>
      <c r="K58" s="250">
        <v>0</v>
      </c>
      <c r="L58" s="250">
        <v>0</v>
      </c>
      <c r="M58" s="250">
        <v>0</v>
      </c>
      <c r="N58" s="250">
        <v>0</v>
      </c>
      <c r="O58" s="250">
        <v>0</v>
      </c>
      <c r="P58" s="250">
        <v>0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</row>
    <row r="59" spans="1:81" s="8" customFormat="1" x14ac:dyDescent="0.15">
      <c r="A59" s="255" t="s">
        <v>511</v>
      </c>
      <c r="B59" s="19"/>
      <c r="C59" s="19"/>
      <c r="D59" s="250">
        <v>2035.7190000000001</v>
      </c>
      <c r="E59" s="250">
        <v>0</v>
      </c>
      <c r="F59" s="250">
        <v>0</v>
      </c>
      <c r="G59" s="250">
        <v>0</v>
      </c>
      <c r="H59" s="250">
        <v>0</v>
      </c>
      <c r="I59" s="250">
        <v>0</v>
      </c>
      <c r="J59" s="250">
        <v>0</v>
      </c>
      <c r="K59" s="250">
        <v>0</v>
      </c>
      <c r="L59" s="250">
        <v>0</v>
      </c>
      <c r="M59" s="250">
        <v>0</v>
      </c>
      <c r="N59" s="250">
        <v>0</v>
      </c>
      <c r="O59" s="250">
        <v>0</v>
      </c>
      <c r="P59" s="250">
        <v>0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</row>
    <row r="60" spans="1:81" s="8" customFormat="1" x14ac:dyDescent="0.15">
      <c r="A60" s="255" t="s">
        <v>512</v>
      </c>
      <c r="B60" s="19"/>
      <c r="C60" s="19"/>
      <c r="D60" s="250">
        <v>1.8</v>
      </c>
      <c r="E60" s="250">
        <v>0</v>
      </c>
      <c r="F60" s="250">
        <v>0</v>
      </c>
      <c r="G60" s="250">
        <v>0</v>
      </c>
      <c r="H60" s="250">
        <v>0</v>
      </c>
      <c r="I60" s="250">
        <v>0</v>
      </c>
      <c r="J60" s="250">
        <v>0</v>
      </c>
      <c r="K60" s="250">
        <v>0</v>
      </c>
      <c r="L60" s="250">
        <v>0</v>
      </c>
      <c r="M60" s="250">
        <v>0</v>
      </c>
      <c r="N60" s="250">
        <v>0</v>
      </c>
      <c r="O60" s="250">
        <v>0</v>
      </c>
      <c r="P60" s="250">
        <v>0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</row>
    <row r="61" spans="1:81" s="8" customFormat="1" x14ac:dyDescent="0.15">
      <c r="A61" s="255" t="s">
        <v>513</v>
      </c>
      <c r="B61" s="19"/>
      <c r="C61" s="19"/>
      <c r="D61" s="250">
        <v>2.7</v>
      </c>
      <c r="E61" s="250">
        <v>0</v>
      </c>
      <c r="F61" s="250">
        <v>0</v>
      </c>
      <c r="G61" s="250">
        <v>0</v>
      </c>
      <c r="H61" s="250">
        <v>0</v>
      </c>
      <c r="I61" s="250">
        <v>0</v>
      </c>
      <c r="J61" s="250">
        <v>0</v>
      </c>
      <c r="K61" s="250">
        <v>0</v>
      </c>
      <c r="L61" s="250">
        <v>0</v>
      </c>
      <c r="M61" s="250">
        <v>0</v>
      </c>
      <c r="N61" s="250">
        <v>0</v>
      </c>
      <c r="O61" s="250">
        <v>0</v>
      </c>
      <c r="P61" s="250">
        <v>0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</row>
    <row r="62" spans="1:81" s="8" customFormat="1" x14ac:dyDescent="0.15">
      <c r="A62" s="255" t="s">
        <v>514</v>
      </c>
      <c r="B62" s="19"/>
      <c r="C62" s="19"/>
      <c r="D62" s="250">
        <v>81</v>
      </c>
      <c r="E62" s="250">
        <v>0</v>
      </c>
      <c r="F62" s="250">
        <v>0</v>
      </c>
      <c r="G62" s="250">
        <v>0</v>
      </c>
      <c r="H62" s="250">
        <v>0</v>
      </c>
      <c r="I62" s="250">
        <v>0</v>
      </c>
      <c r="J62" s="250">
        <v>0</v>
      </c>
      <c r="K62" s="250">
        <v>0</v>
      </c>
      <c r="L62" s="250">
        <v>0</v>
      </c>
      <c r="M62" s="250">
        <v>0</v>
      </c>
      <c r="N62" s="250">
        <v>0</v>
      </c>
      <c r="O62" s="250">
        <v>0</v>
      </c>
      <c r="P62" s="250">
        <v>0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</row>
    <row r="63" spans="1:81" s="8" customFormat="1" x14ac:dyDescent="0.15">
      <c r="A63" s="255" t="s">
        <v>515</v>
      </c>
      <c r="B63" s="19"/>
      <c r="C63" s="19"/>
      <c r="D63" s="250">
        <v>18.899999999999999</v>
      </c>
      <c r="E63" s="250">
        <v>0</v>
      </c>
      <c r="F63" s="250">
        <v>0</v>
      </c>
      <c r="G63" s="250">
        <v>0</v>
      </c>
      <c r="H63" s="250">
        <v>0</v>
      </c>
      <c r="I63" s="250">
        <v>0</v>
      </c>
      <c r="J63" s="250">
        <v>0</v>
      </c>
      <c r="K63" s="250">
        <v>0</v>
      </c>
      <c r="L63" s="250">
        <v>0</v>
      </c>
      <c r="M63" s="250">
        <v>0</v>
      </c>
      <c r="N63" s="250">
        <v>0</v>
      </c>
      <c r="O63" s="250">
        <v>0</v>
      </c>
      <c r="P63" s="250">
        <v>0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</row>
    <row r="64" spans="1:81" s="8" customFormat="1" x14ac:dyDescent="0.15">
      <c r="A64" s="255" t="s">
        <v>516</v>
      </c>
      <c r="B64" s="19"/>
      <c r="C64" s="19"/>
      <c r="D64" s="250">
        <v>500</v>
      </c>
      <c r="E64" s="250">
        <v>0</v>
      </c>
      <c r="F64" s="250">
        <v>0</v>
      </c>
      <c r="G64" s="250">
        <v>0</v>
      </c>
      <c r="H64" s="250">
        <v>0</v>
      </c>
      <c r="I64" s="250">
        <v>0</v>
      </c>
      <c r="J64" s="250">
        <v>0</v>
      </c>
      <c r="K64" s="250">
        <v>0</v>
      </c>
      <c r="L64" s="250">
        <v>0</v>
      </c>
      <c r="M64" s="250">
        <v>0</v>
      </c>
      <c r="N64" s="250">
        <v>0</v>
      </c>
      <c r="O64" s="250">
        <v>0</v>
      </c>
      <c r="P64" s="250">
        <v>0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</row>
    <row r="65" spans="1:81" s="8" customFormat="1" x14ac:dyDescent="0.15">
      <c r="A65" s="255" t="s">
        <v>517</v>
      </c>
      <c r="B65" s="19"/>
      <c r="C65" s="19"/>
      <c r="D65" s="250">
        <v>800</v>
      </c>
      <c r="E65" s="250">
        <v>0</v>
      </c>
      <c r="F65" s="250">
        <v>0</v>
      </c>
      <c r="G65" s="250">
        <v>0</v>
      </c>
      <c r="H65" s="250">
        <v>0</v>
      </c>
      <c r="I65" s="250">
        <v>0</v>
      </c>
      <c r="J65" s="250">
        <v>0</v>
      </c>
      <c r="K65" s="250">
        <v>0</v>
      </c>
      <c r="L65" s="250">
        <v>0</v>
      </c>
      <c r="M65" s="250">
        <v>0</v>
      </c>
      <c r="N65" s="250">
        <v>0</v>
      </c>
      <c r="O65" s="250">
        <v>0</v>
      </c>
      <c r="P65" s="250">
        <v>0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</row>
    <row r="66" spans="1:81" x14ac:dyDescent="0.15">
      <c r="A66" s="255" t="s">
        <v>518</v>
      </c>
      <c r="B66" s="19"/>
      <c r="C66" s="19"/>
      <c r="D66" s="250">
        <v>350</v>
      </c>
      <c r="E66" s="250">
        <v>0</v>
      </c>
      <c r="F66" s="250">
        <v>0</v>
      </c>
      <c r="G66" s="250">
        <v>0</v>
      </c>
      <c r="H66" s="250">
        <v>0</v>
      </c>
      <c r="I66" s="250">
        <v>0</v>
      </c>
      <c r="J66" s="250">
        <v>0</v>
      </c>
      <c r="K66" s="250">
        <v>0</v>
      </c>
      <c r="L66" s="250">
        <v>0</v>
      </c>
      <c r="M66" s="250">
        <v>0</v>
      </c>
      <c r="N66" s="250">
        <v>0</v>
      </c>
      <c r="O66" s="250">
        <v>0</v>
      </c>
      <c r="P66" s="250">
        <v>0</v>
      </c>
    </row>
    <row r="67" spans="1:81" x14ac:dyDescent="0.15">
      <c r="A67" s="255" t="s">
        <v>519</v>
      </c>
      <c r="B67" s="19"/>
      <c r="C67" s="19"/>
      <c r="D67" s="250">
        <v>147.672</v>
      </c>
      <c r="E67" s="250">
        <v>0</v>
      </c>
      <c r="F67" s="250">
        <v>0</v>
      </c>
      <c r="G67" s="250">
        <v>0</v>
      </c>
      <c r="H67" s="250">
        <v>0</v>
      </c>
      <c r="I67" s="250">
        <v>0</v>
      </c>
      <c r="J67" s="250">
        <v>0</v>
      </c>
      <c r="K67" s="250">
        <v>0</v>
      </c>
      <c r="L67" s="250">
        <v>0</v>
      </c>
      <c r="M67" s="250">
        <v>0</v>
      </c>
      <c r="N67" s="250">
        <v>0</v>
      </c>
      <c r="O67" s="250">
        <v>0</v>
      </c>
      <c r="P67" s="250">
        <v>0</v>
      </c>
    </row>
    <row r="68" spans="1:81" x14ac:dyDescent="0.15">
      <c r="A68" s="318" t="s">
        <v>4</v>
      </c>
      <c r="B68" s="318"/>
      <c r="C68" s="18"/>
      <c r="D68" s="73">
        <f>SUM(D58:D67)</f>
        <v>9992.4750000000004</v>
      </c>
      <c r="E68" s="73">
        <f t="shared" ref="E68:L68" si="16">SUM(E58:E67)</f>
        <v>0</v>
      </c>
      <c r="F68" s="73">
        <f t="shared" si="16"/>
        <v>0</v>
      </c>
      <c r="G68" s="73">
        <f t="shared" si="16"/>
        <v>0</v>
      </c>
      <c r="H68" s="73">
        <f t="shared" si="16"/>
        <v>0</v>
      </c>
      <c r="I68" s="73">
        <f t="shared" si="16"/>
        <v>0</v>
      </c>
      <c r="J68" s="73">
        <f t="shared" si="16"/>
        <v>0</v>
      </c>
      <c r="K68" s="73">
        <f t="shared" si="16"/>
        <v>0</v>
      </c>
      <c r="L68" s="73">
        <f t="shared" si="16"/>
        <v>0</v>
      </c>
      <c r="M68" s="73">
        <f>SUM(M58:M67)</f>
        <v>0</v>
      </c>
      <c r="N68" s="73">
        <f>SUM(N58:N67)</f>
        <v>0</v>
      </c>
      <c r="O68" s="73">
        <f>SUM(O58:O67)</f>
        <v>0</v>
      </c>
      <c r="P68" s="73">
        <f>SUM(P58:P67)</f>
        <v>0</v>
      </c>
    </row>
    <row r="69" spans="1:81" x14ac:dyDescent="0.15">
      <c r="A69" s="32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</row>
    <row r="70" spans="1:81" x14ac:dyDescent="0.15">
      <c r="A70" s="202"/>
      <c r="B70" s="201"/>
      <c r="C70" s="201"/>
      <c r="D70" s="201"/>
      <c r="E70" s="201"/>
      <c r="F70" s="201"/>
      <c r="G70" s="201"/>
      <c r="H70" s="201"/>
      <c r="I70" s="201"/>
      <c r="J70" s="201"/>
      <c r="K70" s="201"/>
      <c r="L70" s="201"/>
      <c r="M70" s="201"/>
      <c r="N70" s="201"/>
      <c r="O70" s="201"/>
      <c r="P70" s="201"/>
    </row>
    <row r="71" spans="1:81" ht="20" x14ac:dyDescent="0.2">
      <c r="A71" s="205" t="s">
        <v>307</v>
      </c>
      <c r="B71" s="58"/>
      <c r="C71" s="58"/>
      <c r="D71" s="58"/>
      <c r="E71" s="58"/>
      <c r="F71" s="58"/>
      <c r="G71" s="58"/>
      <c r="H71" s="18"/>
      <c r="I71" s="58"/>
      <c r="J71" s="58"/>
      <c r="K71" s="58"/>
      <c r="L71" s="58"/>
      <c r="M71" s="18"/>
      <c r="N71" s="18"/>
      <c r="O71" s="18"/>
      <c r="P71" s="18"/>
    </row>
    <row r="72" spans="1:81" s="9" customFormat="1" ht="16" x14ac:dyDescent="0.2">
      <c r="A72" s="203" t="s">
        <v>0</v>
      </c>
      <c r="B72" s="58"/>
      <c r="C72" s="58"/>
      <c r="D72" s="58"/>
      <c r="E72" s="58"/>
      <c r="F72" s="58"/>
      <c r="G72" s="58"/>
      <c r="H72" s="18"/>
      <c r="I72" s="204" t="s">
        <v>94</v>
      </c>
      <c r="J72" s="58"/>
      <c r="K72" s="58"/>
      <c r="L72" s="18"/>
      <c r="M72" s="18"/>
      <c r="N72" s="18"/>
      <c r="O72" s="18"/>
      <c r="P72" s="18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</row>
    <row r="73" spans="1:81" s="9" customFormat="1" x14ac:dyDescent="0.15">
      <c r="A73" s="37" t="s">
        <v>261</v>
      </c>
      <c r="B73" s="30"/>
      <c r="C73" s="30"/>
      <c r="D73" s="251">
        <v>7494</v>
      </c>
      <c r="E73" s="30"/>
      <c r="F73" s="30"/>
      <c r="G73" s="30" t="s">
        <v>0</v>
      </c>
      <c r="H73" s="18"/>
      <c r="I73" s="38" t="s">
        <v>0</v>
      </c>
      <c r="J73" s="30"/>
      <c r="K73" s="30"/>
      <c r="L73" s="18"/>
      <c r="M73" s="18"/>
      <c r="N73" s="18"/>
      <c r="O73" s="18"/>
      <c r="P73" s="18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</row>
    <row r="74" spans="1:81" s="9" customFormat="1" x14ac:dyDescent="0.15">
      <c r="A74" s="39" t="s">
        <v>81</v>
      </c>
      <c r="B74" s="40"/>
      <c r="C74" s="40"/>
      <c r="D74" s="256">
        <v>1.5800000000000002E-2</v>
      </c>
      <c r="E74" s="40"/>
      <c r="F74" s="40"/>
      <c r="G74" s="40"/>
      <c r="H74" s="18"/>
      <c r="I74" s="41" t="s">
        <v>0</v>
      </c>
      <c r="J74" s="40"/>
      <c r="K74" s="40"/>
      <c r="L74" s="18"/>
      <c r="M74" s="18"/>
      <c r="N74" s="18"/>
      <c r="O74" s="18"/>
      <c r="P74" s="18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</row>
    <row r="75" spans="1:81" s="9" customFormat="1" ht="14" thickBot="1" x14ac:dyDescent="0.2">
      <c r="A75" s="42" t="s">
        <v>80</v>
      </c>
      <c r="B75" s="40"/>
      <c r="C75" s="40"/>
      <c r="D75" s="256">
        <v>3.7699999999999997E-2</v>
      </c>
      <c r="E75" s="40"/>
      <c r="F75" s="40"/>
      <c r="G75" s="40"/>
      <c r="H75" s="18"/>
      <c r="I75" s="41" t="s">
        <v>0</v>
      </c>
      <c r="J75" s="40"/>
      <c r="K75" s="40"/>
      <c r="L75" s="18"/>
      <c r="M75" s="18"/>
      <c r="N75" s="18"/>
      <c r="O75" s="18"/>
      <c r="P75" s="18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</row>
    <row r="76" spans="1:81" s="9" customFormat="1" ht="14" thickBot="1" x14ac:dyDescent="0.2">
      <c r="A76" s="43" t="s">
        <v>89</v>
      </c>
      <c r="B76" s="40"/>
      <c r="C76" s="40"/>
      <c r="D76" s="44">
        <f>D74+D75</f>
        <v>5.3499999999999999E-2</v>
      </c>
      <c r="E76" s="40"/>
      <c r="F76" s="40"/>
      <c r="G76" s="40"/>
      <c r="H76" s="18"/>
      <c r="I76" s="41" t="s">
        <v>0</v>
      </c>
      <c r="J76" s="40"/>
      <c r="K76" s="40"/>
      <c r="L76" s="18"/>
      <c r="M76" s="18"/>
      <c r="N76" s="18"/>
      <c r="O76" s="18"/>
      <c r="P76" s="18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</row>
    <row r="77" spans="1:81" s="4" customFormat="1" x14ac:dyDescent="0.15">
      <c r="A77" s="39" t="s">
        <v>82</v>
      </c>
      <c r="B77" s="40"/>
      <c r="C77" s="40"/>
      <c r="D77" s="256">
        <v>0</v>
      </c>
      <c r="E77" s="40"/>
      <c r="F77" s="40"/>
      <c r="G77" s="45" t="s">
        <v>0</v>
      </c>
      <c r="H77" s="18"/>
      <c r="I77" s="41" t="s">
        <v>0</v>
      </c>
      <c r="J77" s="40"/>
      <c r="K77" s="40"/>
      <c r="L77" s="18"/>
      <c r="M77" s="18"/>
      <c r="N77" s="18"/>
      <c r="O77" s="18"/>
      <c r="P77" s="18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</row>
    <row r="78" spans="1:81" x14ac:dyDescent="0.15">
      <c r="A78" s="42" t="s">
        <v>83</v>
      </c>
      <c r="B78" s="40"/>
      <c r="C78" s="40"/>
      <c r="D78" s="256">
        <v>0</v>
      </c>
      <c r="E78" s="40"/>
      <c r="F78" s="40"/>
      <c r="G78" s="40"/>
      <c r="H78" s="18"/>
      <c r="I78" s="41" t="s">
        <v>0</v>
      </c>
      <c r="J78" s="40"/>
      <c r="K78" s="40"/>
      <c r="L78" s="18"/>
      <c r="M78" s="18"/>
      <c r="N78" s="18"/>
      <c r="O78" s="18"/>
      <c r="P78" s="18"/>
    </row>
    <row r="79" spans="1:81" s="12" customFormat="1" x14ac:dyDescent="0.15">
      <c r="A79" s="42" t="s">
        <v>92</v>
      </c>
      <c r="B79" s="40"/>
      <c r="C79" s="40"/>
      <c r="D79" s="257">
        <v>120</v>
      </c>
      <c r="E79" s="40"/>
      <c r="F79" s="40"/>
      <c r="G79" s="15" t="s">
        <v>0</v>
      </c>
      <c r="H79" s="18"/>
      <c r="I79" s="41" t="s">
        <v>0</v>
      </c>
      <c r="J79" s="40"/>
      <c r="K79" s="40"/>
      <c r="L79" s="18"/>
      <c r="M79" s="18"/>
      <c r="N79" s="18"/>
      <c r="O79" s="19"/>
      <c r="P79" s="19"/>
    </row>
    <row r="80" spans="1:81" s="12" customFormat="1" x14ac:dyDescent="0.15">
      <c r="A80" s="42" t="s">
        <v>93</v>
      </c>
      <c r="B80" s="40"/>
      <c r="C80" s="40"/>
      <c r="D80" s="257">
        <v>12</v>
      </c>
      <c r="E80" s="40"/>
      <c r="F80" s="19"/>
      <c r="G80" s="40"/>
      <c r="H80" s="18"/>
      <c r="I80" s="41" t="s">
        <v>0</v>
      </c>
      <c r="J80" s="40"/>
      <c r="K80" s="40"/>
      <c r="L80" s="18"/>
      <c r="M80" s="18"/>
      <c r="N80" s="18"/>
      <c r="O80" s="19"/>
      <c r="P80" s="19"/>
    </row>
    <row r="81" spans="1:81" s="12" customFormat="1" x14ac:dyDescent="0.15">
      <c r="A81" s="42" t="s">
        <v>113</v>
      </c>
      <c r="B81" s="40"/>
      <c r="C81" s="40"/>
      <c r="D81" s="258">
        <v>2</v>
      </c>
      <c r="E81" s="46" t="s">
        <v>0</v>
      </c>
      <c r="F81" s="19"/>
      <c r="G81" s="40"/>
      <c r="H81" s="18"/>
      <c r="I81" s="41" t="s">
        <v>0</v>
      </c>
      <c r="J81" s="40"/>
      <c r="K81" s="40"/>
      <c r="L81" s="18"/>
      <c r="M81" s="18"/>
      <c r="N81" s="18"/>
      <c r="O81" s="19"/>
      <c r="P81" s="19"/>
    </row>
    <row r="82" spans="1:81" s="12" customFormat="1" x14ac:dyDescent="0.15">
      <c r="A82" s="42" t="s">
        <v>90</v>
      </c>
      <c r="B82" s="40"/>
      <c r="C82" s="40"/>
      <c r="D82" s="15">
        <f>Start!E13</f>
        <v>44727</v>
      </c>
      <c r="E82" s="47" t="str">
        <f>IF(D82&gt;DATE(D1,12,31),"Error -- 1st disb must be in 1st year."," ")</f>
        <v xml:space="preserve"> </v>
      </c>
      <c r="F82" s="18"/>
      <c r="G82" s="40"/>
      <c r="H82" s="18"/>
      <c r="I82" s="41" t="s">
        <v>0</v>
      </c>
      <c r="J82" s="40"/>
      <c r="K82" s="40"/>
      <c r="L82" s="18"/>
      <c r="M82" s="18"/>
      <c r="N82" s="18"/>
      <c r="O82" s="19"/>
      <c r="P82" s="19"/>
    </row>
    <row r="83" spans="1:81" s="12" customFormat="1" x14ac:dyDescent="0.15">
      <c r="A83" s="42" t="s">
        <v>91</v>
      </c>
      <c r="B83" s="40"/>
      <c r="C83" s="40"/>
      <c r="D83" s="15">
        <f>EDATE(D82,D80)</f>
        <v>45092</v>
      </c>
      <c r="E83" s="40"/>
      <c r="F83" s="48" t="s">
        <v>0</v>
      </c>
      <c r="G83" s="40"/>
      <c r="H83" s="18" t="s">
        <v>0</v>
      </c>
      <c r="I83" s="111" t="s">
        <v>0</v>
      </c>
      <c r="J83" s="40"/>
      <c r="K83" s="40"/>
      <c r="L83" s="18"/>
      <c r="M83" s="18"/>
      <c r="N83" s="18"/>
      <c r="O83" s="19"/>
      <c r="P83" s="19"/>
    </row>
    <row r="84" spans="1:81" x14ac:dyDescent="0.15">
      <c r="A84" s="49" t="s">
        <v>96</v>
      </c>
      <c r="B84" s="50"/>
      <c r="C84" s="50"/>
      <c r="D84" s="15">
        <f>EDATE(D82,D79)</f>
        <v>48380</v>
      </c>
      <c r="E84" s="50"/>
      <c r="F84" s="50"/>
      <c r="G84" s="50"/>
      <c r="H84" s="18"/>
      <c r="I84" s="41"/>
      <c r="J84" s="50"/>
      <c r="K84" s="50"/>
      <c r="L84" s="18"/>
      <c r="M84" s="18"/>
      <c r="N84" s="18"/>
      <c r="O84" s="18"/>
      <c r="P84" s="18"/>
    </row>
    <row r="85" spans="1:81" x14ac:dyDescent="0.15">
      <c r="A85" s="49" t="s">
        <v>112</v>
      </c>
      <c r="B85" s="50"/>
      <c r="C85" s="50"/>
      <c r="D85" s="51">
        <f>COUPNUM(D83,D84,D81,1)+1</f>
        <v>19</v>
      </c>
      <c r="E85" s="50"/>
      <c r="F85" s="52" t="s">
        <v>0</v>
      </c>
      <c r="G85" s="50"/>
      <c r="H85" s="18"/>
      <c r="I85" s="41"/>
      <c r="J85" s="50"/>
      <c r="K85" s="50"/>
      <c r="L85" s="18"/>
      <c r="M85" s="18"/>
      <c r="N85" s="18"/>
      <c r="O85" s="18"/>
      <c r="P85" s="18"/>
    </row>
    <row r="86" spans="1:81" x14ac:dyDescent="0.15">
      <c r="A86" s="110" t="s">
        <v>121</v>
      </c>
      <c r="B86" s="50"/>
      <c r="C86" s="50"/>
      <c r="D86" s="268">
        <v>1</v>
      </c>
      <c r="E86" s="50"/>
      <c r="F86" s="52"/>
      <c r="G86" s="50"/>
      <c r="H86" s="18"/>
      <c r="I86" s="41"/>
      <c r="J86" s="50"/>
      <c r="K86" s="50"/>
      <c r="L86" s="18"/>
      <c r="M86" s="18"/>
      <c r="N86" s="18"/>
      <c r="O86" s="18"/>
      <c r="P86" s="18"/>
    </row>
    <row r="87" spans="1:81" x14ac:dyDescent="0.15">
      <c r="A87" s="49"/>
      <c r="B87" s="50"/>
      <c r="C87" s="50"/>
      <c r="D87" s="50"/>
      <c r="E87" s="50"/>
      <c r="F87" s="50"/>
      <c r="G87" s="50"/>
      <c r="H87" s="18"/>
      <c r="I87" s="41" t="s">
        <v>95</v>
      </c>
      <c r="J87" s="50"/>
      <c r="K87" s="50"/>
      <c r="L87" s="18"/>
      <c r="M87" s="18"/>
      <c r="N87" s="18"/>
      <c r="O87" s="18"/>
      <c r="P87" s="18"/>
    </row>
    <row r="88" spans="1:81" x14ac:dyDescent="0.15">
      <c r="A88" s="49" t="s">
        <v>114</v>
      </c>
      <c r="B88" s="50"/>
      <c r="C88" s="50"/>
      <c r="D88" s="53">
        <f t="shared" ref="D88:P88" si="17">IF(OR(DATE(D1,12,31)&lt;$D$83,DATE(D1,1,1)&gt;$D$84),0,IF(AND(DATE(D1,1,1)&gt;$D$83,DATE(D1,12,31)&lt;$D$84),4,IF(AND($D$83&gt;DATE(D1,1,1),$D$83&lt;DATE(D1,12,31)),COUPNUM($D$83,DATE(D1,12,31),4,1),COUPNUM(DATE(D1,1,1),$D$84,4,1))))</f>
        <v>0</v>
      </c>
      <c r="E88" s="53">
        <f t="shared" si="17"/>
        <v>3</v>
      </c>
      <c r="F88" s="53">
        <f t="shared" si="17"/>
        <v>4</v>
      </c>
      <c r="G88" s="53">
        <f t="shared" si="17"/>
        <v>4</v>
      </c>
      <c r="H88" s="53">
        <f t="shared" si="17"/>
        <v>4</v>
      </c>
      <c r="I88" s="53">
        <f t="shared" si="17"/>
        <v>4</v>
      </c>
      <c r="J88" s="53">
        <f t="shared" si="17"/>
        <v>4</v>
      </c>
      <c r="K88" s="53">
        <f t="shared" si="17"/>
        <v>4</v>
      </c>
      <c r="L88" s="53">
        <f t="shared" si="17"/>
        <v>4</v>
      </c>
      <c r="M88" s="53">
        <f t="shared" si="17"/>
        <v>4</v>
      </c>
      <c r="N88" s="53">
        <f t="shared" si="17"/>
        <v>2</v>
      </c>
      <c r="O88" s="53">
        <f t="shared" si="17"/>
        <v>0</v>
      </c>
      <c r="P88" s="53">
        <f t="shared" si="17"/>
        <v>0</v>
      </c>
      <c r="Q88" s="13" t="s">
        <v>0</v>
      </c>
    </row>
    <row r="89" spans="1:81" x14ac:dyDescent="0.15">
      <c r="A89" s="49" t="s">
        <v>115</v>
      </c>
      <c r="B89" s="50"/>
      <c r="C89" s="50"/>
      <c r="D89" s="53">
        <f t="shared" ref="D89:P89" si="18">IF(OR(DATE(D1,12,31)&lt;$D$83,DATE(D1,1,1)&gt;$D$84),0,IF(AND(DATE(D1,1,1)&gt;$D$83,DATE(D1,12,31)&lt;$D$84),2,IF(AND($D$83&gt;DATE(D1,1,1),$D$83&lt;DATE(D1,12,31)),COUPNUM($D$83,DATE(D1,12,31),2,1),COUPNUM(DATE(D1,1,1),$D$84,2,1))))</f>
        <v>0</v>
      </c>
      <c r="E89" s="53">
        <f t="shared" si="18"/>
        <v>2</v>
      </c>
      <c r="F89" s="53">
        <f t="shared" si="18"/>
        <v>2</v>
      </c>
      <c r="G89" s="53">
        <f t="shared" si="18"/>
        <v>2</v>
      </c>
      <c r="H89" s="53">
        <f t="shared" si="18"/>
        <v>2</v>
      </c>
      <c r="I89" s="53">
        <f t="shared" si="18"/>
        <v>2</v>
      </c>
      <c r="J89" s="53">
        <f t="shared" si="18"/>
        <v>2</v>
      </c>
      <c r="K89" s="53">
        <f t="shared" si="18"/>
        <v>2</v>
      </c>
      <c r="L89" s="53">
        <f t="shared" si="18"/>
        <v>2</v>
      </c>
      <c r="M89" s="53">
        <f t="shared" si="18"/>
        <v>2</v>
      </c>
      <c r="N89" s="53">
        <f t="shared" si="18"/>
        <v>1</v>
      </c>
      <c r="O89" s="53">
        <f t="shared" si="18"/>
        <v>0</v>
      </c>
      <c r="P89" s="53">
        <f t="shared" si="18"/>
        <v>0</v>
      </c>
      <c r="Q89" s="13"/>
    </row>
    <row r="90" spans="1:81" ht="14" thickBot="1" x14ac:dyDescent="0.2">
      <c r="A90" s="54"/>
      <c r="B90" s="55"/>
      <c r="C90" s="55"/>
      <c r="D90" s="56">
        <f t="shared" ref="D90:P90" si="19">IF($D$81=4,D88,D89)</f>
        <v>0</v>
      </c>
      <c r="E90" s="56">
        <f t="shared" si="19"/>
        <v>2</v>
      </c>
      <c r="F90" s="56">
        <f t="shared" si="19"/>
        <v>2</v>
      </c>
      <c r="G90" s="56">
        <f t="shared" si="19"/>
        <v>2</v>
      </c>
      <c r="H90" s="56">
        <f t="shared" si="19"/>
        <v>2</v>
      </c>
      <c r="I90" s="56">
        <f t="shared" si="19"/>
        <v>2</v>
      </c>
      <c r="J90" s="56">
        <f t="shared" si="19"/>
        <v>2</v>
      </c>
      <c r="K90" s="56">
        <f t="shared" si="19"/>
        <v>2</v>
      </c>
      <c r="L90" s="56">
        <f t="shared" si="19"/>
        <v>2</v>
      </c>
      <c r="M90" s="56">
        <f t="shared" si="19"/>
        <v>2</v>
      </c>
      <c r="N90" s="56">
        <f t="shared" si="19"/>
        <v>1</v>
      </c>
      <c r="O90" s="56">
        <f t="shared" si="19"/>
        <v>0</v>
      </c>
      <c r="P90" s="56">
        <f t="shared" si="19"/>
        <v>0</v>
      </c>
    </row>
    <row r="91" spans="1:81" x14ac:dyDescent="0.15">
      <c r="A91" s="57" t="s">
        <v>6</v>
      </c>
      <c r="B91" s="58"/>
      <c r="C91" s="58"/>
      <c r="D91" s="59">
        <v>7494</v>
      </c>
      <c r="E91" s="59">
        <f t="shared" ref="E91:L91" si="20">D97</f>
        <v>7494</v>
      </c>
      <c r="F91" s="59">
        <f t="shared" si="20"/>
        <v>6705.1578947368416</v>
      </c>
      <c r="G91" s="59">
        <f t="shared" si="20"/>
        <v>5916.3157894736833</v>
      </c>
      <c r="H91" s="59">
        <f>G97</f>
        <v>5127.4736842105249</v>
      </c>
      <c r="I91" s="59">
        <f>H97</f>
        <v>4338.6315789473665</v>
      </c>
      <c r="J91" s="59">
        <f t="shared" si="20"/>
        <v>3549.7894736842086</v>
      </c>
      <c r="K91" s="59">
        <f t="shared" si="20"/>
        <v>2760.9473684210507</v>
      </c>
      <c r="L91" s="59">
        <f t="shared" si="20"/>
        <v>1972.1052631578928</v>
      </c>
      <c r="M91" s="59">
        <f>L97</f>
        <v>1183.2631578947348</v>
      </c>
      <c r="N91" s="59">
        <f>M97</f>
        <v>394.42105263157691</v>
      </c>
      <c r="O91" s="59">
        <f>N97</f>
        <v>-2.0463630789890885E-12</v>
      </c>
      <c r="P91" s="59">
        <f>O97</f>
        <v>-2.0463630789890885E-12</v>
      </c>
    </row>
    <row r="92" spans="1:81" x14ac:dyDescent="0.15">
      <c r="A92" s="212" t="s">
        <v>308</v>
      </c>
      <c r="B92" s="30"/>
      <c r="C92" s="30"/>
      <c r="D92" s="259">
        <v>0</v>
      </c>
      <c r="E92" s="259">
        <v>0</v>
      </c>
      <c r="F92" s="259">
        <v>0</v>
      </c>
      <c r="G92" s="259">
        <v>0</v>
      </c>
      <c r="H92" s="259">
        <v>0</v>
      </c>
      <c r="I92" s="259">
        <v>0</v>
      </c>
      <c r="J92" s="259">
        <v>0</v>
      </c>
      <c r="K92" s="259">
        <v>0</v>
      </c>
      <c r="L92" s="259">
        <v>0</v>
      </c>
      <c r="M92" s="259">
        <v>0</v>
      </c>
      <c r="N92" s="259">
        <v>0</v>
      </c>
      <c r="O92" s="259">
        <v>0</v>
      </c>
      <c r="P92" s="259">
        <v>0</v>
      </c>
    </row>
    <row r="93" spans="1:81" x14ac:dyDescent="0.15">
      <c r="A93" s="212" t="s">
        <v>309</v>
      </c>
      <c r="B93" s="30"/>
      <c r="C93" s="30"/>
      <c r="D93" s="61">
        <f>$D$73*$D$78+YEARFRAC(D82,DATE(D1,12,31))*$D$77*($D$73-$D$92)</f>
        <v>0</v>
      </c>
      <c r="E93" s="61">
        <f>($D$73-SUM($D$92:D92)-E92/2)*$D$77/2+($D$73-SUM($D$92:E92))*$D$77/2</f>
        <v>0</v>
      </c>
      <c r="F93" s="61">
        <f>($D$73-SUM($D$92:E92)-F92/2)*$D$77/2+($D$73-SUM($D$92:F92))*$D$77/2</f>
        <v>0</v>
      </c>
      <c r="G93" s="61">
        <f>($D$73-SUM($D$92:F92)-G92/2)*$D$77/2+($D$73-SUM($D$92:G92))*$D$77/2</f>
        <v>0</v>
      </c>
      <c r="H93" s="61">
        <f>($D$73-SUM($D$92:G92)-H92/2)*$D$77/2+($D$73-SUM($D$92:H92))*$D$77/2</f>
        <v>0</v>
      </c>
      <c r="I93" s="61">
        <f>($D$73-SUM($D$92:H92)-I92/2)*$D$77/2+($D$73-SUM($D$92:I92))*$D$77/2</f>
        <v>0</v>
      </c>
      <c r="J93" s="61">
        <f>($D$73-SUM($D$92:I92)-J92/2)*$D$77/2+($D$73-SUM($D$92:J92))*$D$77/2</f>
        <v>0</v>
      </c>
      <c r="K93" s="61">
        <f>($D$73-SUM($D$92:J92)-K92/2)*$D$77/2+($D$73-SUM($D$92:K92))*$D$77/2</f>
        <v>0</v>
      </c>
      <c r="L93" s="61">
        <f>($D$73-SUM($D$92:K92)-L92/2)*$D$77/2+($D$73-SUM($D$92:L92))*$D$77/2</f>
        <v>0</v>
      </c>
      <c r="M93" s="61">
        <f>($D$73-SUM($D$92:L92)-M92/2)*$D$77/2+($D$73-SUM($D$92:M92))*$D$77/2</f>
        <v>0</v>
      </c>
      <c r="N93" s="61">
        <f>($D$73-SUM($D$92:M92)-N92/2)*$D$77/2+($D$73-SUM($D$92:N92))*$D$77/2</f>
        <v>0</v>
      </c>
      <c r="O93" s="61">
        <f>($D$73-SUM($D$92:N92)-O92/2)*$D$77/2+($D$73-SUM($D$92:O92))*$D$77/2</f>
        <v>0</v>
      </c>
      <c r="P93" s="61">
        <f>($D$73-SUM($D$92:O92)-P92/2)*$D$77/2+($D$73-SUM($D$92:P92))*$D$77/2</f>
        <v>0</v>
      </c>
    </row>
    <row r="94" spans="1:81" s="11" customFormat="1" x14ac:dyDescent="0.15">
      <c r="A94" s="212" t="s">
        <v>310</v>
      </c>
      <c r="B94" s="30"/>
      <c r="C94" s="30"/>
      <c r="D94" s="61">
        <f>YEARFRAC(D82,DATE(D1,12,31))*D92*$D$76</f>
        <v>0</v>
      </c>
      <c r="E94" s="61">
        <f>IF($D$86=1,((E91+E97)/2)*$D$76,LOOKUP(E1,'Mortgage-StyleDetail'!$A$13:$A$28,'Mortgage-StyleDetail'!$C$13:$C$28))</f>
        <v>379.82747368421053</v>
      </c>
      <c r="F94" s="61">
        <f>IF($D$86=1,((F91+F97)/2)*$D$76,LOOKUP(F1,'Mortgage-StyleDetail'!$A$13:$A$28,'Mortgage-StyleDetail'!$C$13:$C$28))</f>
        <v>337.62442105263153</v>
      </c>
      <c r="G94" s="61">
        <f>IF($D$86=1,((G91+G97)/2)*$D$76,LOOKUP(G1,'Mortgage-StyleDetail'!$A$13:$A$28,'Mortgage-StyleDetail'!$C$13:$C$28))</f>
        <v>295.42136842105253</v>
      </c>
      <c r="H94" s="61">
        <f>IF($D$86=1,((H91+H97)/2)*$D$76,LOOKUP(H1,'Mortgage-StyleDetail'!$A$13:$A$28,'Mortgage-StyleDetail'!$C$13:$C$28))</f>
        <v>253.21831578947359</v>
      </c>
      <c r="I94" s="61">
        <f>IF($D$86=1,((I91+I97)/2)*$D$76,LOOKUP(I1,'Mortgage-StyleDetail'!$A$13:$A$28,'Mortgage-StyleDetail'!$C$13:$C$28))</f>
        <v>211.01526315789462</v>
      </c>
      <c r="J94" s="61">
        <f>IF($D$86=1,((J91+J97)/2)*$D$76,LOOKUP(J1,'Mortgage-StyleDetail'!$A$13:$A$28,'Mortgage-StyleDetail'!$C$13:$C$28))</f>
        <v>168.81221052631568</v>
      </c>
      <c r="K94" s="61">
        <f>IF($D$86=1,((K91+K97)/2)*$D$76,LOOKUP(K1,'Mortgage-StyleDetail'!$A$13:$A$28,'Mortgage-StyleDetail'!$C$13:$C$28))</f>
        <v>126.60915789473673</v>
      </c>
      <c r="L94" s="61">
        <f>IF($D$86=1,((L91+L97)/2)*$D$76,LOOKUP(L1,'Mortgage-StyleDetail'!$A$13:$A$28,'Mortgage-StyleDetail'!$C$13:$C$28))</f>
        <v>84.406105263157784</v>
      </c>
      <c r="M94" s="61">
        <f>IF($D$86=1,((M91+M97)/2)*$D$76,LOOKUP(M1,'Mortgage-StyleDetail'!$A$13:$A$28,'Mortgage-StyleDetail'!$C$13:$C$28))</f>
        <v>42.203052631578835</v>
      </c>
      <c r="N94" s="61">
        <f>IF($D$86=1,((N91+N97)/2)*$D$76,LOOKUP(N1,'Mortgage-StyleDetail'!$A$13:$A$28,'Mortgage-StyleDetail'!$C$13:$C$28))</f>
        <v>10.550763157894627</v>
      </c>
      <c r="O94" s="61">
        <f>IF($D$86=1,((O91+O97)/2)*$D$76,LOOKUP(O1,'Mortgage-StyleDetail'!$A$13:$A$28,'Mortgage-StyleDetail'!$C$13:$C$28))</f>
        <v>-1.0948042472591623E-13</v>
      </c>
      <c r="P94" s="61">
        <f>IF($D$86=1,((P91+P97)/2)*$D$76,LOOKUP(P1,'Mortgage-StyleDetail'!$A$13:$A$28,'Mortgage-StyleDetail'!$C$13:$C$28))</f>
        <v>-1.0948042472591623E-13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</row>
    <row r="95" spans="1:81" x14ac:dyDescent="0.15">
      <c r="A95" s="214" t="s">
        <v>311</v>
      </c>
      <c r="B95" s="58"/>
      <c r="C95" s="58"/>
      <c r="D95" s="59">
        <f>IF($D$86=1,($D$73/$D$85)*D90,LOOKUP(D1,'Mortgage-StyleDetail'!$A$13:$A$28,'Mortgage-StyleDetail'!$B$13:$B$28))</f>
        <v>0</v>
      </c>
      <c r="E95" s="59">
        <f>IF($D$86=1,($D$73/$D$85)*E90,LOOKUP(E1,'Mortgage-StyleDetail'!$A$13:$A$28,'Mortgage-StyleDetail'!$B$13:$B$28))</f>
        <v>788.84210526315792</v>
      </c>
      <c r="F95" s="59">
        <f>IF($D$86=1,($D$73/$D$85)*F90,LOOKUP(F1,'Mortgage-StyleDetail'!$A$13:$A$28,'Mortgage-StyleDetail'!$B$13:$B$28))</f>
        <v>788.84210526315792</v>
      </c>
      <c r="G95" s="59">
        <f>IF($D$86=1,($D$73/$D$85)*G90,LOOKUP(G1,'Mortgage-StyleDetail'!$A$13:$A$28,'Mortgage-StyleDetail'!$B$13:$B$28))</f>
        <v>788.84210526315792</v>
      </c>
      <c r="H95" s="59">
        <f>IF($D$86=1,($D$73/$D$85)*H90,LOOKUP(H1,'Mortgage-StyleDetail'!$A$13:$A$28,'Mortgage-StyleDetail'!$B$13:$B$28))</f>
        <v>788.84210526315792</v>
      </c>
      <c r="I95" s="59">
        <f>IF($D$86=1,($D$73/$D$85)*I90,LOOKUP(I1,'Mortgage-StyleDetail'!$A$13:$A$28,'Mortgage-StyleDetail'!$B$13:$B$28))</f>
        <v>788.84210526315792</v>
      </c>
      <c r="J95" s="59">
        <f>IF($D$86=1,($D$73/$D$85)*J90,LOOKUP(J1,'Mortgage-StyleDetail'!$A$13:$A$28,'Mortgage-StyleDetail'!$B$13:$B$28))</f>
        <v>788.84210526315792</v>
      </c>
      <c r="K95" s="59">
        <f>IF($D$86=1,($D$73/$D$85)*K90,LOOKUP(K1,'Mortgage-StyleDetail'!$A$13:$A$28,'Mortgage-StyleDetail'!$B$13:$B$28))</f>
        <v>788.84210526315792</v>
      </c>
      <c r="L95" s="59">
        <f>IF($D$86=1,($D$73/$D$85)*L90,LOOKUP(L1,'Mortgage-StyleDetail'!$A$13:$A$28,'Mortgage-StyleDetail'!$B$13:$B$28))</f>
        <v>788.84210526315792</v>
      </c>
      <c r="M95" s="59">
        <f>IF($D$86=1,($D$73/$D$85)*M90,LOOKUP(M1,'Mortgage-StyleDetail'!$A$13:$A$28,'Mortgage-StyleDetail'!$B$13:$B$28))</f>
        <v>788.84210526315792</v>
      </c>
      <c r="N95" s="59">
        <f>IF($D$86=1,($D$73/$D$85)*N90,LOOKUP(N1,'Mortgage-StyleDetail'!$A$13:$A$28,'Mortgage-StyleDetail'!$B$13:$B$28))</f>
        <v>394.42105263157896</v>
      </c>
      <c r="O95" s="59">
        <f>IF($D$86=1,($D$73/$D$85)*O90,LOOKUP(O1,'Mortgage-StyleDetail'!$A$13:$A$28,'Mortgage-StyleDetail'!$B$13:$B$28))</f>
        <v>0</v>
      </c>
      <c r="P95" s="59">
        <f>IF($D$86=1,($D$73/$D$85)*P90,LOOKUP(P1,'Mortgage-StyleDetail'!$A$13:$A$28,'Mortgage-StyleDetail'!$B$13:$B$28))</f>
        <v>0</v>
      </c>
    </row>
    <row r="96" spans="1:81" x14ac:dyDescent="0.15">
      <c r="A96" s="62" t="s">
        <v>312</v>
      </c>
      <c r="B96" s="58"/>
      <c r="C96" s="58"/>
      <c r="D96" s="59">
        <f>SUM(D93:D95)</f>
        <v>0</v>
      </c>
      <c r="E96" s="59">
        <f t="shared" ref="E96:P96" si="21">SUM(E93:E95)</f>
        <v>1168.6695789473683</v>
      </c>
      <c r="F96" s="59">
        <f t="shared" si="21"/>
        <v>1126.4665263157895</v>
      </c>
      <c r="G96" s="59">
        <f t="shared" si="21"/>
        <v>1084.2634736842106</v>
      </c>
      <c r="H96" s="59">
        <f t="shared" si="21"/>
        <v>1042.0604210526315</v>
      </c>
      <c r="I96" s="59">
        <f t="shared" si="21"/>
        <v>999.85736842105257</v>
      </c>
      <c r="J96" s="59">
        <f t="shared" si="21"/>
        <v>957.65431578947357</v>
      </c>
      <c r="K96" s="59">
        <f t="shared" si="21"/>
        <v>915.45126315789469</v>
      </c>
      <c r="L96" s="59">
        <f t="shared" si="21"/>
        <v>873.24821052631569</v>
      </c>
      <c r="M96" s="59">
        <f t="shared" si="21"/>
        <v>831.0451578947368</v>
      </c>
      <c r="N96" s="59">
        <f t="shared" si="21"/>
        <v>404.97181578947357</v>
      </c>
      <c r="O96" s="59">
        <f t="shared" si="21"/>
        <v>-1.0948042472591623E-13</v>
      </c>
      <c r="P96" s="59">
        <f t="shared" si="21"/>
        <v>-1.0948042472591623E-13</v>
      </c>
    </row>
    <row r="97" spans="1:81" s="8" customFormat="1" ht="14" thickBot="1" x14ac:dyDescent="0.2">
      <c r="A97" s="63" t="s">
        <v>7</v>
      </c>
      <c r="B97" s="33"/>
      <c r="C97" s="33"/>
      <c r="D97" s="64">
        <f>D91+D92-D95</f>
        <v>7494</v>
      </c>
      <c r="E97" s="64">
        <f t="shared" ref="E97:L97" si="22">E91+E92-E95</f>
        <v>6705.1578947368416</v>
      </c>
      <c r="F97" s="64">
        <f t="shared" si="22"/>
        <v>5916.3157894736833</v>
      </c>
      <c r="G97" s="64">
        <f t="shared" si="22"/>
        <v>5127.4736842105249</v>
      </c>
      <c r="H97" s="64">
        <f t="shared" si="22"/>
        <v>4338.6315789473665</v>
      </c>
      <c r="I97" s="64">
        <f t="shared" si="22"/>
        <v>3549.7894736842086</v>
      </c>
      <c r="J97" s="64">
        <f t="shared" si="22"/>
        <v>2760.9473684210507</v>
      </c>
      <c r="K97" s="64">
        <f t="shared" si="22"/>
        <v>1972.1052631578928</v>
      </c>
      <c r="L97" s="64">
        <f t="shared" si="22"/>
        <v>1183.2631578947348</v>
      </c>
      <c r="M97" s="64">
        <f>M91+M92-M95</f>
        <v>394.42105263157691</v>
      </c>
      <c r="N97" s="64">
        <f>N91+N92-N95</f>
        <v>-2.0463630789890885E-12</v>
      </c>
      <c r="O97" s="64">
        <f>O91+O92-O95</f>
        <v>-2.0463630789890885E-12</v>
      </c>
      <c r="P97" s="64">
        <f>P91+P92-P95</f>
        <v>-2.0463630789890885E-12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</row>
    <row r="98" spans="1:81" s="8" customFormat="1" x14ac:dyDescent="0.15">
      <c r="A98" s="207"/>
      <c r="B98" s="208"/>
      <c r="C98" s="208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</row>
    <row r="99" spans="1:81" ht="20" x14ac:dyDescent="0.2">
      <c r="A99" s="205" t="s">
        <v>246</v>
      </c>
      <c r="B99" s="58"/>
      <c r="C99" s="58"/>
    </row>
    <row r="100" spans="1:81" x14ac:dyDescent="0.15">
      <c r="A100" s="189" t="s">
        <v>243</v>
      </c>
      <c r="B100" s="316" t="s">
        <v>244</v>
      </c>
      <c r="C100" s="316"/>
      <c r="D100" s="316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1:81" x14ac:dyDescent="0.15">
      <c r="A101" s="189" t="s">
        <v>245</v>
      </c>
      <c r="B101" s="58"/>
      <c r="C101" s="58"/>
      <c r="D101" s="260">
        <v>0</v>
      </c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1:81" x14ac:dyDescent="0.15">
      <c r="A102" s="189"/>
      <c r="B102" s="58"/>
      <c r="C102" s="58"/>
      <c r="D102" s="206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</row>
    <row r="103" spans="1:81" x14ac:dyDescent="0.15">
      <c r="A103" s="57" t="s">
        <v>6</v>
      </c>
      <c r="B103" s="58"/>
      <c r="C103" s="58"/>
      <c r="D103" s="180">
        <f>IF(ISBLANK(HistoricalData!$D$10)=TRUE,HistoricalData!D37,HistoricalData!D100)+IF(ISBLANK(HistoricalData!$D$10)=TRUE,HistoricalData!D34,HistoricalData!D97)</f>
        <v>0</v>
      </c>
      <c r="E103" s="59">
        <f>D109</f>
        <v>0</v>
      </c>
      <c r="F103" s="59">
        <f t="shared" ref="F103:P103" si="23">E109</f>
        <v>0</v>
      </c>
      <c r="G103" s="59">
        <f t="shared" si="23"/>
        <v>0</v>
      </c>
      <c r="H103" s="59">
        <f t="shared" si="23"/>
        <v>0</v>
      </c>
      <c r="I103" s="59">
        <f t="shared" si="23"/>
        <v>0</v>
      </c>
      <c r="J103" s="59">
        <f t="shared" si="23"/>
        <v>0</v>
      </c>
      <c r="K103" s="59">
        <f t="shared" si="23"/>
        <v>0</v>
      </c>
      <c r="L103" s="59">
        <f t="shared" si="23"/>
        <v>0</v>
      </c>
      <c r="M103" s="59">
        <f t="shared" si="23"/>
        <v>0</v>
      </c>
      <c r="N103" s="59">
        <f t="shared" si="23"/>
        <v>0</v>
      </c>
      <c r="O103" s="59">
        <f t="shared" si="23"/>
        <v>0</v>
      </c>
      <c r="P103" s="59">
        <f t="shared" si="23"/>
        <v>0</v>
      </c>
    </row>
    <row r="104" spans="1:81" x14ac:dyDescent="0.15">
      <c r="A104" s="212" t="s">
        <v>262</v>
      </c>
      <c r="B104" s="58"/>
      <c r="C104" s="58"/>
      <c r="D104" s="259">
        <v>0</v>
      </c>
      <c r="E104" s="259">
        <v>0</v>
      </c>
      <c r="F104" s="259">
        <v>0</v>
      </c>
      <c r="G104" s="259">
        <v>0</v>
      </c>
      <c r="H104" s="259">
        <v>0</v>
      </c>
      <c r="I104" s="259">
        <v>0</v>
      </c>
      <c r="J104" s="259">
        <v>0</v>
      </c>
      <c r="K104" s="259">
        <v>0</v>
      </c>
      <c r="L104" s="259">
        <v>0</v>
      </c>
      <c r="M104" s="259">
        <v>0</v>
      </c>
      <c r="N104" s="259">
        <v>0</v>
      </c>
      <c r="O104" s="259">
        <v>0</v>
      </c>
      <c r="P104" s="259">
        <v>0</v>
      </c>
    </row>
    <row r="105" spans="1:81" x14ac:dyDescent="0.15">
      <c r="A105" s="212" t="s">
        <v>263</v>
      </c>
      <c r="B105" s="58"/>
      <c r="C105" s="58"/>
      <c r="D105" s="259">
        <v>0</v>
      </c>
      <c r="E105" s="259">
        <v>0</v>
      </c>
      <c r="F105" s="259">
        <v>0</v>
      </c>
      <c r="G105" s="259">
        <v>0</v>
      </c>
      <c r="H105" s="259">
        <v>0</v>
      </c>
      <c r="I105" s="259">
        <v>0</v>
      </c>
      <c r="J105" s="259">
        <v>0</v>
      </c>
      <c r="K105" s="259">
        <v>0</v>
      </c>
      <c r="L105" s="259">
        <v>0</v>
      </c>
      <c r="M105" s="259">
        <v>0</v>
      </c>
      <c r="N105" s="259">
        <v>0</v>
      </c>
      <c r="O105" s="259">
        <v>0</v>
      </c>
      <c r="P105" s="259">
        <v>0</v>
      </c>
    </row>
    <row r="106" spans="1:81" x14ac:dyDescent="0.15">
      <c r="A106" s="60" t="s">
        <v>139</v>
      </c>
      <c r="B106" s="58"/>
      <c r="C106" s="58"/>
      <c r="D106" s="61">
        <f>((D103+D109)/2)*$D$101</f>
        <v>0</v>
      </c>
      <c r="E106" s="61">
        <f t="shared" ref="E106:P106" si="24">((E103+E109)/2)*$D$101</f>
        <v>0</v>
      </c>
      <c r="F106" s="61">
        <f t="shared" si="24"/>
        <v>0</v>
      </c>
      <c r="G106" s="61">
        <f t="shared" si="24"/>
        <v>0</v>
      </c>
      <c r="H106" s="61">
        <f t="shared" si="24"/>
        <v>0</v>
      </c>
      <c r="I106" s="61">
        <f t="shared" si="24"/>
        <v>0</v>
      </c>
      <c r="J106" s="61">
        <f t="shared" si="24"/>
        <v>0</v>
      </c>
      <c r="K106" s="61">
        <f t="shared" si="24"/>
        <v>0</v>
      </c>
      <c r="L106" s="61">
        <f t="shared" si="24"/>
        <v>0</v>
      </c>
      <c r="M106" s="61">
        <f t="shared" si="24"/>
        <v>0</v>
      </c>
      <c r="N106" s="61">
        <f t="shared" si="24"/>
        <v>0</v>
      </c>
      <c r="O106" s="61">
        <f t="shared" si="24"/>
        <v>0</v>
      </c>
      <c r="P106" s="61">
        <f t="shared" si="24"/>
        <v>0</v>
      </c>
    </row>
    <row r="107" spans="1:81" x14ac:dyDescent="0.15">
      <c r="A107" s="214" t="s">
        <v>264</v>
      </c>
      <c r="B107" s="58"/>
      <c r="C107" s="58"/>
      <c r="D107" s="259">
        <v>0</v>
      </c>
      <c r="E107" s="259">
        <v>0</v>
      </c>
      <c r="F107" s="259">
        <v>0</v>
      </c>
      <c r="G107" s="259">
        <v>0</v>
      </c>
      <c r="H107" s="259">
        <v>0</v>
      </c>
      <c r="I107" s="259">
        <v>0</v>
      </c>
      <c r="J107" s="259">
        <v>0</v>
      </c>
      <c r="K107" s="259">
        <v>0</v>
      </c>
      <c r="L107" s="259">
        <v>0</v>
      </c>
      <c r="M107" s="259">
        <v>0</v>
      </c>
      <c r="N107" s="259">
        <v>0</v>
      </c>
      <c r="O107" s="259">
        <v>0</v>
      </c>
      <c r="P107" s="259">
        <v>0</v>
      </c>
    </row>
    <row r="108" spans="1:81" x14ac:dyDescent="0.15">
      <c r="A108" s="62" t="s">
        <v>247</v>
      </c>
      <c r="B108" s="58"/>
      <c r="C108" s="58"/>
      <c r="D108" s="59">
        <f>SUM(D105:D107)</f>
        <v>0</v>
      </c>
      <c r="E108" s="59">
        <f t="shared" ref="E108:P108" si="25">SUM(E105:E107)</f>
        <v>0</v>
      </c>
      <c r="F108" s="59">
        <f t="shared" si="25"/>
        <v>0</v>
      </c>
      <c r="G108" s="59">
        <f t="shared" si="25"/>
        <v>0</v>
      </c>
      <c r="H108" s="59">
        <f t="shared" si="25"/>
        <v>0</v>
      </c>
      <c r="I108" s="59">
        <f t="shared" si="25"/>
        <v>0</v>
      </c>
      <c r="J108" s="59">
        <f t="shared" si="25"/>
        <v>0</v>
      </c>
      <c r="K108" s="59">
        <f t="shared" si="25"/>
        <v>0</v>
      </c>
      <c r="L108" s="59">
        <f t="shared" si="25"/>
        <v>0</v>
      </c>
      <c r="M108" s="59">
        <f t="shared" si="25"/>
        <v>0</v>
      </c>
      <c r="N108" s="59">
        <f t="shared" si="25"/>
        <v>0</v>
      </c>
      <c r="O108" s="59">
        <f t="shared" si="25"/>
        <v>0</v>
      </c>
      <c r="P108" s="59">
        <f t="shared" si="25"/>
        <v>0</v>
      </c>
    </row>
    <row r="109" spans="1:81" ht="14" thickBot="1" x14ac:dyDescent="0.2">
      <c r="A109" s="63" t="s">
        <v>7</v>
      </c>
      <c r="B109" s="33"/>
      <c r="C109" s="33"/>
      <c r="D109" s="64">
        <f>D103+D104-D107</f>
        <v>0</v>
      </c>
      <c r="E109" s="64">
        <f t="shared" ref="E109:P109" si="26">E103+E104-E107</f>
        <v>0</v>
      </c>
      <c r="F109" s="64">
        <f t="shared" si="26"/>
        <v>0</v>
      </c>
      <c r="G109" s="64">
        <f t="shared" si="26"/>
        <v>0</v>
      </c>
      <c r="H109" s="64">
        <f t="shared" si="26"/>
        <v>0</v>
      </c>
      <c r="I109" s="64">
        <f t="shared" si="26"/>
        <v>0</v>
      </c>
      <c r="J109" s="64">
        <f t="shared" si="26"/>
        <v>0</v>
      </c>
      <c r="K109" s="64">
        <f t="shared" si="26"/>
        <v>0</v>
      </c>
      <c r="L109" s="64">
        <f t="shared" si="26"/>
        <v>0</v>
      </c>
      <c r="M109" s="64">
        <f t="shared" si="26"/>
        <v>0</v>
      </c>
      <c r="N109" s="64">
        <f t="shared" si="26"/>
        <v>0</v>
      </c>
      <c r="O109" s="64">
        <f t="shared" si="26"/>
        <v>0</v>
      </c>
      <c r="P109" s="64">
        <f t="shared" si="26"/>
        <v>0</v>
      </c>
    </row>
    <row r="110" spans="1:81" x14ac:dyDescent="0.15">
      <c r="A110" s="207"/>
      <c r="B110" s="208"/>
      <c r="C110" s="208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</row>
    <row r="111" spans="1:81" ht="20" x14ac:dyDescent="0.2">
      <c r="A111" s="205" t="s">
        <v>248</v>
      </c>
      <c r="B111" s="58"/>
      <c r="C111" s="58"/>
    </row>
    <row r="112" spans="1:81" x14ac:dyDescent="0.15">
      <c r="A112" s="189" t="s">
        <v>243</v>
      </c>
      <c r="B112" s="316" t="s">
        <v>244</v>
      </c>
      <c r="C112" s="316"/>
      <c r="D112" s="316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</row>
    <row r="113" spans="1:16" x14ac:dyDescent="0.15">
      <c r="A113" s="189" t="s">
        <v>245</v>
      </c>
      <c r="B113" s="58"/>
      <c r="C113" s="58"/>
      <c r="D113" s="260">
        <v>0</v>
      </c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</row>
    <row r="114" spans="1:16" x14ac:dyDescent="0.15">
      <c r="A114" s="189"/>
      <c r="B114" s="58"/>
      <c r="C114" s="58"/>
      <c r="D114" s="206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</row>
    <row r="115" spans="1:16" x14ac:dyDescent="0.15">
      <c r="A115" s="57" t="s">
        <v>6</v>
      </c>
      <c r="B115" s="58"/>
      <c r="C115" s="58"/>
      <c r="D115" s="180">
        <f>IF(ISBLANK(HistoricalData!$D$10)=TRUE,HistoricalData!D33,HistoricalData!D96)</f>
        <v>0</v>
      </c>
      <c r="E115" s="59">
        <f>D121</f>
        <v>0</v>
      </c>
      <c r="F115" s="59">
        <f t="shared" ref="F115" si="27">E121</f>
        <v>0</v>
      </c>
      <c r="G115" s="59">
        <f t="shared" ref="G115" si="28">F121</f>
        <v>0</v>
      </c>
      <c r="H115" s="59">
        <f t="shared" ref="H115" si="29">G121</f>
        <v>0</v>
      </c>
      <c r="I115" s="59">
        <f t="shared" ref="I115" si="30">H121</f>
        <v>0</v>
      </c>
      <c r="J115" s="59">
        <f t="shared" ref="J115" si="31">I121</f>
        <v>0</v>
      </c>
      <c r="K115" s="59">
        <f t="shared" ref="K115" si="32">J121</f>
        <v>0</v>
      </c>
      <c r="L115" s="59">
        <f t="shared" ref="L115" si="33">K121</f>
        <v>0</v>
      </c>
      <c r="M115" s="59">
        <f t="shared" ref="M115" si="34">L121</f>
        <v>0</v>
      </c>
      <c r="N115" s="59">
        <f t="shared" ref="N115" si="35">M121</f>
        <v>0</v>
      </c>
      <c r="O115" s="59">
        <f t="shared" ref="O115" si="36">N121</f>
        <v>0</v>
      </c>
      <c r="P115" s="59">
        <f t="shared" ref="P115" si="37">O121</f>
        <v>0</v>
      </c>
    </row>
    <row r="116" spans="1:16" x14ac:dyDescent="0.15">
      <c r="A116" s="212" t="s">
        <v>262</v>
      </c>
      <c r="B116" s="58"/>
      <c r="C116" s="58"/>
      <c r="D116" s="259">
        <v>0</v>
      </c>
      <c r="E116" s="259">
        <v>0</v>
      </c>
      <c r="F116" s="259">
        <v>0</v>
      </c>
      <c r="G116" s="259">
        <v>0</v>
      </c>
      <c r="H116" s="259">
        <v>0</v>
      </c>
      <c r="I116" s="259">
        <v>0</v>
      </c>
      <c r="J116" s="259">
        <v>0</v>
      </c>
      <c r="K116" s="259">
        <v>0</v>
      </c>
      <c r="L116" s="259">
        <v>0</v>
      </c>
      <c r="M116" s="259">
        <v>0</v>
      </c>
      <c r="N116" s="259">
        <v>0</v>
      </c>
      <c r="O116" s="259">
        <v>0</v>
      </c>
      <c r="P116" s="259">
        <v>0</v>
      </c>
    </row>
    <row r="117" spans="1:16" x14ac:dyDescent="0.15">
      <c r="A117" s="212" t="s">
        <v>263</v>
      </c>
      <c r="B117" s="58"/>
      <c r="C117" s="58"/>
      <c r="D117" s="259">
        <v>0</v>
      </c>
      <c r="E117" s="259">
        <v>0</v>
      </c>
      <c r="F117" s="259">
        <v>0</v>
      </c>
      <c r="G117" s="259">
        <v>0</v>
      </c>
      <c r="H117" s="259">
        <v>0</v>
      </c>
      <c r="I117" s="259">
        <v>0</v>
      </c>
      <c r="J117" s="259">
        <v>0</v>
      </c>
      <c r="K117" s="259">
        <v>0</v>
      </c>
      <c r="L117" s="259">
        <v>0</v>
      </c>
      <c r="M117" s="259">
        <v>0</v>
      </c>
      <c r="N117" s="259">
        <v>0</v>
      </c>
      <c r="O117" s="259">
        <v>0</v>
      </c>
      <c r="P117" s="259">
        <v>0</v>
      </c>
    </row>
    <row r="118" spans="1:16" x14ac:dyDescent="0.15">
      <c r="A118" s="60" t="s">
        <v>139</v>
      </c>
      <c r="B118" s="58"/>
      <c r="C118" s="58"/>
      <c r="D118" s="61">
        <f>((D115+D121)/2)*$D$113</f>
        <v>0</v>
      </c>
      <c r="E118" s="61">
        <f t="shared" ref="E118:P118" si="38">((E115+E121)/2)*$D$113</f>
        <v>0</v>
      </c>
      <c r="F118" s="61">
        <f t="shared" si="38"/>
        <v>0</v>
      </c>
      <c r="G118" s="61">
        <f t="shared" si="38"/>
        <v>0</v>
      </c>
      <c r="H118" s="61">
        <f t="shared" si="38"/>
        <v>0</v>
      </c>
      <c r="I118" s="61">
        <f t="shared" si="38"/>
        <v>0</v>
      </c>
      <c r="J118" s="61">
        <f t="shared" si="38"/>
        <v>0</v>
      </c>
      <c r="K118" s="61">
        <f t="shared" si="38"/>
        <v>0</v>
      </c>
      <c r="L118" s="61">
        <f t="shared" si="38"/>
        <v>0</v>
      </c>
      <c r="M118" s="61">
        <f t="shared" si="38"/>
        <v>0</v>
      </c>
      <c r="N118" s="61">
        <f t="shared" si="38"/>
        <v>0</v>
      </c>
      <c r="O118" s="61">
        <f t="shared" si="38"/>
        <v>0</v>
      </c>
      <c r="P118" s="61">
        <f t="shared" si="38"/>
        <v>0</v>
      </c>
    </row>
    <row r="119" spans="1:16" x14ac:dyDescent="0.15">
      <c r="A119" s="214" t="s">
        <v>265</v>
      </c>
      <c r="B119" s="58"/>
      <c r="C119" s="58"/>
      <c r="D119" s="259">
        <v>0</v>
      </c>
      <c r="E119" s="259">
        <v>0</v>
      </c>
      <c r="F119" s="259">
        <v>0</v>
      </c>
      <c r="G119" s="259">
        <v>0</v>
      </c>
      <c r="H119" s="259">
        <v>0</v>
      </c>
      <c r="I119" s="259">
        <v>0</v>
      </c>
      <c r="J119" s="259">
        <v>0</v>
      </c>
      <c r="K119" s="259">
        <v>0</v>
      </c>
      <c r="L119" s="259">
        <v>0</v>
      </c>
      <c r="M119" s="259">
        <v>0</v>
      </c>
      <c r="N119" s="259">
        <v>0</v>
      </c>
      <c r="O119" s="259">
        <v>0</v>
      </c>
      <c r="P119" s="259">
        <v>0</v>
      </c>
    </row>
    <row r="120" spans="1:16" x14ac:dyDescent="0.15">
      <c r="A120" s="62" t="s">
        <v>250</v>
      </c>
      <c r="B120" s="58"/>
      <c r="C120" s="58"/>
      <c r="D120" s="59">
        <f>SUM(D117:D119)</f>
        <v>0</v>
      </c>
      <c r="E120" s="59">
        <f t="shared" ref="E120:P120" si="39">SUM(E117:E119)</f>
        <v>0</v>
      </c>
      <c r="F120" s="59">
        <f t="shared" si="39"/>
        <v>0</v>
      </c>
      <c r="G120" s="59">
        <f t="shared" si="39"/>
        <v>0</v>
      </c>
      <c r="H120" s="59">
        <f t="shared" si="39"/>
        <v>0</v>
      </c>
      <c r="I120" s="59">
        <f t="shared" si="39"/>
        <v>0</v>
      </c>
      <c r="J120" s="59">
        <f t="shared" si="39"/>
        <v>0</v>
      </c>
      <c r="K120" s="59">
        <f t="shared" si="39"/>
        <v>0</v>
      </c>
      <c r="L120" s="59">
        <f t="shared" si="39"/>
        <v>0</v>
      </c>
      <c r="M120" s="59">
        <f t="shared" si="39"/>
        <v>0</v>
      </c>
      <c r="N120" s="59">
        <f t="shared" si="39"/>
        <v>0</v>
      </c>
      <c r="O120" s="59">
        <f t="shared" si="39"/>
        <v>0</v>
      </c>
      <c r="P120" s="59">
        <f t="shared" si="39"/>
        <v>0</v>
      </c>
    </row>
    <row r="121" spans="1:16" ht="14" thickBot="1" x14ac:dyDescent="0.2">
      <c r="A121" s="63" t="s">
        <v>7</v>
      </c>
      <c r="B121" s="33"/>
      <c r="C121" s="33"/>
      <c r="D121" s="64">
        <f>D115+D116-D119</f>
        <v>0</v>
      </c>
      <c r="E121" s="64">
        <f t="shared" ref="E121:P121" si="40">E115+E116-E119</f>
        <v>0</v>
      </c>
      <c r="F121" s="64">
        <f t="shared" si="40"/>
        <v>0</v>
      </c>
      <c r="G121" s="64">
        <f t="shared" si="40"/>
        <v>0</v>
      </c>
      <c r="H121" s="64">
        <f t="shared" si="40"/>
        <v>0</v>
      </c>
      <c r="I121" s="64">
        <f t="shared" si="40"/>
        <v>0</v>
      </c>
      <c r="J121" s="64">
        <f t="shared" si="40"/>
        <v>0</v>
      </c>
      <c r="K121" s="64">
        <f t="shared" si="40"/>
        <v>0</v>
      </c>
      <c r="L121" s="64">
        <f t="shared" si="40"/>
        <v>0</v>
      </c>
      <c r="M121" s="64">
        <f t="shared" si="40"/>
        <v>0</v>
      </c>
      <c r="N121" s="64">
        <f t="shared" si="40"/>
        <v>0</v>
      </c>
      <c r="O121" s="64">
        <f t="shared" si="40"/>
        <v>0</v>
      </c>
      <c r="P121" s="64">
        <f t="shared" si="40"/>
        <v>0</v>
      </c>
    </row>
    <row r="122" spans="1:16" x14ac:dyDescent="0.15">
      <c r="A122" s="210"/>
      <c r="B122" s="201"/>
      <c r="C122" s="201"/>
      <c r="D122" s="201"/>
      <c r="E122" s="201"/>
      <c r="F122" s="201"/>
      <c r="G122" s="201"/>
      <c r="H122" s="201"/>
      <c r="I122" s="201"/>
      <c r="J122" s="201"/>
      <c r="K122" s="201"/>
      <c r="L122" s="201"/>
      <c r="M122" s="201"/>
      <c r="N122" s="201"/>
      <c r="O122" s="201"/>
      <c r="P122" s="201"/>
    </row>
    <row r="123" spans="1:16" ht="20" x14ac:dyDescent="0.2">
      <c r="A123" s="205" t="s">
        <v>249</v>
      </c>
      <c r="B123" s="58"/>
      <c r="C123" s="58"/>
    </row>
    <row r="124" spans="1:16" x14ac:dyDescent="0.15">
      <c r="A124" s="189" t="s">
        <v>243</v>
      </c>
      <c r="B124" s="316" t="s">
        <v>244</v>
      </c>
      <c r="C124" s="316"/>
      <c r="D124" s="316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</row>
    <row r="125" spans="1:16" x14ac:dyDescent="0.15">
      <c r="A125" s="189"/>
      <c r="B125" s="213"/>
      <c r="C125" s="213"/>
      <c r="D125" s="213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</row>
    <row r="126" spans="1:16" x14ac:dyDescent="0.15">
      <c r="A126" s="189"/>
      <c r="B126" s="58"/>
      <c r="C126" s="58"/>
      <c r="D126" s="206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</row>
    <row r="127" spans="1:16" x14ac:dyDescent="0.15">
      <c r="A127" s="57" t="s">
        <v>6</v>
      </c>
      <c r="B127" s="58"/>
      <c r="C127" s="58"/>
      <c r="D127" s="180">
        <f>IF(ISBLANK(HistoricalData!$D$10)=TRUE,HistoricalData!D38,HistoricalData!D101)</f>
        <v>0</v>
      </c>
      <c r="E127" s="59">
        <f>D132</f>
        <v>0</v>
      </c>
      <c r="F127" s="59">
        <f t="shared" ref="F127" si="41">E132</f>
        <v>0</v>
      </c>
      <c r="G127" s="59">
        <f t="shared" ref="G127" si="42">F132</f>
        <v>0</v>
      </c>
      <c r="H127" s="59">
        <f t="shared" ref="H127" si="43">G132</f>
        <v>0</v>
      </c>
      <c r="I127" s="59">
        <f t="shared" ref="I127" si="44">H132</f>
        <v>0</v>
      </c>
      <c r="J127" s="59">
        <f t="shared" ref="J127" si="45">I132</f>
        <v>0</v>
      </c>
      <c r="K127" s="59">
        <f t="shared" ref="K127" si="46">J132</f>
        <v>0</v>
      </c>
      <c r="L127" s="59">
        <f t="shared" ref="L127" si="47">K132</f>
        <v>0</v>
      </c>
      <c r="M127" s="59">
        <f t="shared" ref="M127" si="48">L132</f>
        <v>0</v>
      </c>
      <c r="N127" s="59">
        <f t="shared" ref="N127" si="49">M132</f>
        <v>0</v>
      </c>
      <c r="O127" s="59">
        <f t="shared" ref="O127" si="50">N132</f>
        <v>0</v>
      </c>
      <c r="P127" s="59">
        <f t="shared" ref="P127" si="51">O132</f>
        <v>0</v>
      </c>
    </row>
    <row r="128" spans="1:16" x14ac:dyDescent="0.15">
      <c r="A128" s="212" t="s">
        <v>266</v>
      </c>
      <c r="B128" s="58"/>
      <c r="C128" s="58"/>
      <c r="D128" s="259">
        <v>0</v>
      </c>
      <c r="E128" s="259">
        <v>0</v>
      </c>
      <c r="F128" s="259">
        <v>0</v>
      </c>
      <c r="G128" s="259">
        <v>0</v>
      </c>
      <c r="H128" s="259">
        <v>0</v>
      </c>
      <c r="I128" s="259">
        <v>0</v>
      </c>
      <c r="J128" s="259">
        <v>0</v>
      </c>
      <c r="K128" s="259">
        <v>0</v>
      </c>
      <c r="L128" s="259">
        <v>0</v>
      </c>
      <c r="M128" s="259">
        <v>0</v>
      </c>
      <c r="N128" s="259">
        <v>0</v>
      </c>
      <c r="O128" s="259">
        <v>0</v>
      </c>
      <c r="P128" s="259">
        <v>0</v>
      </c>
    </row>
    <row r="129" spans="1:81" x14ac:dyDescent="0.15">
      <c r="A129" s="212" t="s">
        <v>267</v>
      </c>
      <c r="B129" s="58"/>
      <c r="C129" s="58"/>
      <c r="D129" s="259">
        <v>0</v>
      </c>
      <c r="E129" s="259">
        <v>0</v>
      </c>
      <c r="F129" s="259">
        <v>0</v>
      </c>
      <c r="G129" s="259">
        <v>0</v>
      </c>
      <c r="H129" s="259">
        <v>0</v>
      </c>
      <c r="I129" s="259">
        <v>0</v>
      </c>
      <c r="J129" s="259">
        <v>0</v>
      </c>
      <c r="K129" s="259">
        <v>0</v>
      </c>
      <c r="L129" s="259">
        <v>0</v>
      </c>
      <c r="M129" s="259">
        <v>0</v>
      </c>
      <c r="N129" s="259">
        <v>0</v>
      </c>
      <c r="O129" s="259">
        <v>0</v>
      </c>
      <c r="P129" s="259">
        <v>0</v>
      </c>
    </row>
    <row r="130" spans="1:81" x14ac:dyDescent="0.15">
      <c r="A130" s="214" t="s">
        <v>268</v>
      </c>
      <c r="B130" s="58"/>
      <c r="C130" s="58"/>
      <c r="D130" s="259">
        <v>0</v>
      </c>
      <c r="E130" s="259">
        <v>0</v>
      </c>
      <c r="F130" s="259">
        <v>0</v>
      </c>
      <c r="G130" s="259">
        <v>0</v>
      </c>
      <c r="H130" s="259">
        <v>0</v>
      </c>
      <c r="I130" s="259">
        <v>0</v>
      </c>
      <c r="J130" s="259">
        <v>0</v>
      </c>
      <c r="K130" s="259">
        <v>0</v>
      </c>
      <c r="L130" s="259">
        <v>0</v>
      </c>
      <c r="M130" s="259">
        <v>0</v>
      </c>
      <c r="N130" s="259">
        <v>0</v>
      </c>
      <c r="O130" s="259">
        <v>0</v>
      </c>
      <c r="P130" s="259">
        <v>0</v>
      </c>
    </row>
    <row r="131" spans="1:81" x14ac:dyDescent="0.15">
      <c r="A131" s="62" t="s">
        <v>251</v>
      </c>
      <c r="B131" s="58"/>
      <c r="C131" s="58"/>
      <c r="D131" s="59">
        <f t="shared" ref="D131:P131" si="52">SUM(D129:D130)</f>
        <v>0</v>
      </c>
      <c r="E131" s="59">
        <f t="shared" si="52"/>
        <v>0</v>
      </c>
      <c r="F131" s="59">
        <f t="shared" si="52"/>
        <v>0</v>
      </c>
      <c r="G131" s="59">
        <f t="shared" si="52"/>
        <v>0</v>
      </c>
      <c r="H131" s="59">
        <f t="shared" si="52"/>
        <v>0</v>
      </c>
      <c r="I131" s="59">
        <f t="shared" si="52"/>
        <v>0</v>
      </c>
      <c r="J131" s="59">
        <f t="shared" si="52"/>
        <v>0</v>
      </c>
      <c r="K131" s="59">
        <f t="shared" si="52"/>
        <v>0</v>
      </c>
      <c r="L131" s="59">
        <f t="shared" si="52"/>
        <v>0</v>
      </c>
      <c r="M131" s="59">
        <f t="shared" si="52"/>
        <v>0</v>
      </c>
      <c r="N131" s="59">
        <f t="shared" si="52"/>
        <v>0</v>
      </c>
      <c r="O131" s="59">
        <f t="shared" si="52"/>
        <v>0</v>
      </c>
      <c r="P131" s="59">
        <f t="shared" si="52"/>
        <v>0</v>
      </c>
    </row>
    <row r="132" spans="1:81" ht="14" thickBot="1" x14ac:dyDescent="0.2">
      <c r="A132" s="63" t="s">
        <v>7</v>
      </c>
      <c r="B132" s="33"/>
      <c r="C132" s="33"/>
      <c r="D132" s="64">
        <f t="shared" ref="D132:P132" si="53">D127+D128-D130</f>
        <v>0</v>
      </c>
      <c r="E132" s="64">
        <f t="shared" si="53"/>
        <v>0</v>
      </c>
      <c r="F132" s="64">
        <f t="shared" si="53"/>
        <v>0</v>
      </c>
      <c r="G132" s="64">
        <f t="shared" si="53"/>
        <v>0</v>
      </c>
      <c r="H132" s="64">
        <f t="shared" si="53"/>
        <v>0</v>
      </c>
      <c r="I132" s="64">
        <f t="shared" si="53"/>
        <v>0</v>
      </c>
      <c r="J132" s="64">
        <f t="shared" si="53"/>
        <v>0</v>
      </c>
      <c r="K132" s="64">
        <f t="shared" si="53"/>
        <v>0</v>
      </c>
      <c r="L132" s="64">
        <f t="shared" si="53"/>
        <v>0</v>
      </c>
      <c r="M132" s="64">
        <f t="shared" si="53"/>
        <v>0</v>
      </c>
      <c r="N132" s="64">
        <f t="shared" si="53"/>
        <v>0</v>
      </c>
      <c r="O132" s="64">
        <f t="shared" si="53"/>
        <v>0</v>
      </c>
      <c r="P132" s="64">
        <f t="shared" si="53"/>
        <v>0</v>
      </c>
    </row>
    <row r="133" spans="1:81" ht="14" thickBot="1" x14ac:dyDescent="0.2">
      <c r="A133" s="211"/>
      <c r="B133" s="208"/>
      <c r="C133" s="208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</row>
    <row r="134" spans="1:81" ht="20" x14ac:dyDescent="0.2">
      <c r="A134" s="215" t="s">
        <v>252</v>
      </c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18"/>
      <c r="M134" s="18"/>
      <c r="N134" s="18"/>
      <c r="O134" s="18"/>
      <c r="P134" s="18"/>
    </row>
    <row r="135" spans="1:81" x14ac:dyDescent="0.15">
      <c r="A135" s="65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18"/>
      <c r="M135" s="18"/>
      <c r="N135" s="18"/>
      <c r="O135" s="18"/>
      <c r="P135" s="18"/>
    </row>
    <row r="136" spans="1:81" x14ac:dyDescent="0.15">
      <c r="A136" s="65" t="s">
        <v>270</v>
      </c>
      <c r="B136" s="58"/>
      <c r="C136" s="58"/>
      <c r="D136" s="180">
        <f>IF(ISBLANK(HistoricalData!$D$10)=TRUE,SUM(HistoricalData!D42:D43),SUM(HistoricalData!D105:D106))</f>
        <v>0</v>
      </c>
      <c r="E136" s="59">
        <f t="shared" ref="E136:L136" si="54">D138</f>
        <v>0</v>
      </c>
      <c r="F136" s="59">
        <f t="shared" si="54"/>
        <v>0</v>
      </c>
      <c r="G136" s="59">
        <f t="shared" si="54"/>
        <v>0</v>
      </c>
      <c r="H136" s="59">
        <f>G138</f>
        <v>0</v>
      </c>
      <c r="I136" s="59">
        <f>H138</f>
        <v>0</v>
      </c>
      <c r="J136" s="59">
        <f t="shared" si="54"/>
        <v>0</v>
      </c>
      <c r="K136" s="59">
        <f t="shared" si="54"/>
        <v>0</v>
      </c>
      <c r="L136" s="59">
        <f t="shared" si="54"/>
        <v>0</v>
      </c>
      <c r="M136" s="59">
        <f>L138</f>
        <v>0</v>
      </c>
      <c r="N136" s="59">
        <f>M138</f>
        <v>0</v>
      </c>
      <c r="O136" s="59">
        <f>N138</f>
        <v>0</v>
      </c>
      <c r="P136" s="59">
        <f>O138</f>
        <v>0</v>
      </c>
    </row>
    <row r="137" spans="1:81" x14ac:dyDescent="0.15">
      <c r="A137" s="37" t="s">
        <v>271</v>
      </c>
      <c r="B137" s="30"/>
      <c r="C137" s="30"/>
      <c r="D137" s="261">
        <v>0</v>
      </c>
      <c r="E137" s="261"/>
      <c r="F137" s="261"/>
      <c r="G137" s="261"/>
      <c r="H137" s="261"/>
      <c r="I137" s="261"/>
      <c r="J137" s="261"/>
      <c r="K137" s="261"/>
      <c r="L137" s="262"/>
      <c r="M137" s="262"/>
      <c r="N137" s="262"/>
      <c r="O137" s="262"/>
      <c r="P137" s="262"/>
    </row>
    <row r="138" spans="1:81" s="11" customFormat="1" x14ac:dyDescent="0.15">
      <c r="A138" s="65" t="s">
        <v>272</v>
      </c>
      <c r="B138" s="58"/>
      <c r="C138" s="58"/>
      <c r="D138" s="59">
        <f>D136+D137</f>
        <v>0</v>
      </c>
      <c r="E138" s="59">
        <f t="shared" ref="E138:L138" si="55">E136+E137</f>
        <v>0</v>
      </c>
      <c r="F138" s="59">
        <f t="shared" si="55"/>
        <v>0</v>
      </c>
      <c r="G138" s="59">
        <f t="shared" si="55"/>
        <v>0</v>
      </c>
      <c r="H138" s="59">
        <f t="shared" si="55"/>
        <v>0</v>
      </c>
      <c r="I138" s="59">
        <f t="shared" si="55"/>
        <v>0</v>
      </c>
      <c r="J138" s="59">
        <f t="shared" si="55"/>
        <v>0</v>
      </c>
      <c r="K138" s="59">
        <f t="shared" si="55"/>
        <v>0</v>
      </c>
      <c r="L138" s="59">
        <f t="shared" si="55"/>
        <v>0</v>
      </c>
      <c r="M138" s="59">
        <f>M136+M137</f>
        <v>0</v>
      </c>
      <c r="N138" s="59">
        <f>N136+N137</f>
        <v>0</v>
      </c>
      <c r="O138" s="59">
        <f>O136+O137</f>
        <v>0</v>
      </c>
      <c r="P138" s="59">
        <f>P136+P137</f>
        <v>0</v>
      </c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</row>
    <row r="139" spans="1:81" x14ac:dyDescent="0.15">
      <c r="A139" s="65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18"/>
      <c r="M139" s="18"/>
      <c r="N139" s="18"/>
      <c r="O139" s="18"/>
      <c r="P139" s="18"/>
    </row>
    <row r="140" spans="1:81" x14ac:dyDescent="0.15">
      <c r="A140" s="65" t="s">
        <v>8</v>
      </c>
      <c r="B140" s="58"/>
      <c r="C140" s="58"/>
      <c r="D140" s="232">
        <f>IF(ISBLANK(HistoricalData!$D$10)=TRUE,HistoricalData!D44,HistoricalData!D107)</f>
        <v>0</v>
      </c>
      <c r="E140" s="66">
        <f t="shared" ref="E140:L140" si="56">D144</f>
        <v>0</v>
      </c>
      <c r="F140" s="66">
        <f t="shared" si="56"/>
        <v>2754.1732533157897</v>
      </c>
      <c r="G140" s="66">
        <f t="shared" si="56"/>
        <v>5550.5495592631578</v>
      </c>
      <c r="H140" s="66">
        <f>G144</f>
        <v>8389.1289178421048</v>
      </c>
      <c r="I140" s="66">
        <f>H144</f>
        <v>11269.911329052631</v>
      </c>
      <c r="J140" s="66">
        <f t="shared" si="56"/>
        <v>14192.896792894737</v>
      </c>
      <c r="K140" s="66">
        <f t="shared" si="56"/>
        <v>17158.08530936842</v>
      </c>
      <c r="L140" s="66">
        <f t="shared" si="56"/>
        <v>20165.476878473684</v>
      </c>
      <c r="M140" s="66">
        <f>L144</f>
        <v>23215.071500210528</v>
      </c>
      <c r="N140" s="66">
        <f>M144</f>
        <v>26306.869174578947</v>
      </c>
      <c r="O140" s="66">
        <f>N144</f>
        <v>26306.869174578947</v>
      </c>
      <c r="P140" s="66">
        <f>O144</f>
        <v>26306.869174578947</v>
      </c>
    </row>
    <row r="141" spans="1:81" x14ac:dyDescent="0.15">
      <c r="A141" s="65" t="s">
        <v>9</v>
      </c>
      <c r="B141" s="58"/>
      <c r="C141" s="58"/>
      <c r="D141" s="66">
        <f>Income!F39</f>
        <v>0</v>
      </c>
      <c r="E141" s="66">
        <f>Income!H39</f>
        <v>2754.1732533157897</v>
      </c>
      <c r="F141" s="66">
        <f>Income!J39</f>
        <v>2796.3763059473686</v>
      </c>
      <c r="G141" s="66">
        <f>Income!L39</f>
        <v>2838.5793585789474</v>
      </c>
      <c r="H141" s="66">
        <f>Income!N39</f>
        <v>2880.7824112105263</v>
      </c>
      <c r="I141" s="66">
        <f>Income!P39</f>
        <v>2922.9854638421057</v>
      </c>
      <c r="J141" s="66">
        <f>Income!R39</f>
        <v>2965.1885164736846</v>
      </c>
      <c r="K141" s="66">
        <f>Income!T39</f>
        <v>3007.3915691052634</v>
      </c>
      <c r="L141" s="66">
        <f>Income!V39</f>
        <v>3049.5946217368423</v>
      </c>
      <c r="M141" s="66">
        <f>Income!X39</f>
        <v>3091.7976743684212</v>
      </c>
      <c r="N141" s="66">
        <f>Income!Z39</f>
        <v>0</v>
      </c>
      <c r="O141" s="66">
        <f>Income!AB39</f>
        <v>1.0948042472591623E-13</v>
      </c>
      <c r="P141" s="66">
        <f>Income!AD39</f>
        <v>1.0948042472591623E-13</v>
      </c>
    </row>
    <row r="142" spans="1:81" x14ac:dyDescent="0.15">
      <c r="A142" s="37" t="s">
        <v>84</v>
      </c>
      <c r="B142" s="30"/>
      <c r="C142" s="30"/>
      <c r="D142" s="256">
        <v>0</v>
      </c>
      <c r="E142" s="256">
        <v>0</v>
      </c>
      <c r="F142" s="256">
        <v>0</v>
      </c>
      <c r="G142" s="256">
        <v>0</v>
      </c>
      <c r="H142" s="256">
        <v>0</v>
      </c>
      <c r="I142" s="256">
        <v>0</v>
      </c>
      <c r="J142" s="256">
        <v>0</v>
      </c>
      <c r="K142" s="256">
        <v>0</v>
      </c>
      <c r="L142" s="256">
        <v>0</v>
      </c>
      <c r="M142" s="256">
        <v>0</v>
      </c>
      <c r="N142" s="256">
        <v>0</v>
      </c>
      <c r="O142" s="256">
        <v>0</v>
      </c>
      <c r="P142" s="256">
        <v>0</v>
      </c>
    </row>
    <row r="143" spans="1:81" x14ac:dyDescent="0.15">
      <c r="A143" s="65" t="s">
        <v>10</v>
      </c>
      <c r="B143" s="58"/>
      <c r="C143" s="58"/>
      <c r="D143" s="66">
        <f t="shared" ref="D143:N143" si="57">IF(D141&gt;0,D141*D142,0)</f>
        <v>0</v>
      </c>
      <c r="E143" s="66">
        <f t="shared" si="57"/>
        <v>0</v>
      </c>
      <c r="F143" s="66">
        <f t="shared" si="57"/>
        <v>0</v>
      </c>
      <c r="G143" s="66">
        <f t="shared" si="57"/>
        <v>0</v>
      </c>
      <c r="H143" s="66">
        <f t="shared" si="57"/>
        <v>0</v>
      </c>
      <c r="I143" s="66">
        <f t="shared" si="57"/>
        <v>0</v>
      </c>
      <c r="J143" s="66">
        <f t="shared" si="57"/>
        <v>0</v>
      </c>
      <c r="K143" s="66">
        <f t="shared" si="57"/>
        <v>0</v>
      </c>
      <c r="L143" s="66">
        <f t="shared" si="57"/>
        <v>0</v>
      </c>
      <c r="M143" s="66">
        <f t="shared" si="57"/>
        <v>0</v>
      </c>
      <c r="N143" s="66">
        <f t="shared" si="57"/>
        <v>0</v>
      </c>
      <c r="O143" s="66">
        <f>IF(O141&gt;0,O141*O142,0)</f>
        <v>0</v>
      </c>
      <c r="P143" s="66">
        <f>IF(P141&gt;0,P141*P142,0)</f>
        <v>0</v>
      </c>
    </row>
    <row r="144" spans="1:81" ht="14" thickBot="1" x14ac:dyDescent="0.2">
      <c r="A144" s="63" t="s">
        <v>85</v>
      </c>
      <c r="B144" s="33"/>
      <c r="C144" s="33"/>
      <c r="D144" s="67">
        <f>D140+D141-D143</f>
        <v>0</v>
      </c>
      <c r="E144" s="67">
        <f t="shared" ref="E144:L144" si="58">E140+E141-E143</f>
        <v>2754.1732533157897</v>
      </c>
      <c r="F144" s="67">
        <f t="shared" si="58"/>
        <v>5550.5495592631578</v>
      </c>
      <c r="G144" s="67">
        <f t="shared" si="58"/>
        <v>8389.1289178421048</v>
      </c>
      <c r="H144" s="67">
        <f t="shared" si="58"/>
        <v>11269.911329052631</v>
      </c>
      <c r="I144" s="67">
        <f t="shared" si="58"/>
        <v>14192.896792894737</v>
      </c>
      <c r="J144" s="67">
        <f t="shared" si="58"/>
        <v>17158.08530936842</v>
      </c>
      <c r="K144" s="67">
        <f t="shared" si="58"/>
        <v>20165.476878473684</v>
      </c>
      <c r="L144" s="67">
        <f t="shared" si="58"/>
        <v>23215.071500210528</v>
      </c>
      <c r="M144" s="67">
        <f>M140+M141-M143</f>
        <v>26306.869174578947</v>
      </c>
      <c r="N144" s="67">
        <f>N140+N141-N143</f>
        <v>26306.869174578947</v>
      </c>
      <c r="O144" s="67">
        <f>O140+O141-O143</f>
        <v>26306.869174578947</v>
      </c>
      <c r="P144" s="67">
        <f>P140+P141-P143</f>
        <v>26306.869174578947</v>
      </c>
    </row>
    <row r="145" spans="1:16" x14ac:dyDescent="0.15">
      <c r="A145" s="210"/>
      <c r="B145" s="201"/>
      <c r="C145" s="201"/>
      <c r="D145" s="201"/>
      <c r="E145" s="201"/>
      <c r="F145" s="201"/>
      <c r="G145" s="201"/>
      <c r="H145" s="201"/>
      <c r="I145" s="201"/>
      <c r="J145" s="201"/>
      <c r="K145" s="201"/>
      <c r="L145" s="201"/>
      <c r="M145" s="201"/>
      <c r="N145" s="201"/>
      <c r="O145" s="201"/>
      <c r="P145" s="201"/>
    </row>
    <row r="146" spans="1:16" ht="20" x14ac:dyDescent="0.2">
      <c r="A146" s="200" t="s">
        <v>87</v>
      </c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</row>
    <row r="147" spans="1:16" x14ac:dyDescent="0.15"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</row>
    <row r="148" spans="1:16" x14ac:dyDescent="0.15">
      <c r="A148" s="68" t="s">
        <v>12</v>
      </c>
      <c r="B148" s="18"/>
      <c r="C148" s="18"/>
      <c r="D148" s="263">
        <v>0</v>
      </c>
      <c r="E148" s="263">
        <v>0</v>
      </c>
      <c r="F148" s="263">
        <v>0</v>
      </c>
      <c r="G148" s="263">
        <v>0</v>
      </c>
      <c r="H148" s="263">
        <v>0</v>
      </c>
      <c r="I148" s="263">
        <v>0</v>
      </c>
      <c r="J148" s="263">
        <v>0</v>
      </c>
      <c r="K148" s="263">
        <v>0</v>
      </c>
      <c r="L148" s="263">
        <v>0</v>
      </c>
      <c r="M148" s="263">
        <v>0</v>
      </c>
      <c r="N148" s="263">
        <v>0</v>
      </c>
      <c r="O148" s="263">
        <v>0</v>
      </c>
      <c r="P148" s="263">
        <v>0</v>
      </c>
    </row>
    <row r="149" spans="1:16" x14ac:dyDescent="0.15">
      <c r="A149" s="69"/>
      <c r="B149" s="70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</row>
    <row r="150" spans="1:16" x14ac:dyDescent="0.15">
      <c r="A150" s="221"/>
      <c r="B150" s="222"/>
      <c r="C150" s="201"/>
      <c r="D150" s="201"/>
      <c r="E150" s="201"/>
      <c r="F150" s="201"/>
      <c r="G150" s="201"/>
      <c r="H150" s="201"/>
      <c r="I150" s="201"/>
      <c r="J150" s="201"/>
      <c r="K150" s="201"/>
      <c r="L150" s="201"/>
      <c r="M150" s="201"/>
      <c r="N150" s="201"/>
      <c r="O150" s="201"/>
      <c r="P150" s="201"/>
    </row>
    <row r="151" spans="1:16" ht="20" x14ac:dyDescent="0.2">
      <c r="A151" s="200" t="s">
        <v>295</v>
      </c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</row>
    <row r="152" spans="1:16" x14ac:dyDescent="0.15">
      <c r="A152" s="20" t="s">
        <v>13</v>
      </c>
      <c r="B152" s="18"/>
      <c r="C152" s="18"/>
      <c r="D152" s="262">
        <v>2023</v>
      </c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</row>
    <row r="153" spans="1:16" x14ac:dyDescent="0.15">
      <c r="A153" s="71" t="s">
        <v>0</v>
      </c>
      <c r="B153" s="18" t="s">
        <v>14</v>
      </c>
      <c r="C153" s="18"/>
      <c r="D153" s="18" t="s">
        <v>0</v>
      </c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</row>
    <row r="154" spans="1:16" s="12" customFormat="1" hidden="1" x14ac:dyDescent="0.15">
      <c r="A154" s="217" t="s">
        <v>273</v>
      </c>
      <c r="B154" s="262">
        <v>0</v>
      </c>
      <c r="C154" s="19"/>
      <c r="D154" s="183">
        <f>IF(D1-$D$1&lt;$B$154,IF(ISBLANK(HistoricalData!$D$10)=TRUE,SUM(HistoricalData!$D$19:$D$27)/$B$154,SUM(HistoricalData!$D$82:$D$90)/$B$154),0)</f>
        <v>0</v>
      </c>
      <c r="E154" s="183">
        <f>IF(E1-$D$1&lt;$B$154,IF(ISBLANK(HistoricalData!$D$10)=TRUE,SUM(HistoricalData!$D$19:$D$27)/$B$154,SUM(HistoricalData!$D$82:$D$90)/$B$154),0)</f>
        <v>0</v>
      </c>
      <c r="F154" s="183">
        <f>IF(F1-$D$1&lt;$B$154,IF(ISBLANK(HistoricalData!$D$10)=TRUE,SUM(HistoricalData!$D$19:$D$27)/$B$154,SUM(HistoricalData!$D$82:$D$90)/$B$154),0)</f>
        <v>0</v>
      </c>
      <c r="G154" s="183">
        <f>IF(G1-$D$1&lt;$B$154,IF(ISBLANK(HistoricalData!$D$10)=TRUE,SUM(HistoricalData!$D$19:$D$27)/$B$154,SUM(HistoricalData!$D$82:$D$90)/$B$154),0)</f>
        <v>0</v>
      </c>
      <c r="H154" s="183">
        <f>IF(H1-$D$1&lt;$B$154,IF(ISBLANK(HistoricalData!$D$10)=TRUE,SUM(HistoricalData!$D$19:$D$27)/$B$154,SUM(HistoricalData!$D$82:$D$90)/$B$154),0)</f>
        <v>0</v>
      </c>
      <c r="I154" s="183">
        <f>IF(I1-$D$1&lt;$B$154,IF(ISBLANK(HistoricalData!$D$10)=TRUE,SUM(HistoricalData!$D$19:$D$27)/$B$154,SUM(HistoricalData!$D$82:$D$90)/$B$154),0)</f>
        <v>0</v>
      </c>
      <c r="J154" s="183">
        <f>IF(J1-$D$1&lt;$B$154,IF(ISBLANK(HistoricalData!$D$10)=TRUE,SUM(HistoricalData!$D$19:$D$27)/$B$154,SUM(HistoricalData!$D$82:$D$90)/$B$154),0)</f>
        <v>0</v>
      </c>
      <c r="K154" s="183">
        <f>IF(K1-$D$1&lt;$B$154,IF(ISBLANK(HistoricalData!$D$10)=TRUE,SUM(HistoricalData!$D$19:$D$27)/$B$154,SUM(HistoricalData!$D$82:$D$90)/$B$154),0)</f>
        <v>0</v>
      </c>
      <c r="L154" s="183">
        <f>IF(L1-$D$1&lt;$B$154,IF(ISBLANK(HistoricalData!$D$10)=TRUE,SUM(HistoricalData!$D$19:$D$27)/$B$154,SUM(HistoricalData!$D$82:$D$90)/$B$154),0)</f>
        <v>0</v>
      </c>
      <c r="M154" s="183">
        <f>IF(M1-$D$1&lt;$B$154,IF(ISBLANK(HistoricalData!$D$10)=TRUE,SUM(HistoricalData!$D$19:$D$27)/$B$154,SUM(HistoricalData!$D$82:$D$90)/$B$154),0)</f>
        <v>0</v>
      </c>
      <c r="N154" s="183">
        <f>IF(N1-$D$1&lt;$B$154,IF(ISBLANK(HistoricalData!$D$10)=TRUE,SUM(HistoricalData!$D$19:$D$27)/$B$154,SUM(HistoricalData!$D$82:$D$90)/$B$154),0)</f>
        <v>0</v>
      </c>
      <c r="O154" s="183">
        <f>IF(O1-$D$1&lt;$B$154,IF(ISBLANK(HistoricalData!$D$10)=TRUE,SUM(HistoricalData!$D$19:$D$27)/$B$154,SUM(HistoricalData!$D$82:$D$90)/$B$154),0)</f>
        <v>0</v>
      </c>
      <c r="P154" s="183">
        <f>IF(P1-$D$1&lt;$B$154,IF(ISBLANK(HistoricalData!$D$10)=TRUE,SUM(HistoricalData!$D$19:$D$27)/$B$154,SUM(HistoricalData!$D$82:$D$90)/$B$154),0)</f>
        <v>0</v>
      </c>
    </row>
    <row r="155" spans="1:16" x14ac:dyDescent="0.15">
      <c r="A155" s="72" t="str">
        <f t="shared" ref="A155:A164" si="59">A58</f>
        <v>Building&amp;Equipment Costs of Collection Centers</v>
      </c>
      <c r="B155" s="262">
        <v>10</v>
      </c>
      <c r="C155" s="18"/>
      <c r="D155" s="73">
        <f>IF(AND(D1&gt;=$D$152,(D1-$D$152)&lt;$B$155),SUM(C$58:$D58)/$B$155,0)</f>
        <v>0</v>
      </c>
      <c r="E155" s="73">
        <f>IF(AND(E1&gt;=$D$152,(E1-$D$152)&lt;$B$155),SUM($D$58:D58)/$B$155,0)</f>
        <v>605.46839999999997</v>
      </c>
      <c r="F155" s="73">
        <f>IF(AND(F1&gt;=$D$152,(F1-$D$152)&lt;$B$155),SUM($D$58:E58)/$B$155,0)</f>
        <v>605.46839999999997</v>
      </c>
      <c r="G155" s="73">
        <f>IF(AND(G1&gt;=$D$152,(G1-$D$152)&lt;$B$155),SUM($D$58:F58)/$B$155,0)</f>
        <v>605.46839999999997</v>
      </c>
      <c r="H155" s="73">
        <f>IF(AND(H1&gt;=$D$152,(H1-$D$152)&lt;$B$155),SUM($D$58:G58)/$B$155,0)</f>
        <v>605.46839999999997</v>
      </c>
      <c r="I155" s="73">
        <f>IF(AND(I1&gt;=$D$152,(I1-$D$152)&lt;$B$155),SUM($D$58:H58)/$B$155,0)</f>
        <v>605.46839999999997</v>
      </c>
      <c r="J155" s="73">
        <f>IF(AND(J1&gt;=$D$152,(J1-$D$152)&lt;$B$155),SUM($D$58:I58)/$B$155,0)</f>
        <v>605.46839999999997</v>
      </c>
      <c r="K155" s="73">
        <f>IF(AND(K1&gt;=$D$152,(K1-$D$152)&lt;$B$155),SUM($D$58:J58)/$B$155,0)</f>
        <v>605.46839999999997</v>
      </c>
      <c r="L155" s="73">
        <f>IF(AND(L1&gt;=$D$152,(L1-$D$152)&lt;$B$155),SUM($D$58:K58)/$B$155,0)</f>
        <v>605.46839999999997</v>
      </c>
      <c r="M155" s="73">
        <f>IF(AND(M1&gt;=$D$152,(M1-$D$152)&lt;$B$155),SUM($D$58:L58)/$B$155,0)</f>
        <v>605.46839999999997</v>
      </c>
      <c r="N155" s="73">
        <f>IF(AND(N1&gt;=$D$152,(N1-$D$152)&lt;$B$155),SUM($D$58:M58)/$B$155,0)</f>
        <v>605.46839999999997</v>
      </c>
      <c r="O155" s="73">
        <f>IF(AND(O1&gt;=$D$152,(O1-$D$152)&lt;$B$155),SUM($D$58:N58)/$B$155,0)</f>
        <v>0</v>
      </c>
      <c r="P155" s="73">
        <f>IF(AND(P1&gt;=$D$152,(P1-$D$152)&lt;$B$155),SUM($D$58:O58)/$B$155,0)</f>
        <v>0</v>
      </c>
    </row>
    <row r="156" spans="1:16" x14ac:dyDescent="0.15">
      <c r="A156" s="72" t="str">
        <f t="shared" si="59"/>
        <v>Building&amp;Equipment Costs of Processing Centers</v>
      </c>
      <c r="B156" s="262">
        <v>10</v>
      </c>
      <c r="C156" s="18"/>
      <c r="D156" s="73">
        <f>IF(AND(D1&gt;=$D$152,(D1-$D$152)&lt;$B$156),SUM(C$59:$D59)/$B$156,0)</f>
        <v>0</v>
      </c>
      <c r="E156" s="73">
        <f>IF(AND(E1&gt;=$D$152,(E1-$D$152)&lt;$B$156),SUM($D$59:D59)/$B$156,0)</f>
        <v>203.5719</v>
      </c>
      <c r="F156" s="73">
        <f>IF(AND(F1&gt;=$D$152,(F1-$D$152)&lt;$B$156),SUM($D$59:E59)/$B$156,0)</f>
        <v>203.5719</v>
      </c>
      <c r="G156" s="73">
        <f>IF(AND(G1&gt;=$D$152,(G1-$D$152)&lt;$B$156),SUM($D$59:F59)/$B$156,0)</f>
        <v>203.5719</v>
      </c>
      <c r="H156" s="73">
        <f>IF(AND(H1&gt;=$D$152,(H1-$D$152)&lt;$B$156),SUM($D$59:G59)/$B$156,0)</f>
        <v>203.5719</v>
      </c>
      <c r="I156" s="73">
        <f>IF(AND(I1&gt;=$D$152,(I1-$D$152)&lt;$B$156),SUM($D$59:H59)/$B$156,0)</f>
        <v>203.5719</v>
      </c>
      <c r="J156" s="73">
        <f>IF(AND(J1&gt;=$D$152,(J1-$D$152)&lt;$B$156),SUM($D$59:I59)/$B$156,0)</f>
        <v>203.5719</v>
      </c>
      <c r="K156" s="73">
        <f>IF(AND(K1&gt;=$D$152,(K1-$D$152)&lt;$B$156),SUM($D$59:J59)/$B$156,0)</f>
        <v>203.5719</v>
      </c>
      <c r="L156" s="73">
        <f>IF(AND(L1&gt;=$D$152,(L1-$D$152)&lt;$B$156),SUM($D$59:K59)/$B$156,0)</f>
        <v>203.5719</v>
      </c>
      <c r="M156" s="73">
        <f>IF(AND(M1&gt;=$D$152,(M1-$D$152)&lt;$B$156),SUM($D$59:L59)/$B$156,0)</f>
        <v>203.5719</v>
      </c>
      <c r="N156" s="73">
        <f>IF(AND(N1&gt;=$D$152,(N1-$D$152)&lt;$B$156),SUM($D$59:M59)/$B$156,0)</f>
        <v>203.5719</v>
      </c>
      <c r="O156" s="73">
        <f>IF(AND(O1&gt;=$D$152,(O1-$D$152)&lt;$B$156),SUM($D$59:N59)/$B$156,0)</f>
        <v>0</v>
      </c>
      <c r="P156" s="73">
        <f>IF(AND(P1&gt;=$D$152,(P1-$D$152)&lt;$B$156),SUM($D$59:O59)/$B$156,0)</f>
        <v>0</v>
      </c>
    </row>
    <row r="157" spans="1:16" x14ac:dyDescent="0.15">
      <c r="A157" s="72" t="str">
        <f t="shared" si="59"/>
        <v>Environmental Impact Study Cost</v>
      </c>
      <c r="B157" s="262">
        <v>0</v>
      </c>
      <c r="C157" s="18"/>
      <c r="D157" s="73">
        <f>IF(AND(D1&gt;=$D$152,(D1-$D$152)&lt;$B$157),SUM(C$60:$D60)/$B$157,0)</f>
        <v>0</v>
      </c>
      <c r="E157" s="73">
        <f>IF(AND(E1&gt;=$D$152,(E1-$D$152)&lt;$B$157),SUM($D$60:D60)/$B$157,0)</f>
        <v>0</v>
      </c>
      <c r="F157" s="73">
        <f>IF(AND(F1&gt;=$D$152,(F1-$D$152)&lt;$B$157),SUM($D$60:E60)/$B$157,0)</f>
        <v>0</v>
      </c>
      <c r="G157" s="73">
        <f>IF(AND(G1&gt;=$D$152,(G1-$D$152)&lt;$B$157),SUM($D$60:F60)/$B$157,0)</f>
        <v>0</v>
      </c>
      <c r="H157" s="73">
        <f>IF(AND(H1&gt;=$D$152,(H1-$D$152)&lt;$B$157),SUM($D$60:G60)/$B$157,0)</f>
        <v>0</v>
      </c>
      <c r="I157" s="73">
        <f>IF(AND(I1&gt;=$D$152,(I1-$D$152)&lt;$B$157),SUM($D$60:H60)/$B$157,0)</f>
        <v>0</v>
      </c>
      <c r="J157" s="73">
        <f>IF(AND(J1&gt;=$D$152,(J1-$D$152)&lt;$B$157),SUM($D$60:I60)/$B$157,0)</f>
        <v>0</v>
      </c>
      <c r="K157" s="73">
        <f>IF(AND(K1&gt;=$D$152,(K1-$D$152)&lt;$B$157),SUM($D$60:J60)/$B$157,0)</f>
        <v>0</v>
      </c>
      <c r="L157" s="73">
        <f>IF(AND(L1&gt;=$D$152,(L1-$D$152)&lt;$B$157),SUM($D$60:K60)/$B$157,0)</f>
        <v>0</v>
      </c>
      <c r="M157" s="73">
        <f>IF(AND(M1&gt;=$D$152,(M1-$D$152)&lt;$B$157),SUM($D$60:L60)/$B$157,0)</f>
        <v>0</v>
      </c>
      <c r="N157" s="73">
        <f>IF(AND(N1&gt;=$D$152,(N1-$D$152)&lt;$B$157),SUM($D$60:M60)/$B$157,0)</f>
        <v>0</v>
      </c>
      <c r="O157" s="73">
        <f>IF(AND(O1&gt;=$D$152,(O1-$D$152)&lt;$B$157),SUM($D$60:N60)/$B$157,0)</f>
        <v>0</v>
      </c>
      <c r="P157" s="73">
        <f>IF(AND(P1&gt;=$D$152,(P1-$D$152)&lt;$B$157),SUM($D$60:O60)/$B$157,0)</f>
        <v>0</v>
      </c>
    </row>
    <row r="158" spans="1:16" x14ac:dyDescent="0.15">
      <c r="A158" s="72" t="str">
        <f t="shared" si="59"/>
        <v>Development of the constitution and bylaws of texts training, registration cost of the COOP-CA cooperative society</v>
      </c>
      <c r="B158" s="262">
        <v>0</v>
      </c>
      <c r="C158" s="18"/>
      <c r="D158" s="73">
        <f>IF(AND(D1&gt;=$D$152,(D1-$D$152)&lt;$B$158),SUM(C$61:$D61)/$B$158,0)</f>
        <v>0</v>
      </c>
      <c r="E158" s="73">
        <f>IF(AND(E1&gt;=$D$152,(E1-$D$152)&lt;$B$158),SUM($D$61:D61)/$B$158,0)</f>
        <v>0</v>
      </c>
      <c r="F158" s="73">
        <f>IF(AND(F1&gt;=$D$152,(F1-$D$152)&lt;$B$158),SUM($D$61:E61)/$B$158,0)</f>
        <v>0</v>
      </c>
      <c r="G158" s="73">
        <f>IF(AND(G1&gt;=$D$152,(G1-$D$152)&lt;$B$158),SUM($D$61:F61)/$B$158,0)</f>
        <v>0</v>
      </c>
      <c r="H158" s="73">
        <f>IF(AND(H1&gt;=$D$152,(H1-$D$152)&lt;$B$158),SUM($D$61:G61)/$B$158,0)</f>
        <v>0</v>
      </c>
      <c r="I158" s="73">
        <f>IF(AND(I1&gt;=$D$152,(I1-$D$152)&lt;$B$158),SUM($D$61:H61)/$B$158,0)</f>
        <v>0</v>
      </c>
      <c r="J158" s="73">
        <f>IF(AND(J1&gt;=$D$152,(J1-$D$152)&lt;$B$158),SUM($D$61:I61)/$B$158,0)</f>
        <v>0</v>
      </c>
      <c r="K158" s="73">
        <f>IF(AND(K1&gt;=$D$152,(K1-$D$152)&lt;$B$158),SUM($D$61:J61)/$B$158,0)</f>
        <v>0</v>
      </c>
      <c r="L158" s="73">
        <f>IF(AND(L1&gt;=$D$152,(L1-$D$152)&lt;$B$158),SUM($D$61:K61)/$B$158,0)</f>
        <v>0</v>
      </c>
      <c r="M158" s="73">
        <f>IF(AND(M1&gt;=$D$152,(M1-$D$152)&lt;$B$158),SUM($D$61:L61)/$B$158,0)</f>
        <v>0</v>
      </c>
      <c r="N158" s="73">
        <f>IF(AND(N1&gt;=$D$152,(N1-$D$152)&lt;$B$158),SUM($D$61:M61)/$B$158,0)</f>
        <v>0</v>
      </c>
      <c r="O158" s="73">
        <f>IF(AND(O1&gt;=$D$152,(O1-$D$152)&lt;$B$158),SUM($D$61:N61)/$B$158,0)</f>
        <v>0</v>
      </c>
      <c r="P158" s="73">
        <f>IF(AND(P1&gt;=$D$152,(P1-$D$152)&lt;$B$158),SUM($D$61:O61)/$B$158,0)</f>
        <v>0</v>
      </c>
    </row>
    <row r="159" spans="1:16" x14ac:dyDescent="0.15">
      <c r="A159" s="72" t="str">
        <f t="shared" si="59"/>
        <v>Office equipment and furniture</v>
      </c>
      <c r="B159" s="262">
        <v>10</v>
      </c>
      <c r="C159" s="18"/>
      <c r="D159" s="73">
        <f>IF(AND(D1&gt;=$D$152,(D1-$D$152)&lt;$B$159),SUM(C$62:$D62)/$B$159,0)</f>
        <v>0</v>
      </c>
      <c r="E159" s="73">
        <f>IF(AND(E1&gt;=$D$152,(E1-$D$152)&lt;$B$159),SUM($D$62:D62)/$B$159,0)</f>
        <v>8.1</v>
      </c>
      <c r="F159" s="73">
        <f>IF(AND(F1&gt;=$D$152,(F1-$D$152)&lt;$B$159),SUM($D$62:E62)/$B$159,0)</f>
        <v>8.1</v>
      </c>
      <c r="G159" s="73">
        <f>IF(AND(G1&gt;=$D$152,(G1-$D$152)&lt;$B$159),SUM($D$62:F62)/$B$159,0)</f>
        <v>8.1</v>
      </c>
      <c r="H159" s="73">
        <f>IF(AND(H1&gt;=$D$152,(H1-$D$152)&lt;$B$159),SUM($D$62:G62)/$B$159,0)</f>
        <v>8.1</v>
      </c>
      <c r="I159" s="73">
        <f>IF(AND(I1&gt;=$D$152,(I1-$D$152)&lt;$B$159),SUM($D$62:H62)/$B$159,0)</f>
        <v>8.1</v>
      </c>
      <c r="J159" s="73">
        <f>IF(AND(J1&gt;=$D$152,(J1-$D$152)&lt;$B$159),SUM($D$62:I62)/$B$159,0)</f>
        <v>8.1</v>
      </c>
      <c r="K159" s="73">
        <f>IF(AND(K1&gt;=$D$152,(K1-$D$152)&lt;$B$159),SUM($D$62:J62)/$B$159,0)</f>
        <v>8.1</v>
      </c>
      <c r="L159" s="73">
        <f>IF(AND(L1&gt;=$D$152,(L1-$D$152)&lt;$B$159),SUM($D$62:K62)/$B$159,0)</f>
        <v>8.1</v>
      </c>
      <c r="M159" s="73">
        <f>IF(AND(M1&gt;=$D$152,(M1-$D$152)&lt;$B$159),SUM($D$62:L62)/$B$159,0)</f>
        <v>8.1</v>
      </c>
      <c r="N159" s="73">
        <f>IF(AND(N1&gt;=$D$152,(N1-$D$152)&lt;$B$159),SUM($D$62:M62)/$B$159,0)</f>
        <v>8.1</v>
      </c>
      <c r="O159" s="73">
        <f>IF(AND(O1&gt;=$D$152,(O1-$D$152)&lt;$B$159),SUM($D$62:N62)/$B$159,0)</f>
        <v>0</v>
      </c>
      <c r="P159" s="73">
        <f>IF(AND(P1&gt;=$D$152,(P1-$D$152)&lt;$B$159),SUM($D$62:O62)/$B$159,0)</f>
        <v>0</v>
      </c>
    </row>
    <row r="160" spans="1:16" x14ac:dyDescent="0.15">
      <c r="A160" s="72" t="str">
        <f t="shared" si="59"/>
        <v>Computer equipment and accessories (printer, internet key) + facilities</v>
      </c>
      <c r="B160" s="262">
        <v>10</v>
      </c>
      <c r="C160" s="18"/>
      <c r="D160" s="73">
        <f>IF(AND(D1&gt;=$D$152,(D1-$D$152)&lt;$B$160),SUM(C$63:$D63)/$B$160,0)</f>
        <v>0</v>
      </c>
      <c r="E160" s="73">
        <f>IF(AND(E1&gt;=$D$152,(E1-$D$152)&lt;$B$160),SUM($D$63:D63)/$B$160,0)</f>
        <v>1.89</v>
      </c>
      <c r="F160" s="73">
        <f>IF(AND(F1&gt;=$D$152,(F1-$D$152)&lt;$B$160),SUM($D$63:E63)/$B$160,0)</f>
        <v>1.89</v>
      </c>
      <c r="G160" s="73">
        <f>IF(AND(G1&gt;=$D$152,(G1-$D$152)&lt;$B$160),SUM($D$63:F63)/$B$160,0)</f>
        <v>1.89</v>
      </c>
      <c r="H160" s="73">
        <f>IF(AND(H1&gt;=$D$152,(H1-$D$152)&lt;$B$160),SUM($D$63:G63)/$B$160,0)</f>
        <v>1.89</v>
      </c>
      <c r="I160" s="73">
        <f>IF(AND(I1&gt;=$D$152,(I1-$D$152)&lt;$B$160),SUM($D$63:H63)/$B$160,0)</f>
        <v>1.89</v>
      </c>
      <c r="J160" s="73">
        <f>IF(AND(J1&gt;=$D$152,(J1-$D$152)&lt;$B$160),SUM($D$63:I63)/$B$160,0)</f>
        <v>1.89</v>
      </c>
      <c r="K160" s="73">
        <f>IF(AND(K1&gt;=$D$152,(K1-$D$152)&lt;$B$160),SUM($D$63:J63)/$B$160,0)</f>
        <v>1.89</v>
      </c>
      <c r="L160" s="73">
        <f>IF(AND(L1&gt;=$D$152,(L1-$D$152)&lt;$B$160),SUM($D$63:K63)/$B$160,0)</f>
        <v>1.89</v>
      </c>
      <c r="M160" s="73">
        <f>IF(AND(M1&gt;=$D$152,(M1-$D$152)&lt;$B$160),SUM($D$63:L63)/$B$160,0)</f>
        <v>1.89</v>
      </c>
      <c r="N160" s="73">
        <f>IF(AND(N1&gt;=$D$152,(N1-$D$152)&lt;$B$160),SUM($D$63:M63)/$B$160,0)</f>
        <v>1.89</v>
      </c>
      <c r="O160" s="73">
        <f>IF(AND(O1&gt;=$D$152,(O1-$D$152)&lt;$B$160),SUM($D$63:N63)/$B$160,0)</f>
        <v>0</v>
      </c>
      <c r="P160" s="73">
        <f>IF(AND(P1&gt;=$D$152,(P1-$D$152)&lt;$B$160),SUM($D$63:O63)/$B$160,0)</f>
        <v>0</v>
      </c>
    </row>
    <row r="161" spans="1:16" s="12" customFormat="1" x14ac:dyDescent="0.15">
      <c r="A161" s="72" t="str">
        <f t="shared" si="59"/>
        <v>Start-up costs</v>
      </c>
      <c r="B161" s="262">
        <v>0</v>
      </c>
      <c r="C161" s="18"/>
      <c r="D161" s="73">
        <f>IF(AND(D1&gt;=$D$152,(D1-$D$152)&lt;$B$161),SUM(C$64:$D64)/$B$161,0)</f>
        <v>0</v>
      </c>
      <c r="E161" s="73">
        <f>IF(AND(E1&gt;=$D$152,(E1-$D$152)&lt;$B$161),SUM($D$64:D64)/$B$161,0)</f>
        <v>0</v>
      </c>
      <c r="F161" s="73">
        <f>IF(AND(F1&gt;=$D$152,(F1-$D$152)&lt;$B$161),SUM($D$64:E64)/$B$161,0)</f>
        <v>0</v>
      </c>
      <c r="G161" s="73">
        <f>IF(AND(G1&gt;=$D$152,(G1-$D$152)&lt;$B$161),SUM($D$64:F64)/$B$161,0)</f>
        <v>0</v>
      </c>
      <c r="H161" s="73">
        <f>IF(AND(H1&gt;=$D$152,(H1-$D$152)&lt;$B$161),SUM($D$64:G64)/$B$161,0)</f>
        <v>0</v>
      </c>
      <c r="I161" s="73">
        <f>IF(AND(I1&gt;=$D$152,(I1-$D$152)&lt;$B$161),SUM($D$64:H64)/$B$161,0)</f>
        <v>0</v>
      </c>
      <c r="J161" s="73">
        <f>IF(AND(J1&gt;=$D$152,(J1-$D$152)&lt;$B$161),SUM($D$64:I64)/$B$161,0)</f>
        <v>0</v>
      </c>
      <c r="K161" s="73">
        <f>IF(AND(K1&gt;=$D$152,(K1-$D$152)&lt;$B$161),SUM($D$64:J64)/$B$161,0)</f>
        <v>0</v>
      </c>
      <c r="L161" s="73">
        <f>IF(AND(L1&gt;=$D$152,(L1-$D$152)&lt;$B$161),SUM($D$64:K64)/$B$161,0)</f>
        <v>0</v>
      </c>
      <c r="M161" s="73">
        <f>IF(AND(M1&gt;=$D$152,(M1-$D$152)&lt;$B$161),SUM($D$64:L64)/$B$161,0)</f>
        <v>0</v>
      </c>
      <c r="N161" s="73">
        <f>IF(AND(N1&gt;=$D$152,(N1-$D$152)&lt;$B$161),SUM($D$64:M64)/$B$161,0)</f>
        <v>0</v>
      </c>
      <c r="O161" s="73">
        <f>IF(AND(O1&gt;=$D$152,(O1-$D$152)&lt;$B$161),SUM($D$64:N64)/$B$161,0)</f>
        <v>0</v>
      </c>
      <c r="P161" s="73">
        <f>IF(AND(P1&gt;=$D$152,(P1-$D$152)&lt;$B$161),SUM($D$64:O64)/$B$161,0)</f>
        <v>0</v>
      </c>
    </row>
    <row r="162" spans="1:16" s="12" customFormat="1" x14ac:dyDescent="0.15">
      <c r="A162" s="72" t="str">
        <f t="shared" si="59"/>
        <v>Initial procurement (to be deducted from 1st year)</v>
      </c>
      <c r="B162" s="262">
        <v>0</v>
      </c>
      <c r="C162" s="18"/>
      <c r="D162" s="73">
        <f>IF(AND(D1&gt;=$D$152,(D1-$D$152)&lt;$B$162),SUM(C$65:$D65)/$B$162,0)</f>
        <v>0</v>
      </c>
      <c r="E162" s="73">
        <f>IF(AND(E1&gt;=$D$152,(E1-$D$152)&lt;$B$162),SUM($D$65:D65)/$B$162,0)</f>
        <v>0</v>
      </c>
      <c r="F162" s="73">
        <f>IF(AND(F1&gt;=$D$152,(F1-$D$152)&lt;$B$162),SUM($D$65:E65)/$B$162,0)</f>
        <v>0</v>
      </c>
      <c r="G162" s="73">
        <f>IF(AND(G1&gt;=$D$152,(G1-$D$152)&lt;$B$162),SUM($D$65:F65)/$B$162,0)</f>
        <v>0</v>
      </c>
      <c r="H162" s="73">
        <f>IF(AND(H1&gt;=$D$152,(H1-$D$152)&lt;$B$162),SUM($D$65:G65)/$B$162,0)</f>
        <v>0</v>
      </c>
      <c r="I162" s="73">
        <f>IF(AND(I1&gt;=$D$152,(I1-$D$152)&lt;$B$162),SUM($D$65:H65)/$B$162,0)</f>
        <v>0</v>
      </c>
      <c r="J162" s="73">
        <f>IF(AND(J1&gt;=$D$152,(J1-$D$152)&lt;$B$162),SUM($D$65:I65)/$B$162,0)</f>
        <v>0</v>
      </c>
      <c r="K162" s="73">
        <f>IF(AND(K1&gt;=$D$152,(K1-$D$152)&lt;$B$162),SUM($D$65:J65)/$B$162,0)</f>
        <v>0</v>
      </c>
      <c r="L162" s="73">
        <f>IF(AND(L1&gt;=$D$152,(L1-$D$152)&lt;$B$162),SUM($D$65:K65)/$B$162,0)</f>
        <v>0</v>
      </c>
      <c r="M162" s="73">
        <f>IF(AND(M1&gt;=$D$152,(M1-$D$152)&lt;$B$162),SUM($D$65:L65)/$B$162,0)</f>
        <v>0</v>
      </c>
      <c r="N162" s="73">
        <f>IF(AND(N1&gt;=$D$152,(N1-$D$152)&lt;$B$162),SUM($D$65:M65)/$B$162,0)</f>
        <v>0</v>
      </c>
      <c r="O162" s="73">
        <f>IF(AND(O1&gt;=$D$152,(O1-$D$152)&lt;$B$162),SUM($D$65:N65)/$B$162,0)</f>
        <v>0</v>
      </c>
      <c r="P162" s="73">
        <f>IF(AND(P1&gt;=$D$152,(P1-$D$152)&lt;$B$162),SUM($D$65:O65)/$B$162,0)</f>
        <v>0</v>
      </c>
    </row>
    <row r="163" spans="1:16" s="12" customFormat="1" x14ac:dyDescent="0.15">
      <c r="A163" s="72" t="str">
        <f t="shared" si="59"/>
        <v>Software and Training</v>
      </c>
      <c r="B163" s="262">
        <v>0</v>
      </c>
      <c r="C163" s="18"/>
      <c r="D163" s="73">
        <f>IF(AND(D1&gt;=$D$152,(D1-$D$152)&lt;$B$163),SUM(C$66:$D66)/$B$163,0)</f>
        <v>0</v>
      </c>
      <c r="E163" s="73">
        <f>IF(AND(E1&gt;=$D$152,(E1-$D$152)&lt;$B$163),SUM($D$66:D66)/$B$163,0)</f>
        <v>0</v>
      </c>
      <c r="F163" s="73">
        <f>IF(AND(F1&gt;=$D$152,(F1-$D$152)&lt;$B$163),SUM($D$66:E66)/$B$163,0)</f>
        <v>0</v>
      </c>
      <c r="G163" s="73">
        <f>IF(AND(G1&gt;=$D$152,(G1-$D$152)&lt;$B$163),SUM($D$66:F66)/$B$163,0)</f>
        <v>0</v>
      </c>
      <c r="H163" s="73">
        <f>IF(AND(H1&gt;=$D$152,(H1-$D$152)&lt;$B$163),SUM($D$66:G66)/$B$163,0)</f>
        <v>0</v>
      </c>
      <c r="I163" s="73">
        <f>IF(AND(I1&gt;=$D$152,(I1-$D$152)&lt;$B$163),SUM($D$66:H66)/$B$163,0)</f>
        <v>0</v>
      </c>
      <c r="J163" s="73">
        <f>IF(AND(J1&gt;=$D$152,(J1-$D$152)&lt;$B$163),SUM($D$66:I66)/$B$163,0)</f>
        <v>0</v>
      </c>
      <c r="K163" s="73">
        <f>IF(AND(K1&gt;=$D$152,(K1-$D$152)&lt;$B$163),SUM($D$66:J66)/$B$163,0)</f>
        <v>0</v>
      </c>
      <c r="L163" s="73">
        <f>IF(AND(L1&gt;=$D$152,(L1-$D$152)&lt;$B$163),SUM($D$66:K66)/$B$163,0)</f>
        <v>0</v>
      </c>
      <c r="M163" s="73">
        <f>IF(AND(M1&gt;=$D$152,(M1-$D$152)&lt;$B$163),SUM($D$66:L66)/$B$163,0)</f>
        <v>0</v>
      </c>
      <c r="N163" s="73">
        <f>IF(AND(N1&gt;=$D$152,(N1-$D$152)&lt;$B$163),SUM($D$66:M66)/$B$163,0)</f>
        <v>0</v>
      </c>
      <c r="O163" s="73">
        <f>IF(AND(O1&gt;=$D$152,(O1-$D$152)&lt;$B$163),SUM($D$66:N66)/$B$163,0)</f>
        <v>0</v>
      </c>
      <c r="P163" s="73">
        <f>IF(AND(P1&gt;=$D$152,(P1-$D$152)&lt;$B$163),SUM($D$66:O66)/$B$163,0)</f>
        <v>0</v>
      </c>
    </row>
    <row r="164" spans="1:16" s="12" customFormat="1" x14ac:dyDescent="0.15">
      <c r="A164" s="72" t="str">
        <f t="shared" si="59"/>
        <v>Loan Proccesing Fee</v>
      </c>
      <c r="B164" s="262">
        <v>0</v>
      </c>
      <c r="C164" s="18"/>
      <c r="D164" s="73">
        <f>IF(AND(D1&gt;=$D$152,(D1-$D$152)&lt;$B$164),SUM(C$67:$D67)/$B$164,0)</f>
        <v>0</v>
      </c>
      <c r="E164" s="73">
        <f>IF(AND(E1&gt;=$D$152,(E1-$D$152)&lt;$B$164),SUM($D$67:D67)/$B$164,0)</f>
        <v>0</v>
      </c>
      <c r="F164" s="73">
        <f>IF(AND(F1&gt;=$D$152,(F1-$D$152)&lt;$B$164),SUM($D$67:E67)/$B$164,0)</f>
        <v>0</v>
      </c>
      <c r="G164" s="73">
        <f>IF(AND(G1&gt;=$D$152,(G1-$D$152)&lt;$B$164),SUM($D$67:F67)/$B$164,0)</f>
        <v>0</v>
      </c>
      <c r="H164" s="73">
        <f>IF(AND(H1&gt;=$D$152,(H1-$D$152)&lt;$B$164),SUM($D$67:G67)/$B$164,0)</f>
        <v>0</v>
      </c>
      <c r="I164" s="73">
        <f>IF(AND(I1&gt;=$D$152,(I1-$D$152)&lt;$B$164),SUM($D$67:H67)/$B$164,0)</f>
        <v>0</v>
      </c>
      <c r="J164" s="73">
        <f>IF(AND(J1&gt;=$D$152,(J1-$D$152)&lt;$B$164),SUM($D$67:I67)/$B$164,0)</f>
        <v>0</v>
      </c>
      <c r="K164" s="73">
        <f>IF(AND(K1&gt;=$D$152,(K1-$D$152)&lt;$B$164),SUM($D$67:J67)/$B$164,0)</f>
        <v>0</v>
      </c>
      <c r="L164" s="73">
        <f>IF(AND(L1&gt;=$D$152,(L1-$D$152)&lt;$B$164),SUM($D$67:K67)/$B$164,0)</f>
        <v>0</v>
      </c>
      <c r="M164" s="73">
        <f>IF(AND(M1&gt;=$D$152,(M1-$D$152)&lt;$B$164),SUM($D$67:L67)/$B$164,0)</f>
        <v>0</v>
      </c>
      <c r="N164" s="73">
        <f>IF(AND(N1&gt;=$D$152,(N1-$D$152)&lt;$B$164),SUM($D$67:M67)/$B$164,0)</f>
        <v>0</v>
      </c>
      <c r="O164" s="73">
        <f>IF(AND(O1&gt;=$D$152,(O1-$D$152)&lt;$B$164),SUM($D$67:N67)/$B$164,0)</f>
        <v>0</v>
      </c>
      <c r="P164" s="73">
        <f>IF(AND(P1&gt;=$D$152,(P1-$D$152)&lt;$B$164),SUM($D$67:O67)/$B$164,0)</f>
        <v>0</v>
      </c>
    </row>
    <row r="165" spans="1:16" x14ac:dyDescent="0.15">
      <c r="A165" s="32" t="s">
        <v>15</v>
      </c>
      <c r="B165" s="18"/>
      <c r="C165" s="18"/>
      <c r="D165" s="73">
        <f>SUM(D154:D164)</f>
        <v>0</v>
      </c>
      <c r="E165" s="73">
        <f t="shared" ref="E165:P165" si="60">SUM(E154:E164)</f>
        <v>819.03030000000001</v>
      </c>
      <c r="F165" s="73">
        <f t="shared" si="60"/>
        <v>819.03030000000001</v>
      </c>
      <c r="G165" s="73">
        <f t="shared" si="60"/>
        <v>819.03030000000001</v>
      </c>
      <c r="H165" s="73">
        <f t="shared" si="60"/>
        <v>819.03030000000001</v>
      </c>
      <c r="I165" s="73">
        <f t="shared" si="60"/>
        <v>819.03030000000001</v>
      </c>
      <c r="J165" s="73">
        <f t="shared" si="60"/>
        <v>819.03030000000001</v>
      </c>
      <c r="K165" s="73">
        <f t="shared" si="60"/>
        <v>819.03030000000001</v>
      </c>
      <c r="L165" s="73">
        <f t="shared" si="60"/>
        <v>819.03030000000001</v>
      </c>
      <c r="M165" s="73">
        <f t="shared" si="60"/>
        <v>819.03030000000001</v>
      </c>
      <c r="N165" s="73">
        <f t="shared" si="60"/>
        <v>819.03030000000001</v>
      </c>
      <c r="O165" s="73">
        <f t="shared" si="60"/>
        <v>0</v>
      </c>
      <c r="P165" s="73">
        <f t="shared" si="60"/>
        <v>0</v>
      </c>
    </row>
    <row r="166" spans="1:16" x14ac:dyDescent="0.15">
      <c r="A166" s="202"/>
      <c r="B166" s="201"/>
      <c r="C166" s="201"/>
      <c r="D166" s="201"/>
      <c r="E166" s="201"/>
      <c r="F166" s="201"/>
      <c r="G166" s="201"/>
      <c r="H166" s="201"/>
      <c r="I166" s="201"/>
      <c r="J166" s="201"/>
      <c r="K166" s="201"/>
      <c r="L166" s="201"/>
      <c r="M166" s="201"/>
      <c r="N166" s="201"/>
      <c r="O166" s="201"/>
      <c r="P166" s="201"/>
    </row>
    <row r="167" spans="1:16" ht="20" x14ac:dyDescent="0.2">
      <c r="A167" s="267" t="s">
        <v>296</v>
      </c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</row>
    <row r="168" spans="1:16" x14ac:dyDescent="0.15">
      <c r="A168" s="74" t="s">
        <v>17</v>
      </c>
      <c r="B168" s="19"/>
      <c r="C168" s="19"/>
      <c r="D168" s="262">
        <v>0</v>
      </c>
      <c r="E168" s="262">
        <v>0</v>
      </c>
      <c r="F168" s="262">
        <v>0</v>
      </c>
      <c r="G168" s="262">
        <v>0</v>
      </c>
      <c r="H168" s="262">
        <v>0</v>
      </c>
      <c r="I168" s="262">
        <v>0</v>
      </c>
      <c r="J168" s="262">
        <v>0</v>
      </c>
      <c r="K168" s="262">
        <v>0</v>
      </c>
      <c r="L168" s="262">
        <v>0</v>
      </c>
      <c r="M168" s="262">
        <v>0</v>
      </c>
      <c r="N168" s="262">
        <v>0</v>
      </c>
      <c r="O168" s="262">
        <v>0</v>
      </c>
      <c r="P168" s="262">
        <v>0</v>
      </c>
    </row>
    <row r="169" spans="1:16" x14ac:dyDescent="0.15">
      <c r="A169" s="74" t="s">
        <v>18</v>
      </c>
      <c r="B169" s="19"/>
      <c r="C169" s="19"/>
      <c r="D169" s="262">
        <v>0</v>
      </c>
      <c r="E169" s="262">
        <v>0</v>
      </c>
      <c r="F169" s="262">
        <v>0</v>
      </c>
      <c r="G169" s="262">
        <v>0</v>
      </c>
      <c r="H169" s="262">
        <v>0</v>
      </c>
      <c r="I169" s="262">
        <v>0</v>
      </c>
      <c r="J169" s="262">
        <v>0</v>
      </c>
      <c r="K169" s="262">
        <v>0</v>
      </c>
      <c r="L169" s="262">
        <v>0</v>
      </c>
      <c r="M169" s="262">
        <v>0</v>
      </c>
      <c r="N169" s="262">
        <v>0</v>
      </c>
      <c r="O169" s="262">
        <v>0</v>
      </c>
      <c r="P169" s="262">
        <v>0</v>
      </c>
    </row>
    <row r="170" spans="1:16" x14ac:dyDescent="0.15">
      <c r="A170" s="74" t="s">
        <v>19</v>
      </c>
      <c r="B170" s="19"/>
      <c r="C170" s="19"/>
      <c r="D170" s="262">
        <v>0</v>
      </c>
      <c r="E170" s="262">
        <v>0</v>
      </c>
      <c r="F170" s="262">
        <v>0</v>
      </c>
      <c r="G170" s="262">
        <v>0</v>
      </c>
      <c r="H170" s="262">
        <v>0</v>
      </c>
      <c r="I170" s="262">
        <v>0</v>
      </c>
      <c r="J170" s="262">
        <v>0</v>
      </c>
      <c r="K170" s="262">
        <v>0</v>
      </c>
      <c r="L170" s="262">
        <v>0</v>
      </c>
      <c r="M170" s="262">
        <v>0</v>
      </c>
      <c r="N170" s="262">
        <v>0</v>
      </c>
      <c r="O170" s="262">
        <v>0</v>
      </c>
      <c r="P170" s="262">
        <v>0</v>
      </c>
    </row>
    <row r="171" spans="1:16" x14ac:dyDescent="0.15">
      <c r="A171" s="74" t="s">
        <v>20</v>
      </c>
      <c r="B171" s="19"/>
      <c r="C171" s="19"/>
      <c r="D171" s="262">
        <v>0</v>
      </c>
      <c r="E171" s="262">
        <v>0</v>
      </c>
      <c r="F171" s="262">
        <v>0</v>
      </c>
      <c r="G171" s="262">
        <v>0</v>
      </c>
      <c r="H171" s="262">
        <v>0</v>
      </c>
      <c r="I171" s="262">
        <v>0</v>
      </c>
      <c r="J171" s="262">
        <v>0</v>
      </c>
      <c r="K171" s="262">
        <v>0</v>
      </c>
      <c r="L171" s="262">
        <v>0</v>
      </c>
      <c r="M171" s="262">
        <v>0</v>
      </c>
      <c r="N171" s="262">
        <v>0</v>
      </c>
      <c r="O171" s="262">
        <v>0</v>
      </c>
      <c r="P171" s="262">
        <v>0</v>
      </c>
    </row>
    <row r="172" spans="1:16" ht="14" thickBot="1" x14ac:dyDescent="0.2">
      <c r="A172" s="225"/>
      <c r="B172" s="171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</row>
    <row r="173" spans="1:16" ht="20" x14ac:dyDescent="0.2">
      <c r="A173" s="226" t="s">
        <v>141</v>
      </c>
      <c r="B173" s="127"/>
      <c r="C173" s="127"/>
      <c r="D173" s="127"/>
      <c r="E173" s="128"/>
    </row>
    <row r="174" spans="1:16" x14ac:dyDescent="0.15">
      <c r="A174" s="37" t="s">
        <v>313</v>
      </c>
      <c r="B174" s="129">
        <f>D73</f>
        <v>7494</v>
      </c>
      <c r="C174" s="309">
        <f>B174/B177</f>
        <v>1</v>
      </c>
      <c r="D174" s="131"/>
      <c r="E174" s="131"/>
    </row>
    <row r="175" spans="1:16" x14ac:dyDescent="0.15">
      <c r="A175" s="37" t="s">
        <v>297</v>
      </c>
      <c r="B175" s="129">
        <f>SUM(D104:P104)</f>
        <v>0</v>
      </c>
      <c r="C175" s="130">
        <f>B175/B177</f>
        <v>0</v>
      </c>
      <c r="D175" s="131"/>
      <c r="E175" s="131"/>
    </row>
    <row r="176" spans="1:16" x14ac:dyDescent="0.15">
      <c r="A176" s="138" t="s">
        <v>298</v>
      </c>
      <c r="B176" s="139">
        <f>SUM(D137:P137)+SUM(D128:P128)</f>
        <v>0</v>
      </c>
      <c r="C176" s="140">
        <f>B176/B177</f>
        <v>0</v>
      </c>
      <c r="D176" s="131"/>
      <c r="E176" s="131"/>
    </row>
    <row r="177" spans="1:5" x14ac:dyDescent="0.15">
      <c r="A177" s="133" t="s">
        <v>142</v>
      </c>
      <c r="B177" s="129">
        <f>SUM(B174:B176)</f>
        <v>7494</v>
      </c>
      <c r="C177" s="130">
        <f>SUM(C174:C176)</f>
        <v>1</v>
      </c>
      <c r="D177" s="131"/>
      <c r="E177" s="131"/>
    </row>
    <row r="178" spans="1:5" x14ac:dyDescent="0.15">
      <c r="A178" s="134"/>
      <c r="B178" s="131"/>
      <c r="C178" s="131"/>
      <c r="D178" s="131"/>
      <c r="E178" s="131"/>
    </row>
    <row r="179" spans="1:5" x14ac:dyDescent="0.15">
      <c r="A179" s="135" t="s">
        <v>143</v>
      </c>
      <c r="B179" s="136">
        <f>(((B174)/(B174+B175))*D76)+(((B175)/(B174+B175))*D101)</f>
        <v>5.3499999999999999E-2</v>
      </c>
      <c r="C179" s="131"/>
      <c r="D179" s="131"/>
      <c r="E179" s="131"/>
    </row>
    <row r="180" spans="1:5" x14ac:dyDescent="0.15">
      <c r="A180" s="141" t="s">
        <v>144</v>
      </c>
      <c r="B180" s="264">
        <v>0.2</v>
      </c>
      <c r="C180" s="131"/>
      <c r="D180" s="131"/>
      <c r="E180" s="131"/>
    </row>
    <row r="181" spans="1:5" x14ac:dyDescent="0.15">
      <c r="A181" s="135" t="s">
        <v>145</v>
      </c>
      <c r="B181" s="136">
        <f>C174*B179+C176*B180</f>
        <v>5.3499999999999999E-2</v>
      </c>
      <c r="C181" s="131"/>
      <c r="D181" s="131"/>
      <c r="E181" s="131"/>
    </row>
    <row r="182" spans="1:5" x14ac:dyDescent="0.15">
      <c r="A182" s="131"/>
      <c r="B182" s="131"/>
      <c r="C182" s="131"/>
      <c r="D182" s="131"/>
    </row>
  </sheetData>
  <mergeCells count="6">
    <mergeCell ref="A31:B31"/>
    <mergeCell ref="B100:D100"/>
    <mergeCell ref="B112:D112"/>
    <mergeCell ref="B124:D124"/>
    <mergeCell ref="A29:B29"/>
    <mergeCell ref="A68:B68"/>
  </mergeCells>
  <phoneticPr fontId="0" type="noConversion"/>
  <printOptions horizontalCentered="1" gridLines="1" gridLinesSet="0"/>
  <pageMargins left="0.24" right="0.17" top="0.59" bottom="0.5" header="0.25" footer="0.25"/>
  <pageSetup scale="64" fitToHeight="0" orientation="landscape" cellComments="asDisplayed" r:id="rId1"/>
  <headerFooter alignWithMargins="0">
    <oddHeader>&amp;C&amp;"Times New Roman,Bold"&amp;16Project Assumptions</oddHeader>
    <oddFooter>&amp;L&amp;D &amp;T&amp;CPage &amp;P&amp;R&amp;F</oddFooter>
  </headerFooter>
  <rowBreaks count="3" manualBreakCount="3">
    <brk id="54" max="15" man="1"/>
    <brk id="109" max="15" man="1"/>
    <brk id="165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Drop Down 13">
              <controlPr defaultSize="0" autoLine="0" autoPict="0">
                <anchor moveWithCells="1">
                  <from>
                    <xdr:col>3</xdr:col>
                    <xdr:colOff>12700</xdr:colOff>
                    <xdr:row>3</xdr:row>
                    <xdr:rowOff>139700</xdr:rowOff>
                  </from>
                  <to>
                    <xdr:col>4</xdr:col>
                    <xdr:colOff>368300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defaultSize="0" autoLine="0" autoPict="0">
                <anchor moveWithCells="1">
                  <from>
                    <xdr:col>3</xdr:col>
                    <xdr:colOff>0</xdr:colOff>
                    <xdr:row>9</xdr:row>
                    <xdr:rowOff>101600</xdr:rowOff>
                  </from>
                  <to>
                    <xdr:col>4</xdr:col>
                    <xdr:colOff>368300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defaultSize="0" autoLine="0" autoPict="0">
                <anchor moveWithCells="1">
                  <from>
                    <xdr:col>3</xdr:col>
                    <xdr:colOff>0</xdr:colOff>
                    <xdr:row>15</xdr:row>
                    <xdr:rowOff>139700</xdr:rowOff>
                  </from>
                  <to>
                    <xdr:col>4</xdr:col>
                    <xdr:colOff>368300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defaultSize="0" autoLine="0" autoPict="0">
                <anchor moveWithCells="1">
                  <from>
                    <xdr:col>3</xdr:col>
                    <xdr:colOff>25400</xdr:colOff>
                    <xdr:row>21</xdr:row>
                    <xdr:rowOff>127000</xdr:rowOff>
                  </from>
                  <to>
                    <xdr:col>4</xdr:col>
                    <xdr:colOff>381000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82"/>
  <sheetViews>
    <sheetView workbookViewId="0">
      <selection activeCell="C6" sqref="C6"/>
    </sheetView>
  </sheetViews>
  <sheetFormatPr baseColWidth="10" defaultColWidth="8.83203125" defaultRowHeight="13" x14ac:dyDescent="0.15"/>
  <cols>
    <col min="2" max="2" width="12.33203125" customWidth="1"/>
    <col min="3" max="3" width="16.5" customWidth="1"/>
    <col min="7" max="7" width="12.83203125" customWidth="1"/>
    <col min="8" max="8" width="12.33203125" customWidth="1"/>
    <col min="9" max="9" width="12" customWidth="1"/>
    <col min="10" max="10" width="11.5" customWidth="1"/>
  </cols>
  <sheetData>
    <row r="1" spans="1:10" ht="28" x14ac:dyDescent="0.15">
      <c r="A1" s="99" t="s">
        <v>122</v>
      </c>
      <c r="D1" t="s">
        <v>0</v>
      </c>
      <c r="E1" s="112" t="s">
        <v>123</v>
      </c>
      <c r="F1" s="112" t="s">
        <v>136</v>
      </c>
      <c r="G1" s="112" t="s">
        <v>124</v>
      </c>
      <c r="H1" s="112" t="s">
        <v>125</v>
      </c>
      <c r="I1" s="112" t="s">
        <v>126</v>
      </c>
      <c r="J1" s="112" t="s">
        <v>127</v>
      </c>
    </row>
    <row r="2" spans="1:10" x14ac:dyDescent="0.15">
      <c r="A2" t="s">
        <v>128</v>
      </c>
      <c r="C2" s="113">
        <f>Assumptions!D73</f>
        <v>7494</v>
      </c>
      <c r="E2" s="114">
        <f>C4</f>
        <v>44910</v>
      </c>
      <c r="F2" s="124">
        <f>YEAR(E2)</f>
        <v>2022</v>
      </c>
      <c r="G2" s="115">
        <f>IF(OR(E2&lt;$C$5,E2&gt;$C$6),0,-PMT($C$8/$C$7,$C$9,$C$2))</f>
        <v>0</v>
      </c>
      <c r="H2" s="115">
        <f>YEARFRAC(C3,E2)*C2*C8</f>
        <v>200.46449999999999</v>
      </c>
      <c r="I2" s="115">
        <f>IF($C$5&gt;E2,0,G2-H2)</f>
        <v>0</v>
      </c>
      <c r="J2" s="6">
        <f>$C$2-I2</f>
        <v>7494</v>
      </c>
    </row>
    <row r="3" spans="1:10" x14ac:dyDescent="0.15">
      <c r="A3" t="s">
        <v>129</v>
      </c>
      <c r="C3" s="116">
        <f>Assumptions!D82</f>
        <v>44727</v>
      </c>
      <c r="E3" s="114">
        <f t="shared" ref="E3:E66" si="0">IF($C$7=12,EDATE(E2,1),IF($C$7=4,EDATE(E2,3),IF($C$7=2,EDATE(E2,6),0)))</f>
        <v>45092</v>
      </c>
      <c r="F3" s="124">
        <f t="shared" ref="F3:F66" si="1">YEAR(E3)</f>
        <v>2023</v>
      </c>
      <c r="G3" s="115">
        <f t="shared" ref="G3:G66" si="2">IF(OR(E3&lt;$C$5,E3&gt;$C$6),0,-PMT($C$8/$C$7,$C$9,$C$2))</f>
        <v>508.24948301206103</v>
      </c>
      <c r="H3" s="115">
        <f>IF(OR(E3&lt;$C$5,E3&gt;$C$6),YEARFRAC(E2,E3)*J2*$C$8,($C$2-SUM($I$1:I2))*($C$8/$C$7))</f>
        <v>200.46449999999999</v>
      </c>
      <c r="I3" s="115">
        <f t="shared" ref="I3:I66" si="3">IF($C$5&gt;E3,0,G3-H3)</f>
        <v>307.78498301206105</v>
      </c>
      <c r="J3" s="6">
        <f>J2-I3</f>
        <v>7186.2150169879387</v>
      </c>
    </row>
    <row r="4" spans="1:10" x14ac:dyDescent="0.15">
      <c r="A4" t="s">
        <v>130</v>
      </c>
      <c r="C4" s="116">
        <f>EDATE(C3,12/C7)</f>
        <v>44910</v>
      </c>
      <c r="E4" s="114">
        <f t="shared" si="0"/>
        <v>45275</v>
      </c>
      <c r="F4" s="124">
        <f t="shared" si="1"/>
        <v>2023</v>
      </c>
      <c r="G4" s="115">
        <f t="shared" si="2"/>
        <v>508.24948301206103</v>
      </c>
      <c r="H4" s="115">
        <f>IF(OR(E4&lt;$C$5,E4&gt;$C$6),YEARFRAC(E3,E4)*J3*$C$8,($C$2-SUM($I$1:I3))*($C$8/$C$7))</f>
        <v>192.23125170442736</v>
      </c>
      <c r="I4" s="115">
        <f t="shared" si="3"/>
        <v>316.01823130763364</v>
      </c>
      <c r="J4" s="6">
        <f t="shared" ref="J4:J67" si="4">J3-I4</f>
        <v>6870.1967856803049</v>
      </c>
    </row>
    <row r="5" spans="1:10" x14ac:dyDescent="0.15">
      <c r="A5" t="s">
        <v>131</v>
      </c>
      <c r="C5" s="116">
        <f>Assumptions!D83</f>
        <v>45092</v>
      </c>
      <c r="E5" s="114">
        <f t="shared" si="0"/>
        <v>45458</v>
      </c>
      <c r="F5" s="124">
        <f t="shared" si="1"/>
        <v>2024</v>
      </c>
      <c r="G5" s="115">
        <f t="shared" si="2"/>
        <v>508.24948301206103</v>
      </c>
      <c r="H5" s="115">
        <f>IF(OR(E5&lt;$C$5,E5&gt;$C$6),YEARFRAC(E4,E5)*J4*$C$8,($C$2-SUM($I$1:I4))*($C$8/$C$7))</f>
        <v>183.77776401694817</v>
      </c>
      <c r="I5" s="115">
        <f t="shared" si="3"/>
        <v>324.47171899511284</v>
      </c>
      <c r="J5" s="6">
        <f t="shared" si="4"/>
        <v>6545.7250666851924</v>
      </c>
    </row>
    <row r="6" spans="1:10" x14ac:dyDescent="0.15">
      <c r="A6" t="s">
        <v>132</v>
      </c>
      <c r="C6" s="116">
        <f>Assumptions!D84</f>
        <v>48380</v>
      </c>
      <c r="E6" s="114">
        <f t="shared" si="0"/>
        <v>45641</v>
      </c>
      <c r="F6" s="124">
        <f t="shared" si="1"/>
        <v>2024</v>
      </c>
      <c r="G6" s="115">
        <f t="shared" si="2"/>
        <v>508.24948301206103</v>
      </c>
      <c r="H6" s="115">
        <f>IF(OR(E6&lt;$C$5,E6&gt;$C$6),YEARFRAC(E5,E6)*J5*$C$8,($C$2-SUM($I$1:I5))*($C$8/$C$7))</f>
        <v>175.0981455338289</v>
      </c>
      <c r="I6" s="115">
        <f t="shared" si="3"/>
        <v>333.15133747823211</v>
      </c>
      <c r="J6" s="6">
        <f t="shared" si="4"/>
        <v>6212.5737292069607</v>
      </c>
    </row>
    <row r="7" spans="1:10" x14ac:dyDescent="0.15">
      <c r="A7" t="s">
        <v>133</v>
      </c>
      <c r="C7" s="117">
        <f>Assumptions!D81</f>
        <v>2</v>
      </c>
      <c r="E7" s="114">
        <f t="shared" si="0"/>
        <v>45823</v>
      </c>
      <c r="F7" s="124">
        <f t="shared" si="1"/>
        <v>2025</v>
      </c>
      <c r="G7" s="115">
        <f t="shared" si="2"/>
        <v>508.24948301206103</v>
      </c>
      <c r="H7" s="115">
        <f>IF(OR(E7&lt;$C$5,E7&gt;$C$6),YEARFRAC(E6,E7)*J6*$C$8,($C$2-SUM($I$1:I6))*($C$8/$C$7))</f>
        <v>166.18634725628618</v>
      </c>
      <c r="I7" s="115">
        <f t="shared" si="3"/>
        <v>342.06313575577485</v>
      </c>
      <c r="J7" s="6">
        <f t="shared" si="4"/>
        <v>5870.5105934511857</v>
      </c>
    </row>
    <row r="8" spans="1:10" x14ac:dyDescent="0.15">
      <c r="A8" t="s">
        <v>134</v>
      </c>
      <c r="C8" s="118">
        <f>Assumptions!D76</f>
        <v>5.3499999999999999E-2</v>
      </c>
      <c r="D8" s="7"/>
      <c r="E8" s="114">
        <f t="shared" si="0"/>
        <v>46006</v>
      </c>
      <c r="F8" s="124">
        <f t="shared" si="1"/>
        <v>2025</v>
      </c>
      <c r="G8" s="115">
        <f t="shared" si="2"/>
        <v>508.24948301206103</v>
      </c>
      <c r="H8" s="115">
        <f>IF(OR(E8&lt;$C$5,E8&gt;$C$6),YEARFRAC(E7,E8)*J7*$C$8,($C$2-SUM($I$1:I7))*($C$8/$C$7))</f>
        <v>157.03615837481919</v>
      </c>
      <c r="I8" s="115">
        <f t="shared" si="3"/>
        <v>351.21332463724184</v>
      </c>
      <c r="J8" s="6">
        <f t="shared" si="4"/>
        <v>5519.2972688139434</v>
      </c>
    </row>
    <row r="9" spans="1:10" x14ac:dyDescent="0.15">
      <c r="A9" t="s">
        <v>135</v>
      </c>
      <c r="C9" s="13">
        <f>Assumptions!D85</f>
        <v>19</v>
      </c>
      <c r="D9" s="119"/>
      <c r="E9" s="114">
        <f t="shared" si="0"/>
        <v>46188</v>
      </c>
      <c r="F9" s="124">
        <f t="shared" si="1"/>
        <v>2026</v>
      </c>
      <c r="G9" s="115">
        <f t="shared" si="2"/>
        <v>508.24948301206103</v>
      </c>
      <c r="H9" s="115">
        <f>IF(OR(E9&lt;$C$5,E9&gt;$C$6),YEARFRAC(E8,E9)*J8*$C$8,($C$2-SUM($I$1:I8))*($C$8/$C$7))</f>
        <v>147.64120194077299</v>
      </c>
      <c r="I9" s="115">
        <f t="shared" si="3"/>
        <v>360.60828107128805</v>
      </c>
      <c r="J9" s="6">
        <f t="shared" si="4"/>
        <v>5158.6889877426556</v>
      </c>
    </row>
    <row r="10" spans="1:10" x14ac:dyDescent="0.15">
      <c r="A10" t="s">
        <v>0</v>
      </c>
      <c r="C10" s="120" t="s">
        <v>0</v>
      </c>
      <c r="D10" s="119"/>
      <c r="E10" s="114">
        <f t="shared" si="0"/>
        <v>46371</v>
      </c>
      <c r="F10" s="124">
        <f t="shared" si="1"/>
        <v>2026</v>
      </c>
      <c r="G10" s="115">
        <f t="shared" si="2"/>
        <v>508.24948301206103</v>
      </c>
      <c r="H10" s="115">
        <f>IF(OR(E10&lt;$C$5,E10&gt;$C$6),YEARFRAC(E9,E10)*J9*$C$8,($C$2-SUM($I$1:I9))*($C$8/$C$7))</f>
        <v>137.99493042211603</v>
      </c>
      <c r="I10" s="115">
        <f t="shared" si="3"/>
        <v>370.25455258994498</v>
      </c>
      <c r="J10" s="6">
        <f t="shared" si="4"/>
        <v>4788.4344351527106</v>
      </c>
    </row>
    <row r="11" spans="1:10" x14ac:dyDescent="0.15">
      <c r="C11" t="s">
        <v>0</v>
      </c>
      <c r="D11" s="7"/>
      <c r="E11" s="114">
        <f t="shared" si="0"/>
        <v>46553</v>
      </c>
      <c r="F11" s="124">
        <f t="shared" si="1"/>
        <v>2027</v>
      </c>
      <c r="G11" s="115">
        <f t="shared" si="2"/>
        <v>508.24948301206103</v>
      </c>
      <c r="H11" s="115">
        <f>IF(OR(E11&lt;$C$5,E11&gt;$C$6),YEARFRAC(E10,E11)*J10*$C$8,($C$2-SUM($I$1:I10))*($C$8/$C$7))</f>
        <v>128.090621140335</v>
      </c>
      <c r="I11" s="115">
        <f t="shared" si="3"/>
        <v>380.158861871726</v>
      </c>
      <c r="J11" s="6">
        <f t="shared" si="4"/>
        <v>4408.2755732809846</v>
      </c>
    </row>
    <row r="12" spans="1:10" x14ac:dyDescent="0.15">
      <c r="A12" s="125" t="s">
        <v>137</v>
      </c>
      <c r="B12" s="125" t="s">
        <v>138</v>
      </c>
      <c r="C12" s="125" t="s">
        <v>139</v>
      </c>
      <c r="D12" s="7"/>
      <c r="E12" s="114">
        <f t="shared" si="0"/>
        <v>46736</v>
      </c>
      <c r="F12" s="124">
        <f t="shared" si="1"/>
        <v>2027</v>
      </c>
      <c r="G12" s="115">
        <f t="shared" si="2"/>
        <v>508.24948301206103</v>
      </c>
      <c r="H12" s="115">
        <f>IF(OR(E12&lt;$C$5,E12&gt;$C$6),YEARFRAC(E11,E12)*J11*$C$8,($C$2-SUM($I$1:I11))*($C$8/$C$7))</f>
        <v>117.92137158526634</v>
      </c>
      <c r="I12" s="115">
        <f t="shared" si="3"/>
        <v>390.32811142679469</v>
      </c>
      <c r="J12" s="6">
        <f t="shared" si="4"/>
        <v>4017.9474618541899</v>
      </c>
    </row>
    <row r="13" spans="1:10" x14ac:dyDescent="0.15">
      <c r="A13" s="124">
        <f>F2</f>
        <v>2022</v>
      </c>
      <c r="B13" s="124">
        <f>SUMIF($F$2:$F$182,A13,$I$2:$I$182)</f>
        <v>0</v>
      </c>
      <c r="C13" s="124">
        <f>SUMIF($F$2:$F$182,A13,$H$2:$H$182)</f>
        <v>200.46449999999999</v>
      </c>
      <c r="D13" s="7"/>
      <c r="E13" s="114">
        <f t="shared" si="0"/>
        <v>46919</v>
      </c>
      <c r="F13" s="124">
        <f t="shared" si="1"/>
        <v>2028</v>
      </c>
      <c r="G13" s="115">
        <f t="shared" si="2"/>
        <v>508.24948301206103</v>
      </c>
      <c r="H13" s="115">
        <f>IF(OR(E13&lt;$C$5,E13&gt;$C$6),YEARFRAC(E12,E13)*J12*$C$8,($C$2-SUM($I$1:I12))*($C$8/$C$7))</f>
        <v>107.48009460459957</v>
      </c>
      <c r="I13" s="115">
        <f t="shared" si="3"/>
        <v>400.76938840746146</v>
      </c>
      <c r="J13" s="6">
        <f t="shared" si="4"/>
        <v>3617.1780734467284</v>
      </c>
    </row>
    <row r="14" spans="1:10" x14ac:dyDescent="0.15">
      <c r="A14" s="13">
        <f>A13+1</f>
        <v>2023</v>
      </c>
      <c r="B14" s="124">
        <f t="shared" ref="B14:B28" si="5">SUMIF($F$2:$F$182,A14,$I$2:$I$182)</f>
        <v>623.80321431969469</v>
      </c>
      <c r="C14" s="124">
        <f t="shared" ref="C14:C28" si="6">SUMIF($F$2:$F$182,A14,$H$2:$H$182)</f>
        <v>392.69575170442738</v>
      </c>
      <c r="D14" s="7"/>
      <c r="E14" s="114">
        <f t="shared" si="0"/>
        <v>47102</v>
      </c>
      <c r="F14" s="124">
        <f t="shared" si="1"/>
        <v>2028</v>
      </c>
      <c r="G14" s="115">
        <f t="shared" si="2"/>
        <v>508.24948301206103</v>
      </c>
      <c r="H14" s="115">
        <f>IF(OR(E14&lt;$C$5,E14&gt;$C$6),YEARFRAC(E13,E14)*J13*$C$8,($C$2-SUM($I$1:I13))*($C$8/$C$7))</f>
        <v>96.759513464699978</v>
      </c>
      <c r="I14" s="115">
        <f t="shared" si="3"/>
        <v>411.48996954736106</v>
      </c>
      <c r="J14" s="6">
        <f t="shared" si="4"/>
        <v>3205.6881038993674</v>
      </c>
    </row>
    <row r="15" spans="1:10" x14ac:dyDescent="0.15">
      <c r="A15" s="13">
        <f t="shared" ref="A15:A28" si="7">A14+1</f>
        <v>2024</v>
      </c>
      <c r="B15" s="124">
        <f t="shared" si="5"/>
        <v>657.62305647334495</v>
      </c>
      <c r="C15" s="124">
        <f t="shared" si="6"/>
        <v>358.87590955077707</v>
      </c>
      <c r="D15" s="7"/>
      <c r="E15" s="114">
        <f t="shared" si="0"/>
        <v>47284</v>
      </c>
      <c r="F15" s="124">
        <f t="shared" si="1"/>
        <v>2029</v>
      </c>
      <c r="G15" s="115">
        <f t="shared" si="2"/>
        <v>508.24948301206103</v>
      </c>
      <c r="H15" s="115">
        <f>IF(OR(E15&lt;$C$5,E15&gt;$C$6),YEARFRAC(E14,E15)*J14*$C$8,($C$2-SUM($I$1:I14))*($C$8/$C$7))</f>
        <v>85.752156779308066</v>
      </c>
      <c r="I15" s="115">
        <f t="shared" si="3"/>
        <v>422.49732623275298</v>
      </c>
      <c r="J15" s="6">
        <f t="shared" si="4"/>
        <v>2783.1907776666144</v>
      </c>
    </row>
    <row r="16" spans="1:10" x14ac:dyDescent="0.15">
      <c r="A16" s="13">
        <f t="shared" si="7"/>
        <v>2025</v>
      </c>
      <c r="B16" s="124">
        <f t="shared" si="5"/>
        <v>693.27646039301669</v>
      </c>
      <c r="C16" s="124">
        <f t="shared" si="6"/>
        <v>323.22250563110538</v>
      </c>
      <c r="D16" s="7"/>
      <c r="E16" s="114">
        <f t="shared" si="0"/>
        <v>47467</v>
      </c>
      <c r="F16" s="124">
        <f t="shared" si="1"/>
        <v>2029</v>
      </c>
      <c r="G16" s="115">
        <f t="shared" si="2"/>
        <v>508.24948301206103</v>
      </c>
      <c r="H16" s="115">
        <f>IF(OR(E16&lt;$C$5,E16&gt;$C$6),YEARFRAC(E15,E16)*J15*$C$8,($C$2-SUM($I$1:I15))*($C$8/$C$7))</f>
        <v>74.450353302581917</v>
      </c>
      <c r="I16" s="115">
        <f t="shared" si="3"/>
        <v>433.79912970947913</v>
      </c>
      <c r="J16" s="6">
        <f t="shared" si="4"/>
        <v>2349.3916479571353</v>
      </c>
    </row>
    <row r="17" spans="1:10" x14ac:dyDescent="0.15">
      <c r="A17" s="13">
        <f t="shared" si="7"/>
        <v>2026</v>
      </c>
      <c r="B17" s="124">
        <f t="shared" si="5"/>
        <v>730.86283366123303</v>
      </c>
      <c r="C17" s="124">
        <f t="shared" si="6"/>
        <v>285.63613236288904</v>
      </c>
      <c r="D17" s="7"/>
      <c r="E17" s="114">
        <f t="shared" si="0"/>
        <v>47649</v>
      </c>
      <c r="F17" s="124">
        <f t="shared" si="1"/>
        <v>2030</v>
      </c>
      <c r="G17" s="115">
        <f t="shared" si="2"/>
        <v>508.24948301206103</v>
      </c>
      <c r="H17" s="115">
        <f>IF(OR(E17&lt;$C$5,E17&gt;$C$6),YEARFRAC(E16,E17)*J16*$C$8,($C$2-SUM($I$1:I16))*($C$8/$C$7))</f>
        <v>62.846226582853348</v>
      </c>
      <c r="I17" s="115">
        <f t="shared" si="3"/>
        <v>445.40325642920766</v>
      </c>
      <c r="J17" s="6">
        <f t="shared" si="4"/>
        <v>1903.9883915279277</v>
      </c>
    </row>
    <row r="18" spans="1:10" x14ac:dyDescent="0.15">
      <c r="A18" s="13">
        <f t="shared" si="7"/>
        <v>2027</v>
      </c>
      <c r="B18" s="124">
        <f t="shared" si="5"/>
        <v>770.48697329852075</v>
      </c>
      <c r="C18" s="124">
        <f t="shared" si="6"/>
        <v>246.01199272560135</v>
      </c>
      <c r="D18" s="7"/>
      <c r="E18" s="114">
        <f t="shared" si="0"/>
        <v>47832</v>
      </c>
      <c r="F18" s="124">
        <f t="shared" si="1"/>
        <v>2030</v>
      </c>
      <c r="G18" s="115">
        <f t="shared" si="2"/>
        <v>508.24948301206103</v>
      </c>
      <c r="H18" s="115">
        <f>IF(OR(E18&lt;$C$5,E18&gt;$C$6),YEARFRAC(E17,E18)*J17*$C$8,($C$2-SUM($I$1:I17))*($C$8/$C$7))</f>
        <v>50.931689473372046</v>
      </c>
      <c r="I18" s="115">
        <f t="shared" si="3"/>
        <v>457.31779353868899</v>
      </c>
      <c r="J18" s="6">
        <f t="shared" si="4"/>
        <v>1446.6705979892386</v>
      </c>
    </row>
    <row r="19" spans="1:10" x14ac:dyDescent="0.15">
      <c r="A19" s="13">
        <f t="shared" si="7"/>
        <v>2028</v>
      </c>
      <c r="B19" s="124">
        <f t="shared" si="5"/>
        <v>812.25935795482246</v>
      </c>
      <c r="C19" s="124">
        <f t="shared" si="6"/>
        <v>204.23960806929955</v>
      </c>
      <c r="D19" s="121"/>
      <c r="E19" s="114">
        <f t="shared" si="0"/>
        <v>48014</v>
      </c>
      <c r="F19" s="124">
        <f t="shared" si="1"/>
        <v>2031</v>
      </c>
      <c r="G19" s="115">
        <f t="shared" si="2"/>
        <v>508.24948301206103</v>
      </c>
      <c r="H19" s="115">
        <f>IF(OR(E19&lt;$C$5,E19&gt;$C$6),YEARFRAC(E18,E19)*J18*$C$8,($C$2-SUM($I$1:I18))*($C$8/$C$7))</f>
        <v>38.698438496212106</v>
      </c>
      <c r="I19" s="115">
        <f t="shared" si="3"/>
        <v>469.55104451584896</v>
      </c>
      <c r="J19" s="6">
        <f t="shared" si="4"/>
        <v>977.1195534733896</v>
      </c>
    </row>
    <row r="20" spans="1:10" x14ac:dyDescent="0.15">
      <c r="A20" s="13">
        <f t="shared" si="7"/>
        <v>2029</v>
      </c>
      <c r="B20" s="124">
        <f t="shared" si="5"/>
        <v>856.29645594223211</v>
      </c>
      <c r="C20" s="124">
        <f t="shared" si="6"/>
        <v>160.20251008188998</v>
      </c>
      <c r="D20" s="7"/>
      <c r="E20" s="114">
        <f t="shared" si="0"/>
        <v>48197</v>
      </c>
      <c r="F20" s="124">
        <f t="shared" si="1"/>
        <v>2031</v>
      </c>
      <c r="G20" s="115">
        <f t="shared" si="2"/>
        <v>508.24948301206103</v>
      </c>
      <c r="H20" s="115">
        <f>IF(OR(E20&lt;$C$5,E20&gt;$C$6),YEARFRAC(E19,E20)*J19*$C$8,($C$2-SUM($I$1:I19))*($C$8/$C$7))</f>
        <v>26.137948055413151</v>
      </c>
      <c r="I20" s="115">
        <f t="shared" si="3"/>
        <v>482.11153495664786</v>
      </c>
      <c r="J20" s="6">
        <f t="shared" si="4"/>
        <v>495.00801851674174</v>
      </c>
    </row>
    <row r="21" spans="1:10" x14ac:dyDescent="0.15">
      <c r="A21" s="13">
        <f t="shared" si="7"/>
        <v>2030</v>
      </c>
      <c r="B21" s="124">
        <f t="shared" si="5"/>
        <v>902.72104996789665</v>
      </c>
      <c r="C21" s="124">
        <f t="shared" si="6"/>
        <v>113.77791605622539</v>
      </c>
      <c r="E21" s="114">
        <f t="shared" si="0"/>
        <v>48380</v>
      </c>
      <c r="F21" s="124">
        <f t="shared" si="1"/>
        <v>2032</v>
      </c>
      <c r="G21" s="115">
        <f t="shared" si="2"/>
        <v>508.24948301206103</v>
      </c>
      <c r="H21" s="115">
        <f>IF(OR(E21&lt;$C$5,E21&gt;$C$6),YEARFRAC(E20,E21)*J20*$C$8,($C$2-SUM($I$1:I20))*($C$8/$C$7))</f>
        <v>13.241464495322816</v>
      </c>
      <c r="I21" s="115">
        <f t="shared" si="3"/>
        <v>495.00801851673822</v>
      </c>
      <c r="J21" s="6">
        <f t="shared" si="4"/>
        <v>3.5242919693700969E-12</v>
      </c>
    </row>
    <row r="22" spans="1:10" x14ac:dyDescent="0.15">
      <c r="A22" s="13">
        <f t="shared" si="7"/>
        <v>2031</v>
      </c>
      <c r="B22" s="124">
        <f t="shared" si="5"/>
        <v>951.66257947249687</v>
      </c>
      <c r="C22" s="124">
        <f t="shared" si="6"/>
        <v>64.836386551625253</v>
      </c>
      <c r="E22" s="114">
        <f t="shared" si="0"/>
        <v>48563</v>
      </c>
      <c r="F22" s="124">
        <f t="shared" si="1"/>
        <v>2032</v>
      </c>
      <c r="G22" s="115">
        <f t="shared" si="2"/>
        <v>0</v>
      </c>
      <c r="H22" s="115">
        <f>IF(OR(E22&lt;$C$5,E22&gt;$C$6),YEARFRAC(E21,E22)*J21*$C$8,($C$2-SUM($I$1:I21))*($C$8/$C$7))</f>
        <v>9.4274810180650085E-14</v>
      </c>
      <c r="I22" s="115">
        <f t="shared" si="3"/>
        <v>-9.4274810180650085E-14</v>
      </c>
      <c r="J22" s="6">
        <f t="shared" si="4"/>
        <v>3.6185667795507468E-12</v>
      </c>
    </row>
    <row r="23" spans="1:10" x14ac:dyDescent="0.15">
      <c r="A23" s="13">
        <f t="shared" si="7"/>
        <v>2032</v>
      </c>
      <c r="B23" s="124">
        <f t="shared" si="5"/>
        <v>495.0080185167381</v>
      </c>
      <c r="C23" s="124">
        <f t="shared" si="6"/>
        <v>13.24146449532291</v>
      </c>
      <c r="E23" s="114">
        <f t="shared" si="0"/>
        <v>48745</v>
      </c>
      <c r="F23" s="124">
        <f t="shared" si="1"/>
        <v>2033</v>
      </c>
      <c r="G23" s="115">
        <f t="shared" si="2"/>
        <v>0</v>
      </c>
      <c r="H23" s="115">
        <f>IF(OR(E23&lt;$C$5,E23&gt;$C$6),YEARFRAC(E22,E23)*J22*$C$8,($C$2-SUM($I$1:I22))*($C$8/$C$7))</f>
        <v>9.6796661352982479E-14</v>
      </c>
      <c r="I23" s="115">
        <f t="shared" si="3"/>
        <v>-9.6796661352982479E-14</v>
      </c>
      <c r="J23" s="6">
        <f t="shared" si="4"/>
        <v>3.7153634409037291E-12</v>
      </c>
    </row>
    <row r="24" spans="1:10" x14ac:dyDescent="0.15">
      <c r="A24" s="13">
        <f t="shared" si="7"/>
        <v>2033</v>
      </c>
      <c r="B24" s="124">
        <f t="shared" si="5"/>
        <v>-1.9618263339715724E-13</v>
      </c>
      <c r="C24" s="124">
        <f t="shared" si="6"/>
        <v>1.9618263339715724E-13</v>
      </c>
      <c r="E24" s="114">
        <f t="shared" si="0"/>
        <v>48928</v>
      </c>
      <c r="F24" s="124">
        <f t="shared" si="1"/>
        <v>2033</v>
      </c>
      <c r="G24" s="115">
        <f t="shared" si="2"/>
        <v>0</v>
      </c>
      <c r="H24" s="115">
        <f>IF(OR(E24&lt;$C$5,E24&gt;$C$6),YEARFRAC(E23,E24)*J23*$C$8,($C$2-SUM($I$1:I23))*($C$8/$C$7))</f>
        <v>9.9385972044174746E-14</v>
      </c>
      <c r="I24" s="115">
        <f t="shared" si="3"/>
        <v>-9.9385972044174746E-14</v>
      </c>
      <c r="J24" s="6">
        <f t="shared" si="4"/>
        <v>3.8147494129479035E-12</v>
      </c>
    </row>
    <row r="25" spans="1:10" x14ac:dyDescent="0.15">
      <c r="A25" s="13">
        <f t="shared" si="7"/>
        <v>2034</v>
      </c>
      <c r="B25" s="124">
        <f t="shared" si="5"/>
        <v>-2.0681878521951536E-13</v>
      </c>
      <c r="C25" s="124">
        <f t="shared" si="6"/>
        <v>2.0681878521951536E-13</v>
      </c>
      <c r="E25" s="114">
        <f t="shared" si="0"/>
        <v>49110</v>
      </c>
      <c r="F25" s="124">
        <f t="shared" si="1"/>
        <v>2034</v>
      </c>
      <c r="G25" s="115">
        <f t="shared" si="2"/>
        <v>0</v>
      </c>
      <c r="H25" s="115">
        <f>IF(OR(E25&lt;$C$5,E25&gt;$C$6),YEARFRAC(E24,E25)*J24*$C$8,($C$2-SUM($I$1:I24))*($C$8/$C$7))</f>
        <v>1.0204454679635641E-13</v>
      </c>
      <c r="I25" s="115">
        <f t="shared" si="3"/>
        <v>-1.0204454679635641E-13</v>
      </c>
      <c r="J25" s="6">
        <f t="shared" si="4"/>
        <v>3.9167939597442597E-12</v>
      </c>
    </row>
    <row r="26" spans="1:10" x14ac:dyDescent="0.15">
      <c r="A26" s="13">
        <f t="shared" si="7"/>
        <v>2035</v>
      </c>
      <c r="B26" s="124">
        <f t="shared" si="5"/>
        <v>-2.1803158199575806E-13</v>
      </c>
      <c r="C26" s="124">
        <f t="shared" si="6"/>
        <v>2.1803158199575806E-13</v>
      </c>
      <c r="E26" s="114">
        <f t="shared" si="0"/>
        <v>49293</v>
      </c>
      <c r="F26" s="124">
        <f t="shared" si="1"/>
        <v>2034</v>
      </c>
      <c r="G26" s="115">
        <f t="shared" si="2"/>
        <v>0</v>
      </c>
      <c r="H26" s="115">
        <f>IF(OR(E26&lt;$C$5,E26&gt;$C$6),YEARFRAC(E25,E26)*J25*$C$8,($C$2-SUM($I$1:I25))*($C$8/$C$7))</f>
        <v>1.0477423842315895E-13</v>
      </c>
      <c r="I26" s="115">
        <f t="shared" si="3"/>
        <v>-1.0477423842315895E-13</v>
      </c>
      <c r="J26" s="6">
        <f t="shared" si="4"/>
        <v>4.0215681981674185E-12</v>
      </c>
    </row>
    <row r="27" spans="1:10" x14ac:dyDescent="0.15">
      <c r="A27" s="13">
        <f t="shared" si="7"/>
        <v>2036</v>
      </c>
      <c r="B27" s="124">
        <f t="shared" si="5"/>
        <v>-2.2985228685642297E-13</v>
      </c>
      <c r="C27" s="124">
        <f t="shared" si="6"/>
        <v>2.2985228685642297E-13</v>
      </c>
      <c r="E27" s="114">
        <f t="shared" si="0"/>
        <v>49475</v>
      </c>
      <c r="F27" s="124">
        <f t="shared" si="1"/>
        <v>2035</v>
      </c>
      <c r="G27" s="115">
        <f t="shared" si="2"/>
        <v>0</v>
      </c>
      <c r="H27" s="115">
        <f>IF(OR(E27&lt;$C$5,E27&gt;$C$6),YEARFRAC(E26,E27)*J26*$C$8,($C$2-SUM($I$1:I26))*($C$8/$C$7))</f>
        <v>1.0757694930097844E-13</v>
      </c>
      <c r="I27" s="115">
        <f t="shared" si="3"/>
        <v>-1.0757694930097844E-13</v>
      </c>
      <c r="J27" s="6">
        <f t="shared" si="4"/>
        <v>4.1291451474683972E-12</v>
      </c>
    </row>
    <row r="28" spans="1:10" x14ac:dyDescent="0.15">
      <c r="A28" s="13">
        <f t="shared" si="7"/>
        <v>2037</v>
      </c>
      <c r="B28" s="124">
        <f t="shared" si="5"/>
        <v>-2.4231385788025531E-13</v>
      </c>
      <c r="C28" s="124">
        <f t="shared" si="6"/>
        <v>2.4231385788025531E-13</v>
      </c>
      <c r="E28" s="114">
        <f t="shared" si="0"/>
        <v>49658</v>
      </c>
      <c r="F28" s="124">
        <f t="shared" si="1"/>
        <v>2035</v>
      </c>
      <c r="G28" s="115">
        <f t="shared" si="2"/>
        <v>0</v>
      </c>
      <c r="H28" s="115">
        <f>IF(OR(E28&lt;$C$5,E28&gt;$C$6),YEARFRAC(E27,E28)*J27*$C$8,($C$2-SUM($I$1:I27))*($C$8/$C$7))</f>
        <v>1.1045463269477962E-13</v>
      </c>
      <c r="I28" s="115">
        <f t="shared" si="3"/>
        <v>-1.1045463269477962E-13</v>
      </c>
      <c r="J28" s="6">
        <f t="shared" si="4"/>
        <v>4.2395997801631771E-12</v>
      </c>
    </row>
    <row r="29" spans="1:10" x14ac:dyDescent="0.15">
      <c r="A29" s="126" t="s">
        <v>140</v>
      </c>
      <c r="B29">
        <f>SUM(B13:B28)</f>
        <v>7493.9999999999973</v>
      </c>
      <c r="C29" s="13">
        <f>SUM(C13:C28)</f>
        <v>2363.2046772291642</v>
      </c>
      <c r="D29" s="122"/>
      <c r="E29" s="114">
        <f t="shared" si="0"/>
        <v>49841</v>
      </c>
      <c r="F29" s="124">
        <f t="shared" si="1"/>
        <v>2036</v>
      </c>
      <c r="G29" s="115">
        <f t="shared" si="2"/>
        <v>0</v>
      </c>
      <c r="H29" s="115">
        <f>IF(OR(E29&lt;$C$5,E29&gt;$C$6),YEARFRAC(E28,E29)*J28*$C$8,($C$2-SUM($I$1:I28))*($C$8/$C$7))</f>
        <v>1.1340929411936499E-13</v>
      </c>
      <c r="I29" s="115">
        <f t="shared" si="3"/>
        <v>-1.1340929411936499E-13</v>
      </c>
      <c r="J29" s="6">
        <f t="shared" si="4"/>
        <v>4.3530090742825421E-12</v>
      </c>
    </row>
    <row r="30" spans="1:10" x14ac:dyDescent="0.15">
      <c r="E30" s="114">
        <f t="shared" si="0"/>
        <v>50024</v>
      </c>
      <c r="F30" s="124">
        <f t="shared" si="1"/>
        <v>2036</v>
      </c>
      <c r="G30" s="115">
        <f t="shared" si="2"/>
        <v>0</v>
      </c>
      <c r="H30" s="115">
        <f>IF(OR(E30&lt;$C$5,E30&gt;$C$6),YEARFRAC(E29,E30)*J29*$C$8,($C$2-SUM($I$1:I29))*($C$8/$C$7))</f>
        <v>1.1644299273705801E-13</v>
      </c>
      <c r="I30" s="115">
        <f t="shared" si="3"/>
        <v>-1.1644299273705801E-13</v>
      </c>
      <c r="J30" s="6">
        <f t="shared" si="4"/>
        <v>4.4694520670196002E-12</v>
      </c>
    </row>
    <row r="31" spans="1:10" x14ac:dyDescent="0.15">
      <c r="E31" s="114">
        <f t="shared" si="0"/>
        <v>50206</v>
      </c>
      <c r="F31" s="124">
        <f t="shared" si="1"/>
        <v>2037</v>
      </c>
      <c r="G31" s="115">
        <f t="shared" si="2"/>
        <v>0</v>
      </c>
      <c r="H31" s="115">
        <f>IF(OR(E31&lt;$C$5,E31&gt;$C$6),YEARFRAC(E30,E31)*J30*$C$8,($C$2-SUM($I$1:I30))*($C$8/$C$7))</f>
        <v>1.1955784279277431E-13</v>
      </c>
      <c r="I31" s="115">
        <f t="shared" si="3"/>
        <v>-1.1955784279277431E-13</v>
      </c>
      <c r="J31" s="6">
        <f t="shared" si="4"/>
        <v>4.5890099098123743E-12</v>
      </c>
    </row>
    <row r="32" spans="1:10" x14ac:dyDescent="0.15">
      <c r="E32" s="114">
        <f t="shared" si="0"/>
        <v>50389</v>
      </c>
      <c r="F32" s="124">
        <f t="shared" si="1"/>
        <v>2037</v>
      </c>
      <c r="G32" s="115">
        <f t="shared" si="2"/>
        <v>0</v>
      </c>
      <c r="H32" s="115">
        <f>IF(OR(E32&lt;$C$5,E32&gt;$C$6),YEARFRAC(E31,E32)*J31*$C$8,($C$2-SUM($I$1:I31))*($C$8/$C$7))</f>
        <v>1.22756015087481E-13</v>
      </c>
      <c r="I32" s="115">
        <f t="shared" si="3"/>
        <v>-1.22756015087481E-13</v>
      </c>
      <c r="J32" s="6">
        <f t="shared" si="4"/>
        <v>4.7117659248998553E-12</v>
      </c>
    </row>
    <row r="33" spans="2:10" x14ac:dyDescent="0.15">
      <c r="E33" s="114">
        <f t="shared" si="0"/>
        <v>50571</v>
      </c>
      <c r="F33" s="124">
        <f t="shared" si="1"/>
        <v>2038</v>
      </c>
      <c r="G33" s="115">
        <f t="shared" si="2"/>
        <v>0</v>
      </c>
      <c r="H33" s="115">
        <f>IF(OR(E33&lt;$C$5,E33&gt;$C$6),YEARFRAC(E32,E33)*J32*$C$8,($C$2-SUM($I$1:I32))*($C$8/$C$7))</f>
        <v>1.2603973849107113E-13</v>
      </c>
      <c r="I33" s="115">
        <f t="shared" si="3"/>
        <v>-1.2603973849107113E-13</v>
      </c>
      <c r="J33" s="6">
        <f t="shared" si="4"/>
        <v>4.8378056633909267E-12</v>
      </c>
    </row>
    <row r="34" spans="2:10" x14ac:dyDescent="0.15">
      <c r="E34" s="114">
        <f t="shared" si="0"/>
        <v>50754</v>
      </c>
      <c r="F34" s="124">
        <f t="shared" si="1"/>
        <v>2038</v>
      </c>
      <c r="G34" s="115">
        <f t="shared" si="2"/>
        <v>0</v>
      </c>
      <c r="H34" s="115">
        <f>IF(OR(E34&lt;$C$5,E34&gt;$C$6),YEARFRAC(E33,E34)*J33*$C$8,($C$2-SUM($I$1:I33))*($C$8/$C$7))</f>
        <v>1.2941130149570728E-13</v>
      </c>
      <c r="I34" s="115">
        <f t="shared" si="3"/>
        <v>-1.2941130149570728E-13</v>
      </c>
      <c r="J34" s="6">
        <f t="shared" si="4"/>
        <v>4.9672169648866339E-12</v>
      </c>
    </row>
    <row r="35" spans="2:10" x14ac:dyDescent="0.15">
      <c r="B35" s="123"/>
      <c r="E35" s="114">
        <f t="shared" si="0"/>
        <v>50936</v>
      </c>
      <c r="F35" s="124">
        <f t="shared" si="1"/>
        <v>2039</v>
      </c>
      <c r="G35" s="115">
        <f t="shared" si="2"/>
        <v>0</v>
      </c>
      <c r="H35" s="115">
        <f>IF(OR(E35&lt;$C$5,E35&gt;$C$6),YEARFRAC(E34,E35)*J34*$C$8,($C$2-SUM($I$1:I34))*($C$8/$C$7))</f>
        <v>1.3287305381071744E-13</v>
      </c>
      <c r="I35" s="115">
        <f t="shared" si="3"/>
        <v>-1.3287305381071744E-13</v>
      </c>
      <c r="J35" s="6">
        <f t="shared" si="4"/>
        <v>5.1000900186973514E-12</v>
      </c>
    </row>
    <row r="36" spans="2:10" x14ac:dyDescent="0.15">
      <c r="B36" s="123"/>
      <c r="E36" s="114">
        <f t="shared" si="0"/>
        <v>51119</v>
      </c>
      <c r="F36" s="124">
        <f t="shared" si="1"/>
        <v>2039</v>
      </c>
      <c r="G36" s="115">
        <f t="shared" si="2"/>
        <v>0</v>
      </c>
      <c r="H36" s="115">
        <f>IF(OR(E36&lt;$C$5,E36&gt;$C$6),YEARFRAC(E35,E36)*J35*$C$8,($C$2-SUM($I$1:I35))*($C$8/$C$7))</f>
        <v>1.3642740800015415E-13</v>
      </c>
      <c r="I36" s="115">
        <f t="shared" si="3"/>
        <v>-1.3642740800015415E-13</v>
      </c>
      <c r="J36" s="6">
        <f t="shared" si="4"/>
        <v>5.2365174266975052E-12</v>
      </c>
    </row>
    <row r="37" spans="2:10" x14ac:dyDescent="0.15">
      <c r="B37" s="123"/>
      <c r="E37" s="114">
        <f t="shared" si="0"/>
        <v>51302</v>
      </c>
      <c r="F37" s="124">
        <f t="shared" si="1"/>
        <v>2040</v>
      </c>
      <c r="G37" s="115">
        <f t="shared" si="2"/>
        <v>0</v>
      </c>
      <c r="H37" s="115">
        <f>IF(OR(E37&lt;$C$5,E37&gt;$C$6),YEARFRAC(E36,E37)*J36*$C$8,($C$2-SUM($I$1:I36))*($C$8/$C$7))</f>
        <v>1.4007684116415827E-13</v>
      </c>
      <c r="I37" s="115">
        <f t="shared" si="3"/>
        <v>-1.4007684116415827E-13</v>
      </c>
      <c r="J37" s="6">
        <f t="shared" si="4"/>
        <v>5.3765942678616634E-12</v>
      </c>
    </row>
    <row r="38" spans="2:10" x14ac:dyDescent="0.15">
      <c r="B38" s="123"/>
      <c r="E38" s="114">
        <f t="shared" si="0"/>
        <v>51485</v>
      </c>
      <c r="F38" s="124">
        <f t="shared" si="1"/>
        <v>2040</v>
      </c>
      <c r="G38" s="115">
        <f t="shared" si="2"/>
        <v>0</v>
      </c>
      <c r="H38" s="115">
        <f>IF(OR(E38&lt;$C$5,E38&gt;$C$6),YEARFRAC(E37,E38)*J37*$C$8,($C$2-SUM($I$1:I37))*($C$8/$C$7))</f>
        <v>1.4382389666529948E-13</v>
      </c>
      <c r="I38" s="115">
        <f t="shared" si="3"/>
        <v>-1.4382389666529948E-13</v>
      </c>
      <c r="J38" s="6">
        <f t="shared" si="4"/>
        <v>5.5204181645269626E-12</v>
      </c>
    </row>
    <row r="39" spans="2:10" x14ac:dyDescent="0.15">
      <c r="B39" s="123"/>
      <c r="E39" s="114">
        <f t="shared" si="0"/>
        <v>51667</v>
      </c>
      <c r="F39" s="124">
        <f t="shared" si="1"/>
        <v>2041</v>
      </c>
      <c r="G39" s="115">
        <f t="shared" si="2"/>
        <v>0</v>
      </c>
      <c r="H39" s="115">
        <f>IF(OR(E39&lt;$C$5,E39&gt;$C$6),YEARFRAC(E38,E39)*J38*$C$8,($C$2-SUM($I$1:I38))*($C$8/$C$7))</f>
        <v>1.4767118590109625E-13</v>
      </c>
      <c r="I39" s="115">
        <f t="shared" si="3"/>
        <v>-1.4767118590109625E-13</v>
      </c>
      <c r="J39" s="6">
        <f t="shared" si="4"/>
        <v>5.6680893504280591E-12</v>
      </c>
    </row>
    <row r="40" spans="2:10" x14ac:dyDescent="0.15">
      <c r="B40" s="123"/>
      <c r="E40" s="114">
        <f t="shared" si="0"/>
        <v>51850</v>
      </c>
      <c r="F40" s="124">
        <f t="shared" si="1"/>
        <v>2041</v>
      </c>
      <c r="G40" s="115">
        <f t="shared" si="2"/>
        <v>0</v>
      </c>
      <c r="H40" s="115">
        <f>IF(OR(E40&lt;$C$5,E40&gt;$C$6),YEARFRAC(E39,E40)*J39*$C$8,($C$2-SUM($I$1:I39))*($C$8/$C$7))</f>
        <v>1.5162139012395058E-13</v>
      </c>
      <c r="I40" s="115">
        <f t="shared" si="3"/>
        <v>-1.5162139012395058E-13</v>
      </c>
      <c r="J40" s="6">
        <f t="shared" si="4"/>
        <v>5.8197107405520094E-12</v>
      </c>
    </row>
    <row r="41" spans="2:10" x14ac:dyDescent="0.15">
      <c r="E41" s="114">
        <f t="shared" si="0"/>
        <v>52032</v>
      </c>
      <c r="F41" s="124">
        <f t="shared" si="1"/>
        <v>2042</v>
      </c>
      <c r="G41" s="115">
        <f t="shared" si="2"/>
        <v>0</v>
      </c>
      <c r="H41" s="115">
        <f>IF(OR(E41&lt;$C$5,E41&gt;$C$6),YEARFRAC(E40,E41)*J40*$C$8,($C$2-SUM($I$1:I40))*($C$8/$C$7))</f>
        <v>1.5567726230976624E-13</v>
      </c>
      <c r="I41" s="115">
        <f t="shared" si="3"/>
        <v>-1.5567726230976624E-13</v>
      </c>
      <c r="J41" s="6">
        <f t="shared" si="4"/>
        <v>5.9753880028617752E-12</v>
      </c>
    </row>
    <row r="42" spans="2:10" x14ac:dyDescent="0.15">
      <c r="E42" s="114">
        <f t="shared" si="0"/>
        <v>52215</v>
      </c>
      <c r="F42" s="124">
        <f t="shared" si="1"/>
        <v>2042</v>
      </c>
      <c r="G42" s="115">
        <f t="shared" si="2"/>
        <v>0</v>
      </c>
      <c r="H42" s="115">
        <f>IF(OR(E42&lt;$C$5,E42&gt;$C$6),YEARFRAC(E41,E42)*J41*$C$8,($C$2-SUM($I$1:I41))*($C$8/$C$7))</f>
        <v>1.5984162907655248E-13</v>
      </c>
      <c r="I42" s="115">
        <f t="shared" si="3"/>
        <v>-1.5984162907655248E-13</v>
      </c>
      <c r="J42" s="6">
        <f t="shared" si="4"/>
        <v>6.1352296319383281E-12</v>
      </c>
    </row>
    <row r="43" spans="2:10" x14ac:dyDescent="0.15">
      <c r="E43" s="114">
        <f t="shared" si="0"/>
        <v>52397</v>
      </c>
      <c r="F43" s="124">
        <f t="shared" si="1"/>
        <v>2043</v>
      </c>
      <c r="G43" s="115">
        <f t="shared" si="2"/>
        <v>0</v>
      </c>
      <c r="H43" s="115">
        <f>IF(OR(E43&lt;$C$5,E43&gt;$C$6),YEARFRAC(E42,E43)*J42*$C$8,($C$2-SUM($I$1:I42))*($C$8/$C$7))</f>
        <v>1.6411739265435028E-13</v>
      </c>
      <c r="I43" s="115">
        <f t="shared" si="3"/>
        <v>-1.6411739265435028E-13</v>
      </c>
      <c r="J43" s="6">
        <f t="shared" si="4"/>
        <v>6.2993470245926787E-12</v>
      </c>
    </row>
    <row r="44" spans="2:10" x14ac:dyDescent="0.15">
      <c r="E44" s="114">
        <f t="shared" si="0"/>
        <v>52580</v>
      </c>
      <c r="F44" s="124">
        <f t="shared" si="1"/>
        <v>2043</v>
      </c>
      <c r="G44" s="115">
        <f t="shared" si="2"/>
        <v>0</v>
      </c>
      <c r="H44" s="115">
        <f>IF(OR(E44&lt;$C$5,E44&gt;$C$6),YEARFRAC(E43,E44)*J43*$C$8,($C$2-SUM($I$1:I43))*($C$8/$C$7))</f>
        <v>1.6850753290785414E-13</v>
      </c>
      <c r="I44" s="115">
        <f t="shared" si="3"/>
        <v>-1.6850753290785414E-13</v>
      </c>
      <c r="J44" s="6">
        <f t="shared" si="4"/>
        <v>6.4678545575005325E-12</v>
      </c>
    </row>
    <row r="45" spans="2:10" x14ac:dyDescent="0.15">
      <c r="E45" s="114">
        <f t="shared" si="0"/>
        <v>52763</v>
      </c>
      <c r="F45" s="124">
        <f t="shared" si="1"/>
        <v>2044</v>
      </c>
      <c r="G45" s="115">
        <f t="shared" si="2"/>
        <v>0</v>
      </c>
      <c r="H45" s="115">
        <f>IF(OR(E45&lt;$C$5,E45&gt;$C$6),YEARFRAC(E44,E45)*J44*$C$8,($C$2-SUM($I$1:I44))*($C$8/$C$7))</f>
        <v>1.7301510941313925E-13</v>
      </c>
      <c r="I45" s="115">
        <f t="shared" si="3"/>
        <v>-1.7301510941313925E-13</v>
      </c>
      <c r="J45" s="6">
        <f t="shared" si="4"/>
        <v>6.6408696669136717E-12</v>
      </c>
    </row>
    <row r="46" spans="2:10" x14ac:dyDescent="0.15">
      <c r="E46" s="114">
        <f t="shared" si="0"/>
        <v>52946</v>
      </c>
      <c r="F46" s="124">
        <f t="shared" si="1"/>
        <v>2044</v>
      </c>
      <c r="G46" s="115">
        <f t="shared" si="2"/>
        <v>0</v>
      </c>
      <c r="H46" s="115">
        <f>IF(OR(E46&lt;$C$5,E46&gt;$C$6),YEARFRAC(E45,E46)*J45*$C$8,($C$2-SUM($I$1:I45))*($C$8/$C$7))</f>
        <v>1.7764326358994072E-13</v>
      </c>
      <c r="I46" s="115">
        <f t="shared" si="3"/>
        <v>-1.7764326358994072E-13</v>
      </c>
      <c r="J46" s="6">
        <f t="shared" si="4"/>
        <v>6.8185129305036121E-12</v>
      </c>
    </row>
    <row r="47" spans="2:10" x14ac:dyDescent="0.15">
      <c r="E47" s="114">
        <f t="shared" si="0"/>
        <v>53128</v>
      </c>
      <c r="F47" s="124">
        <f t="shared" si="1"/>
        <v>2045</v>
      </c>
      <c r="G47" s="115">
        <f t="shared" si="2"/>
        <v>0</v>
      </c>
      <c r="H47" s="115">
        <f>IF(OR(E47&lt;$C$5,E47&gt;$C$6),YEARFRAC(E46,E47)*J46*$C$8,($C$2-SUM($I$1:I46))*($C$8/$C$7))</f>
        <v>1.8239522089097163E-13</v>
      </c>
      <c r="I47" s="115">
        <f t="shared" si="3"/>
        <v>-1.8239522089097163E-13</v>
      </c>
      <c r="J47" s="6">
        <f t="shared" si="4"/>
        <v>7.0009081513945837E-12</v>
      </c>
    </row>
    <row r="48" spans="2:10" x14ac:dyDescent="0.15">
      <c r="E48" s="114">
        <f t="shared" si="0"/>
        <v>53311</v>
      </c>
      <c r="F48" s="124">
        <f t="shared" si="1"/>
        <v>2045</v>
      </c>
      <c r="G48" s="115">
        <f t="shared" si="2"/>
        <v>0</v>
      </c>
      <c r="H48" s="115">
        <f>IF(OR(E48&lt;$C$5,E48&gt;$C$6),YEARFRAC(E47,E48)*J47*$C$8,($C$2-SUM($I$1:I47))*($C$8/$C$7))</f>
        <v>1.8727429304980512E-13</v>
      </c>
      <c r="I48" s="115">
        <f t="shared" si="3"/>
        <v>-1.8727429304980512E-13</v>
      </c>
      <c r="J48" s="6">
        <f t="shared" si="4"/>
        <v>7.1881824444443892E-12</v>
      </c>
    </row>
    <row r="49" spans="5:10" x14ac:dyDescent="0.15">
      <c r="E49" s="114">
        <f t="shared" si="0"/>
        <v>53493</v>
      </c>
      <c r="F49" s="124">
        <f t="shared" si="1"/>
        <v>2046</v>
      </c>
      <c r="G49" s="115">
        <f t="shared" si="2"/>
        <v>0</v>
      </c>
      <c r="H49" s="115">
        <f>IF(OR(E49&lt;$C$5,E49&gt;$C$6),YEARFRAC(E48,E49)*J48*$C$8,($C$2-SUM($I$1:I48))*($C$8/$C$7))</f>
        <v>1.922838803888874E-13</v>
      </c>
      <c r="I49" s="115">
        <f t="shared" si="3"/>
        <v>-1.922838803888874E-13</v>
      </c>
      <c r="J49" s="6">
        <f t="shared" si="4"/>
        <v>7.3804663248332761E-12</v>
      </c>
    </row>
    <row r="50" spans="5:10" x14ac:dyDescent="0.15">
      <c r="E50" s="114">
        <f t="shared" si="0"/>
        <v>53676</v>
      </c>
      <c r="F50" s="124">
        <f t="shared" si="1"/>
        <v>2046</v>
      </c>
      <c r="G50" s="115">
        <f t="shared" si="2"/>
        <v>0</v>
      </c>
      <c r="H50" s="115">
        <f>IF(OR(E50&lt;$C$5,E50&gt;$C$6),YEARFRAC(E49,E50)*J49*$C$8,($C$2-SUM($I$1:I49))*($C$8/$C$7))</f>
        <v>1.9742747418929013E-13</v>
      </c>
      <c r="I50" s="115">
        <f t="shared" si="3"/>
        <v>-1.9742747418929013E-13</v>
      </c>
      <c r="J50" s="6">
        <f t="shared" si="4"/>
        <v>7.5778937990225669E-12</v>
      </c>
    </row>
    <row r="51" spans="5:10" x14ac:dyDescent="0.15">
      <c r="E51" s="114">
        <f t="shared" si="0"/>
        <v>53858</v>
      </c>
      <c r="F51" s="124">
        <f t="shared" si="1"/>
        <v>2047</v>
      </c>
      <c r="G51" s="115">
        <f t="shared" si="2"/>
        <v>0</v>
      </c>
      <c r="H51" s="115">
        <f>IF(OR(E51&lt;$C$5,E51&gt;$C$6),YEARFRAC(E50,E51)*J50*$C$8,($C$2-SUM($I$1:I50))*($C$8/$C$7))</f>
        <v>2.0270865912385366E-13</v>
      </c>
      <c r="I51" s="115">
        <f t="shared" si="3"/>
        <v>-2.0270865912385366E-13</v>
      </c>
      <c r="J51" s="6">
        <f t="shared" si="4"/>
        <v>7.7806024581464204E-12</v>
      </c>
    </row>
    <row r="52" spans="5:10" x14ac:dyDescent="0.15">
      <c r="E52" s="114">
        <f t="shared" si="0"/>
        <v>54041</v>
      </c>
      <c r="F52" s="124">
        <f t="shared" si="1"/>
        <v>2047</v>
      </c>
      <c r="G52" s="115">
        <f t="shared" si="2"/>
        <v>0</v>
      </c>
      <c r="H52" s="115">
        <f>IF(OR(E52&lt;$C$5,E52&gt;$C$6),YEARFRAC(E51,E52)*J51*$C$8,($C$2-SUM($I$1:I51))*($C$8/$C$7))</f>
        <v>2.0813111575541674E-13</v>
      </c>
      <c r="I52" s="115">
        <f t="shared" si="3"/>
        <v>-2.0813111575541674E-13</v>
      </c>
      <c r="J52" s="6">
        <f t="shared" si="4"/>
        <v>7.9887335739018366E-12</v>
      </c>
    </row>
    <row r="53" spans="5:10" x14ac:dyDescent="0.15">
      <c r="E53" s="114">
        <f t="shared" si="0"/>
        <v>54224</v>
      </c>
      <c r="F53" s="124">
        <f t="shared" si="1"/>
        <v>2048</v>
      </c>
      <c r="G53" s="115">
        <f t="shared" si="2"/>
        <v>0</v>
      </c>
      <c r="H53" s="115">
        <f>IF(OR(E53&lt;$C$5,E53&gt;$C$6),YEARFRAC(E52,E53)*J52*$C$8,($C$2-SUM($I$1:I52))*($C$8/$C$7))</f>
        <v>2.1369862310187412E-13</v>
      </c>
      <c r="I53" s="115">
        <f t="shared" si="3"/>
        <v>-2.1369862310187412E-13</v>
      </c>
      <c r="J53" s="6">
        <f t="shared" si="4"/>
        <v>8.202432197003711E-12</v>
      </c>
    </row>
    <row r="54" spans="5:10" x14ac:dyDescent="0.15">
      <c r="E54" s="114">
        <f t="shared" si="0"/>
        <v>54407</v>
      </c>
      <c r="F54" s="124">
        <f t="shared" si="1"/>
        <v>2048</v>
      </c>
      <c r="G54" s="115">
        <f t="shared" si="2"/>
        <v>0</v>
      </c>
      <c r="H54" s="115">
        <f>IF(OR(E54&lt;$C$5,E54&gt;$C$6),YEARFRAC(E53,E54)*J53*$C$8,($C$2-SUM($I$1:I53))*($C$8/$C$7))</f>
        <v>2.1941506126984926E-13</v>
      </c>
      <c r="I54" s="115">
        <f t="shared" si="3"/>
        <v>-2.1941506126984926E-13</v>
      </c>
      <c r="J54" s="6">
        <f t="shared" si="4"/>
        <v>8.4218472582735608E-12</v>
      </c>
    </row>
    <row r="55" spans="5:10" x14ac:dyDescent="0.15">
      <c r="E55" s="114">
        <f t="shared" si="0"/>
        <v>54589</v>
      </c>
      <c r="F55" s="124">
        <f t="shared" si="1"/>
        <v>2049</v>
      </c>
      <c r="G55" s="115">
        <f t="shared" si="2"/>
        <v>0</v>
      </c>
      <c r="H55" s="115">
        <f>IF(OR(E55&lt;$C$5,E55&gt;$C$6),YEARFRAC(E54,E55)*J54*$C$8,($C$2-SUM($I$1:I54))*($C$8/$C$7))</f>
        <v>2.2528441415881774E-13</v>
      </c>
      <c r="I55" s="115">
        <f t="shared" si="3"/>
        <v>-2.2528441415881774E-13</v>
      </c>
      <c r="J55" s="6">
        <f t="shared" si="4"/>
        <v>8.647131672432378E-12</v>
      </c>
    </row>
    <row r="56" spans="5:10" x14ac:dyDescent="0.15">
      <c r="E56" s="114">
        <f t="shared" si="0"/>
        <v>54772</v>
      </c>
      <c r="F56" s="124">
        <f t="shared" si="1"/>
        <v>2049</v>
      </c>
      <c r="G56" s="115">
        <f t="shared" si="2"/>
        <v>0</v>
      </c>
      <c r="H56" s="115">
        <f>IF(OR(E56&lt;$C$5,E56&gt;$C$6),YEARFRAC(E55,E56)*J55*$C$8,($C$2-SUM($I$1:I55))*($C$8/$C$7))</f>
        <v>2.3131077223756612E-13</v>
      </c>
      <c r="I56" s="115">
        <f t="shared" si="3"/>
        <v>-2.3131077223756612E-13</v>
      </c>
      <c r="J56" s="6">
        <f t="shared" si="4"/>
        <v>8.8784424446699439E-12</v>
      </c>
    </row>
    <row r="57" spans="5:10" x14ac:dyDescent="0.15">
      <c r="E57" s="114">
        <f t="shared" si="0"/>
        <v>54954</v>
      </c>
      <c r="F57" s="124">
        <f t="shared" si="1"/>
        <v>2050</v>
      </c>
      <c r="G57" s="115">
        <f t="shared" si="2"/>
        <v>0</v>
      </c>
      <c r="H57" s="115">
        <f>IF(OR(E57&lt;$C$5,E57&gt;$C$6),YEARFRAC(E56,E57)*J56*$C$8,($C$2-SUM($I$1:I56))*($C$8/$C$7))</f>
        <v>2.3749833539492101E-13</v>
      </c>
      <c r="I57" s="115">
        <f t="shared" si="3"/>
        <v>-2.3749833539492101E-13</v>
      </c>
      <c r="J57" s="6">
        <f t="shared" si="4"/>
        <v>9.1159407800648641E-12</v>
      </c>
    </row>
    <row r="58" spans="5:10" x14ac:dyDescent="0.15">
      <c r="E58" s="114">
        <f t="shared" si="0"/>
        <v>55137</v>
      </c>
      <c r="F58" s="124">
        <f t="shared" si="1"/>
        <v>2050</v>
      </c>
      <c r="G58" s="115">
        <f t="shared" si="2"/>
        <v>0</v>
      </c>
      <c r="H58" s="115">
        <f>IF(OR(E58&lt;$C$5,E58&gt;$C$6),YEARFRAC(E57,E58)*J57*$C$8,($C$2-SUM($I$1:I57))*($C$8/$C$7))</f>
        <v>2.4385141586673513E-13</v>
      </c>
      <c r="I58" s="115">
        <f t="shared" si="3"/>
        <v>-2.4385141586673513E-13</v>
      </c>
      <c r="J58" s="6">
        <f t="shared" si="4"/>
        <v>9.3597921959315995E-12</v>
      </c>
    </row>
    <row r="59" spans="5:10" x14ac:dyDescent="0.15">
      <c r="E59" s="114">
        <f t="shared" si="0"/>
        <v>55319</v>
      </c>
      <c r="F59" s="124">
        <f t="shared" si="1"/>
        <v>2051</v>
      </c>
      <c r="G59" s="115">
        <f t="shared" si="2"/>
        <v>0</v>
      </c>
      <c r="H59" s="115">
        <f>IF(OR(E59&lt;$C$5,E59&gt;$C$6),YEARFRAC(E58,E59)*J58*$C$8,($C$2-SUM($I$1:I58))*($C$8/$C$7))</f>
        <v>2.503744412411703E-13</v>
      </c>
      <c r="I59" s="115">
        <f t="shared" si="3"/>
        <v>-2.503744412411703E-13</v>
      </c>
      <c r="J59" s="6">
        <f t="shared" si="4"/>
        <v>9.6101666371727702E-12</v>
      </c>
    </row>
    <row r="60" spans="5:10" x14ac:dyDescent="0.15">
      <c r="E60" s="114">
        <f t="shared" si="0"/>
        <v>55502</v>
      </c>
      <c r="F60" s="124">
        <f t="shared" si="1"/>
        <v>2051</v>
      </c>
      <c r="G60" s="115">
        <f t="shared" si="2"/>
        <v>0</v>
      </c>
      <c r="H60" s="115">
        <f>IF(OR(E60&lt;$C$5,E60&gt;$C$6),YEARFRAC(E59,E60)*J59*$C$8,($C$2-SUM($I$1:I59))*($C$8/$C$7))</f>
        <v>2.5707195754437161E-13</v>
      </c>
      <c r="I60" s="115">
        <f t="shared" si="3"/>
        <v>-2.5707195754437161E-13</v>
      </c>
      <c r="J60" s="6">
        <f t="shared" si="4"/>
        <v>9.8672385947171426E-12</v>
      </c>
    </row>
    <row r="61" spans="5:10" x14ac:dyDescent="0.15">
      <c r="E61" s="114">
        <f t="shared" si="0"/>
        <v>55685</v>
      </c>
      <c r="F61" s="124">
        <f t="shared" si="1"/>
        <v>2052</v>
      </c>
      <c r="G61" s="115">
        <f t="shared" si="2"/>
        <v>0</v>
      </c>
      <c r="H61" s="115">
        <f>IF(OR(E61&lt;$C$5,E61&gt;$C$6),YEARFRAC(E60,E61)*J60*$C$8,($C$2-SUM($I$1:I60))*($C$8/$C$7))</f>
        <v>2.6394863240868356E-13</v>
      </c>
      <c r="I61" s="115">
        <f t="shared" si="3"/>
        <v>-2.6394863240868356E-13</v>
      </c>
      <c r="J61" s="6">
        <f t="shared" si="4"/>
        <v>1.0131187227125826E-11</v>
      </c>
    </row>
    <row r="62" spans="5:10" x14ac:dyDescent="0.15">
      <c r="E62" s="114">
        <f t="shared" si="0"/>
        <v>55868</v>
      </c>
      <c r="F62" s="124">
        <f t="shared" si="1"/>
        <v>2052</v>
      </c>
      <c r="G62" s="115">
        <f t="shared" si="2"/>
        <v>0</v>
      </c>
      <c r="H62" s="115">
        <f>IF(OR(E62&lt;$C$5,E62&gt;$C$6),YEARFRAC(E61,E62)*J61*$C$8,($C$2-SUM($I$1:I61))*($C$8/$C$7))</f>
        <v>2.7100925832561582E-13</v>
      </c>
      <c r="I62" s="115">
        <f t="shared" si="3"/>
        <v>-2.7100925832561582E-13</v>
      </c>
      <c r="J62" s="6">
        <f t="shared" si="4"/>
        <v>1.0402196485451441E-11</v>
      </c>
    </row>
    <row r="63" spans="5:10" x14ac:dyDescent="0.15">
      <c r="E63" s="114">
        <f t="shared" si="0"/>
        <v>56050</v>
      </c>
      <c r="F63" s="124">
        <f t="shared" si="1"/>
        <v>2053</v>
      </c>
      <c r="G63" s="115">
        <f t="shared" si="2"/>
        <v>0</v>
      </c>
      <c r="H63" s="115">
        <f>IF(OR(E63&lt;$C$5,E63&gt;$C$6),YEARFRAC(E62,E63)*J62*$C$8,($C$2-SUM($I$1:I62))*($C$8/$C$7))</f>
        <v>2.7825875598582606E-13</v>
      </c>
      <c r="I63" s="115">
        <f t="shared" si="3"/>
        <v>-2.7825875598582606E-13</v>
      </c>
      <c r="J63" s="6">
        <f t="shared" si="4"/>
        <v>1.0680455241437267E-11</v>
      </c>
    </row>
    <row r="64" spans="5:10" x14ac:dyDescent="0.15">
      <c r="E64" s="114">
        <f t="shared" si="0"/>
        <v>56233</v>
      </c>
      <c r="F64" s="124">
        <f t="shared" si="1"/>
        <v>2053</v>
      </c>
      <c r="G64" s="115">
        <f t="shared" si="2"/>
        <v>0</v>
      </c>
      <c r="H64" s="115">
        <f>IF(OR(E64&lt;$C$5,E64&gt;$C$6),YEARFRAC(E63,E64)*J63*$C$8,($C$2-SUM($I$1:I63))*($C$8/$C$7))</f>
        <v>2.8570217770844689E-13</v>
      </c>
      <c r="I64" s="115">
        <f t="shared" si="3"/>
        <v>-2.8570217770844689E-13</v>
      </c>
      <c r="J64" s="6">
        <f t="shared" si="4"/>
        <v>1.0966157419145714E-11</v>
      </c>
    </row>
    <row r="65" spans="5:10" x14ac:dyDescent="0.15">
      <c r="E65" s="114">
        <f t="shared" si="0"/>
        <v>56415</v>
      </c>
      <c r="F65" s="124">
        <f t="shared" si="1"/>
        <v>2054</v>
      </c>
      <c r="G65" s="115">
        <f t="shared" si="2"/>
        <v>0</v>
      </c>
      <c r="H65" s="115">
        <f>IF(OR(E65&lt;$C$5,E65&gt;$C$6),YEARFRAC(E64,E65)*J64*$C$8,($C$2-SUM($I$1:I64))*($C$8/$C$7))</f>
        <v>2.9334471096214783E-13</v>
      </c>
      <c r="I65" s="115">
        <f t="shared" si="3"/>
        <v>-2.9334471096214783E-13</v>
      </c>
      <c r="J65" s="6">
        <f t="shared" si="4"/>
        <v>1.1259502130107862E-11</v>
      </c>
    </row>
    <row r="66" spans="5:10" x14ac:dyDescent="0.15">
      <c r="E66" s="114">
        <f t="shared" si="0"/>
        <v>56598</v>
      </c>
      <c r="F66" s="124">
        <f t="shared" si="1"/>
        <v>2054</v>
      </c>
      <c r="G66" s="115">
        <f t="shared" si="2"/>
        <v>0</v>
      </c>
      <c r="H66" s="115">
        <f>IF(OR(E66&lt;$C$5,E66&gt;$C$6),YEARFRAC(E65,E66)*J65*$C$8,($C$2-SUM($I$1:I65))*($C$8/$C$7))</f>
        <v>3.011916819803853E-13</v>
      </c>
      <c r="I66" s="115">
        <f t="shared" si="3"/>
        <v>-3.011916819803853E-13</v>
      </c>
      <c r="J66" s="6">
        <f t="shared" si="4"/>
        <v>1.1560693812088248E-11</v>
      </c>
    </row>
    <row r="67" spans="5:10" x14ac:dyDescent="0.15">
      <c r="E67" s="114">
        <f t="shared" ref="E67:E130" si="8">IF($C$7=12,EDATE(E66,1),IF($C$7=4,EDATE(E66,3),IF($C$7=2,EDATE(E66,6),0)))</f>
        <v>56780</v>
      </c>
      <c r="F67" s="124">
        <f t="shared" ref="F67:F130" si="9">YEAR(E67)</f>
        <v>2055</v>
      </c>
      <c r="G67" s="115">
        <f t="shared" ref="G67:G130" si="10">IF(OR(E67&lt;$C$5,E67&gt;$C$6),0,-PMT($C$8/$C$7,$C$9,$C$2))</f>
        <v>0</v>
      </c>
      <c r="H67" s="115">
        <f>IF(OR(E67&lt;$C$5,E67&gt;$C$6),YEARFRAC(E66,E67)*J66*$C$8,($C$2-SUM($I$1:I66))*($C$8/$C$7))</f>
        <v>3.0924855947336063E-13</v>
      </c>
      <c r="I67" s="115">
        <f t="shared" ref="I67:I130" si="11">IF($C$5&gt;E67,0,G67-H67)</f>
        <v>-3.0924855947336063E-13</v>
      </c>
      <c r="J67" s="6">
        <f t="shared" si="4"/>
        <v>1.1869942371561609E-11</v>
      </c>
    </row>
    <row r="68" spans="5:10" x14ac:dyDescent="0.15">
      <c r="E68" s="114">
        <f t="shared" si="8"/>
        <v>56963</v>
      </c>
      <c r="F68" s="124">
        <f t="shared" si="9"/>
        <v>2055</v>
      </c>
      <c r="G68" s="115">
        <f t="shared" si="10"/>
        <v>0</v>
      </c>
      <c r="H68" s="115">
        <f>IF(OR(E68&lt;$C$5,E68&gt;$C$6),YEARFRAC(E67,E68)*J67*$C$8,($C$2-SUM($I$1:I67))*($C$8/$C$7))</f>
        <v>3.1752095843927303E-13</v>
      </c>
      <c r="I68" s="115">
        <f t="shared" si="11"/>
        <v>-3.1752095843927303E-13</v>
      </c>
      <c r="J68" s="6">
        <f t="shared" ref="J68:J131" si="12">J67-I68</f>
        <v>1.2187463330000883E-11</v>
      </c>
    </row>
    <row r="69" spans="5:10" x14ac:dyDescent="0.15">
      <c r="E69" s="114">
        <f t="shared" si="8"/>
        <v>57146</v>
      </c>
      <c r="F69" s="124">
        <f t="shared" si="9"/>
        <v>2056</v>
      </c>
      <c r="G69" s="115">
        <f t="shared" si="10"/>
        <v>0</v>
      </c>
      <c r="H69" s="115">
        <f>IF(OR(E69&lt;$C$5,E69&gt;$C$6),YEARFRAC(E68,E69)*J68*$C$8,($C$2-SUM($I$1:I68))*($C$8/$C$7))</f>
        <v>3.2601464407752358E-13</v>
      </c>
      <c r="I69" s="115">
        <f t="shared" si="11"/>
        <v>-3.2601464407752358E-13</v>
      </c>
      <c r="J69" s="6">
        <f t="shared" si="12"/>
        <v>1.2513477974078405E-11</v>
      </c>
    </row>
    <row r="70" spans="5:10" x14ac:dyDescent="0.15">
      <c r="E70" s="114">
        <f t="shared" si="8"/>
        <v>57329</v>
      </c>
      <c r="F70" s="124">
        <f t="shared" si="9"/>
        <v>2056</v>
      </c>
      <c r="G70" s="115">
        <f t="shared" si="10"/>
        <v>0</v>
      </c>
      <c r="H70" s="115">
        <f>IF(OR(E70&lt;$C$5,E70&gt;$C$6),YEARFRAC(E69,E70)*J69*$C$8,($C$2-SUM($I$1:I69))*($C$8/$C$7))</f>
        <v>3.3473553580659735E-13</v>
      </c>
      <c r="I70" s="115">
        <f t="shared" si="11"/>
        <v>-3.3473553580659735E-13</v>
      </c>
      <c r="J70" s="6">
        <f t="shared" si="12"/>
        <v>1.2848213509885003E-11</v>
      </c>
    </row>
    <row r="71" spans="5:10" x14ac:dyDescent="0.15">
      <c r="E71" s="114">
        <f t="shared" si="8"/>
        <v>57511</v>
      </c>
      <c r="F71" s="124">
        <f t="shared" si="9"/>
        <v>2057</v>
      </c>
      <c r="G71" s="115">
        <f t="shared" si="10"/>
        <v>0</v>
      </c>
      <c r="H71" s="115">
        <f>IF(OR(E71&lt;$C$5,E71&gt;$C$6),YEARFRAC(E70,E71)*J70*$C$8,($C$2-SUM($I$1:I70))*($C$8/$C$7))</f>
        <v>3.436897113894238E-13</v>
      </c>
      <c r="I71" s="115">
        <f t="shared" si="11"/>
        <v>-3.436897113894238E-13</v>
      </c>
      <c r="J71" s="6">
        <f t="shared" si="12"/>
        <v>1.3191903221274426E-11</v>
      </c>
    </row>
    <row r="72" spans="5:10" x14ac:dyDescent="0.15">
      <c r="E72" s="114">
        <f t="shared" si="8"/>
        <v>57694</v>
      </c>
      <c r="F72" s="124">
        <f t="shared" si="9"/>
        <v>2057</v>
      </c>
      <c r="G72" s="115">
        <f t="shared" si="10"/>
        <v>0</v>
      </c>
      <c r="H72" s="115">
        <f>IF(OR(E72&lt;$C$5,E72&gt;$C$6),YEARFRAC(E71,E72)*J71*$C$8,($C$2-SUM($I$1:I71))*($C$8/$C$7))</f>
        <v>3.5288341116909089E-13</v>
      </c>
      <c r="I72" s="115">
        <f t="shared" si="11"/>
        <v>-3.5288341116909089E-13</v>
      </c>
      <c r="J72" s="6">
        <f t="shared" si="12"/>
        <v>1.3544786632443518E-11</v>
      </c>
    </row>
    <row r="73" spans="5:10" x14ac:dyDescent="0.15">
      <c r="E73" s="114">
        <f t="shared" si="8"/>
        <v>57876</v>
      </c>
      <c r="F73" s="124">
        <f t="shared" si="9"/>
        <v>2058</v>
      </c>
      <c r="G73" s="115">
        <f t="shared" si="10"/>
        <v>0</v>
      </c>
      <c r="H73" s="115">
        <f>IF(OR(E73&lt;$C$5,E73&gt;$C$6),YEARFRAC(E72,E73)*J72*$C$8,($C$2-SUM($I$1:I72))*($C$8/$C$7))</f>
        <v>3.623230424178641E-13</v>
      </c>
      <c r="I73" s="115">
        <f t="shared" si="11"/>
        <v>-3.623230424178641E-13</v>
      </c>
      <c r="J73" s="6">
        <f t="shared" si="12"/>
        <v>1.3907109674861383E-11</v>
      </c>
    </row>
    <row r="74" spans="5:10" x14ac:dyDescent="0.15">
      <c r="E74" s="114">
        <f t="shared" si="8"/>
        <v>58059</v>
      </c>
      <c r="F74" s="124">
        <f t="shared" si="9"/>
        <v>2058</v>
      </c>
      <c r="G74" s="115">
        <f t="shared" si="10"/>
        <v>0</v>
      </c>
      <c r="H74" s="115">
        <f>IF(OR(E74&lt;$C$5,E74&gt;$C$6),YEARFRAC(E73,E74)*J73*$C$8,($C$2-SUM($I$1:I73))*($C$8/$C$7))</f>
        <v>3.7201518380254195E-13</v>
      </c>
      <c r="I74" s="115">
        <f t="shared" si="11"/>
        <v>-3.7201518380254195E-13</v>
      </c>
      <c r="J74" s="6">
        <f t="shared" si="12"/>
        <v>1.4279124858663924E-11</v>
      </c>
    </row>
    <row r="75" spans="5:10" x14ac:dyDescent="0.15">
      <c r="E75" s="114">
        <f t="shared" si="8"/>
        <v>58241</v>
      </c>
      <c r="F75" s="124">
        <f t="shared" si="9"/>
        <v>2059</v>
      </c>
      <c r="G75" s="115">
        <f t="shared" si="10"/>
        <v>0</v>
      </c>
      <c r="H75" s="115">
        <f>IF(OR(E75&lt;$C$5,E75&gt;$C$6),YEARFRAC(E74,E75)*J74*$C$8,($C$2-SUM($I$1:I74))*($C$8/$C$7))</f>
        <v>3.8196658996925998E-13</v>
      </c>
      <c r="I75" s="115">
        <f t="shared" si="11"/>
        <v>-3.8196658996925998E-13</v>
      </c>
      <c r="J75" s="6">
        <f t="shared" si="12"/>
        <v>1.4661091448633184E-11</v>
      </c>
    </row>
    <row r="76" spans="5:10" x14ac:dyDescent="0.15">
      <c r="E76" s="114">
        <f t="shared" si="8"/>
        <v>58424</v>
      </c>
      <c r="F76" s="124">
        <f t="shared" si="9"/>
        <v>2059</v>
      </c>
      <c r="G76" s="115">
        <f t="shared" si="10"/>
        <v>0</v>
      </c>
      <c r="H76" s="115">
        <f>IF(OR(E76&lt;$C$5,E76&gt;$C$6),YEARFRAC(E75,E76)*J75*$C$8,($C$2-SUM($I$1:I75))*($C$8/$C$7))</f>
        <v>3.9218419625093767E-13</v>
      </c>
      <c r="I76" s="115">
        <f t="shared" si="11"/>
        <v>-3.9218419625093767E-13</v>
      </c>
      <c r="J76" s="6">
        <f t="shared" si="12"/>
        <v>1.5053275644884122E-11</v>
      </c>
    </row>
    <row r="77" spans="5:10" x14ac:dyDescent="0.15">
      <c r="E77" s="114">
        <f t="shared" si="8"/>
        <v>58607</v>
      </c>
      <c r="F77" s="124">
        <f t="shared" si="9"/>
        <v>2060</v>
      </c>
      <c r="G77" s="115">
        <f t="shared" si="10"/>
        <v>0</v>
      </c>
      <c r="H77" s="115">
        <f>IF(OR(E77&lt;$C$5,E77&gt;$C$6),YEARFRAC(E76,E77)*J76*$C$8,($C$2-SUM($I$1:I76))*($C$8/$C$7))</f>
        <v>4.0267512350065024E-13</v>
      </c>
      <c r="I77" s="115">
        <f t="shared" si="11"/>
        <v>-4.0267512350065024E-13</v>
      </c>
      <c r="J77" s="6">
        <f t="shared" si="12"/>
        <v>1.5455950768384772E-11</v>
      </c>
    </row>
    <row r="78" spans="5:10" x14ac:dyDescent="0.15">
      <c r="E78" s="114">
        <f t="shared" si="8"/>
        <v>58790</v>
      </c>
      <c r="F78" s="124">
        <f t="shared" si="9"/>
        <v>2060</v>
      </c>
      <c r="G78" s="115">
        <f t="shared" si="10"/>
        <v>0</v>
      </c>
      <c r="H78" s="115">
        <f>IF(OR(E78&lt;$C$5,E78&gt;$C$6),YEARFRAC(E77,E78)*J77*$C$8,($C$2-SUM($I$1:I77))*($C$8/$C$7))</f>
        <v>4.1344668305429263E-13</v>
      </c>
      <c r="I78" s="115">
        <f t="shared" si="11"/>
        <v>-4.1344668305429263E-13</v>
      </c>
      <c r="J78" s="6">
        <f t="shared" si="12"/>
        <v>1.5869397451439064E-11</v>
      </c>
    </row>
    <row r="79" spans="5:10" x14ac:dyDescent="0.15">
      <c r="E79" s="114">
        <f t="shared" si="8"/>
        <v>58972</v>
      </c>
      <c r="F79" s="124">
        <f t="shared" si="9"/>
        <v>2061</v>
      </c>
      <c r="G79" s="115">
        <f t="shared" si="10"/>
        <v>0</v>
      </c>
      <c r="H79" s="115">
        <f>IF(OR(E79&lt;$C$5,E79&gt;$C$6),YEARFRAC(E78,E79)*J78*$C$8,($C$2-SUM($I$1:I78))*($C$8/$C$7))</f>
        <v>4.2450638182599494E-13</v>
      </c>
      <c r="I79" s="115">
        <f t="shared" si="11"/>
        <v>-4.2450638182599494E-13</v>
      </c>
      <c r="J79" s="6">
        <f t="shared" si="12"/>
        <v>1.6293903833265059E-11</v>
      </c>
    </row>
    <row r="80" spans="5:10" x14ac:dyDescent="0.15">
      <c r="E80" s="114">
        <f t="shared" si="8"/>
        <v>59155</v>
      </c>
      <c r="F80" s="124">
        <f t="shared" si="9"/>
        <v>2061</v>
      </c>
      <c r="G80" s="115">
        <f t="shared" si="10"/>
        <v>0</v>
      </c>
      <c r="H80" s="115">
        <f>IF(OR(E80&lt;$C$5,E80&gt;$C$6),YEARFRAC(E79,E80)*J79*$C$8,($C$2-SUM($I$1:I79))*($C$8/$C$7))</f>
        <v>4.3586192753984032E-13</v>
      </c>
      <c r="I80" s="115">
        <f t="shared" si="11"/>
        <v>-4.3586192753984032E-13</v>
      </c>
      <c r="J80" s="6">
        <f t="shared" si="12"/>
        <v>1.67297657608049E-11</v>
      </c>
    </row>
    <row r="81" spans="5:10" x14ac:dyDescent="0.15">
      <c r="E81" s="114">
        <f t="shared" si="8"/>
        <v>59337</v>
      </c>
      <c r="F81" s="124">
        <f t="shared" si="9"/>
        <v>2062</v>
      </c>
      <c r="G81" s="115">
        <f t="shared" si="10"/>
        <v>0</v>
      </c>
      <c r="H81" s="115">
        <f>IF(OR(E81&lt;$C$5,E81&gt;$C$6),YEARFRAC(E80,E81)*J80*$C$8,($C$2-SUM($I$1:I80))*($C$8/$C$7))</f>
        <v>4.4752123410153108E-13</v>
      </c>
      <c r="I81" s="115">
        <f t="shared" si="11"/>
        <v>-4.4752123410153108E-13</v>
      </c>
      <c r="J81" s="6">
        <f t="shared" si="12"/>
        <v>1.7177286994906432E-11</v>
      </c>
    </row>
    <row r="82" spans="5:10" x14ac:dyDescent="0.15">
      <c r="E82" s="114">
        <f t="shared" si="8"/>
        <v>59520</v>
      </c>
      <c r="F82" s="124">
        <f t="shared" si="9"/>
        <v>2062</v>
      </c>
      <c r="G82" s="115">
        <f t="shared" si="10"/>
        <v>0</v>
      </c>
      <c r="H82" s="115">
        <f>IF(OR(E82&lt;$C$5,E82&gt;$C$6),YEARFRAC(E81,E82)*J81*$C$8,($C$2-SUM($I$1:I81))*($C$8/$C$7))</f>
        <v>4.5949242711374705E-13</v>
      </c>
      <c r="I82" s="115">
        <f t="shared" si="11"/>
        <v>-4.5949242711374705E-13</v>
      </c>
      <c r="J82" s="6">
        <f t="shared" si="12"/>
        <v>1.763677942202018E-11</v>
      </c>
    </row>
    <row r="83" spans="5:10" x14ac:dyDescent="0.15">
      <c r="E83" s="114">
        <f t="shared" si="8"/>
        <v>59702</v>
      </c>
      <c r="F83" s="124">
        <f t="shared" si="9"/>
        <v>2063</v>
      </c>
      <c r="G83" s="115">
        <f t="shared" si="10"/>
        <v>0</v>
      </c>
      <c r="H83" s="115">
        <f>IF(OR(E83&lt;$C$5,E83&gt;$C$6),YEARFRAC(E82,E83)*J82*$C$8,($C$2-SUM($I$1:I82))*($C$8/$C$7))</f>
        <v>4.7178384953903981E-13</v>
      </c>
      <c r="I83" s="115">
        <f t="shared" si="11"/>
        <v>-4.7178384953903981E-13</v>
      </c>
      <c r="J83" s="6">
        <f t="shared" si="12"/>
        <v>1.8108563271559221E-11</v>
      </c>
    </row>
    <row r="84" spans="5:10" x14ac:dyDescent="0.15">
      <c r="E84" s="114">
        <f t="shared" si="8"/>
        <v>59885</v>
      </c>
      <c r="F84" s="124">
        <f t="shared" si="9"/>
        <v>2063</v>
      </c>
      <c r="G84" s="115">
        <f t="shared" si="10"/>
        <v>0</v>
      </c>
      <c r="H84" s="115">
        <f>IF(OR(E84&lt;$C$5,E84&gt;$C$6),YEARFRAC(E83,E84)*J83*$C$8,($C$2-SUM($I$1:I83))*($C$8/$C$7))</f>
        <v>4.8440406751420919E-13</v>
      </c>
      <c r="I84" s="115">
        <f t="shared" si="11"/>
        <v>-4.8440406751420919E-13</v>
      </c>
      <c r="J84" s="6">
        <f t="shared" si="12"/>
        <v>1.8592967339073431E-11</v>
      </c>
    </row>
    <row r="85" spans="5:10" x14ac:dyDescent="0.15">
      <c r="E85" s="114">
        <f t="shared" si="8"/>
        <v>60068</v>
      </c>
      <c r="F85" s="124">
        <f t="shared" si="9"/>
        <v>2064</v>
      </c>
      <c r="G85" s="115">
        <f t="shared" si="10"/>
        <v>0</v>
      </c>
      <c r="H85" s="115">
        <f>IF(OR(E85&lt;$C$5,E85&gt;$C$6),YEARFRAC(E84,E85)*J84*$C$8,($C$2-SUM($I$1:I84))*($C$8/$C$7))</f>
        <v>4.9736187632021427E-13</v>
      </c>
      <c r="I85" s="115">
        <f t="shared" si="11"/>
        <v>-4.9736187632021427E-13</v>
      </c>
      <c r="J85" s="6">
        <f t="shared" si="12"/>
        <v>1.9090329215393645E-11</v>
      </c>
    </row>
    <row r="86" spans="5:10" x14ac:dyDescent="0.15">
      <c r="E86" s="114">
        <f t="shared" si="8"/>
        <v>60251</v>
      </c>
      <c r="F86" s="124">
        <f t="shared" si="9"/>
        <v>2064</v>
      </c>
      <c r="G86" s="115">
        <f t="shared" si="10"/>
        <v>0</v>
      </c>
      <c r="H86" s="115">
        <f>IF(OR(E86&lt;$C$5,E86&gt;$C$6),YEARFRAC(E85,E86)*J85*$C$8,($C$2-SUM($I$1:I85))*($C$8/$C$7))</f>
        <v>5.1066630651178002E-13</v>
      </c>
      <c r="I86" s="115">
        <f t="shared" si="11"/>
        <v>-5.1066630651178002E-13</v>
      </c>
      <c r="J86" s="6">
        <f t="shared" si="12"/>
        <v>1.9600995521905424E-11</v>
      </c>
    </row>
    <row r="87" spans="5:10" x14ac:dyDescent="0.15">
      <c r="E87" s="114">
        <f t="shared" si="8"/>
        <v>60433</v>
      </c>
      <c r="F87" s="124">
        <f t="shared" si="9"/>
        <v>2065</v>
      </c>
      <c r="G87" s="115">
        <f t="shared" si="10"/>
        <v>0</v>
      </c>
      <c r="H87" s="115">
        <f>IF(OR(E87&lt;$C$5,E87&gt;$C$6),YEARFRAC(E86,E87)*J86*$C$8,($C$2-SUM($I$1:I86))*($C$8/$C$7))</f>
        <v>5.2432663021097009E-13</v>
      </c>
      <c r="I87" s="115">
        <f t="shared" si="11"/>
        <v>-5.2432663021097009E-13</v>
      </c>
      <c r="J87" s="6">
        <f t="shared" si="12"/>
        <v>2.0125322152116395E-11</v>
      </c>
    </row>
    <row r="88" spans="5:10" x14ac:dyDescent="0.15">
      <c r="E88" s="114">
        <f t="shared" si="8"/>
        <v>60616</v>
      </c>
      <c r="F88" s="124">
        <f t="shared" si="9"/>
        <v>2065</v>
      </c>
      <c r="G88" s="115">
        <f t="shared" si="10"/>
        <v>0</v>
      </c>
      <c r="H88" s="115">
        <f>IF(OR(E88&lt;$C$5,E88&gt;$C$6),YEARFRAC(E87,E88)*J87*$C$8,($C$2-SUM($I$1:I87))*($C$8/$C$7))</f>
        <v>5.3835236756911352E-13</v>
      </c>
      <c r="I88" s="115">
        <f t="shared" si="11"/>
        <v>-5.3835236756911352E-13</v>
      </c>
      <c r="J88" s="6">
        <f t="shared" si="12"/>
        <v>2.0663674519685507E-11</v>
      </c>
    </row>
    <row r="89" spans="5:10" x14ac:dyDescent="0.15">
      <c r="E89" s="114">
        <f t="shared" si="8"/>
        <v>60798</v>
      </c>
      <c r="F89" s="124">
        <f t="shared" si="9"/>
        <v>2066</v>
      </c>
      <c r="G89" s="115">
        <f t="shared" si="10"/>
        <v>0</v>
      </c>
      <c r="H89" s="115">
        <f>IF(OR(E89&lt;$C$5,E89&gt;$C$6),YEARFRAC(E88,E89)*J88*$C$8,($C$2-SUM($I$1:I88))*($C$8/$C$7))</f>
        <v>5.5275329340158735E-13</v>
      </c>
      <c r="I89" s="115">
        <f t="shared" si="11"/>
        <v>-5.5275329340158735E-13</v>
      </c>
      <c r="J89" s="6">
        <f t="shared" si="12"/>
        <v>2.1216427813087094E-11</v>
      </c>
    </row>
    <row r="90" spans="5:10" x14ac:dyDescent="0.15">
      <c r="E90" s="114">
        <f t="shared" si="8"/>
        <v>60981</v>
      </c>
      <c r="F90" s="124">
        <f t="shared" si="9"/>
        <v>2066</v>
      </c>
      <c r="G90" s="115">
        <f t="shared" si="10"/>
        <v>0</v>
      </c>
      <c r="H90" s="115">
        <f>IF(OR(E90&lt;$C$5,E90&gt;$C$6),YEARFRAC(E89,E90)*J89*$C$8,($C$2-SUM($I$1:I89))*($C$8/$C$7))</f>
        <v>5.6753944400007977E-13</v>
      </c>
      <c r="I90" s="115">
        <f t="shared" si="11"/>
        <v>-5.6753944400007977E-13</v>
      </c>
      <c r="J90" s="6">
        <f t="shared" si="12"/>
        <v>2.1783967257087173E-11</v>
      </c>
    </row>
    <row r="91" spans="5:10" x14ac:dyDescent="0.15">
      <c r="E91" s="114">
        <f t="shared" si="8"/>
        <v>61163</v>
      </c>
      <c r="F91" s="124">
        <f t="shared" si="9"/>
        <v>2067</v>
      </c>
      <c r="G91" s="115">
        <f t="shared" si="10"/>
        <v>0</v>
      </c>
      <c r="H91" s="115">
        <f>IF(OR(E91&lt;$C$5,E91&gt;$C$6),YEARFRAC(E90,E91)*J90*$C$8,($C$2-SUM($I$1:I90))*($C$8/$C$7))</f>
        <v>5.8272112412708182E-13</v>
      </c>
      <c r="I91" s="115">
        <f t="shared" si="11"/>
        <v>-5.8272112412708182E-13</v>
      </c>
      <c r="J91" s="6">
        <f t="shared" si="12"/>
        <v>2.2366688381214254E-11</v>
      </c>
    </row>
    <row r="92" spans="5:10" x14ac:dyDescent="0.15">
      <c r="E92" s="114">
        <f t="shared" si="8"/>
        <v>61346</v>
      </c>
      <c r="F92" s="124">
        <f t="shared" si="9"/>
        <v>2067</v>
      </c>
      <c r="G92" s="115">
        <f t="shared" si="10"/>
        <v>0</v>
      </c>
      <c r="H92" s="115">
        <f>IF(OR(E92&lt;$C$5,E92&gt;$C$6),YEARFRAC(E91,E92)*J91*$C$8,($C$2-SUM($I$1:I91))*($C$8/$C$7))</f>
        <v>5.9830891419748133E-13</v>
      </c>
      <c r="I92" s="115">
        <f t="shared" si="11"/>
        <v>-5.9830891419748133E-13</v>
      </c>
      <c r="J92" s="6">
        <f t="shared" si="12"/>
        <v>2.2964997295411736E-11</v>
      </c>
    </row>
    <row r="93" spans="5:10" x14ac:dyDescent="0.15">
      <c r="E93" s="114">
        <f t="shared" si="8"/>
        <v>61529</v>
      </c>
      <c r="F93" s="124">
        <f t="shared" si="9"/>
        <v>2068</v>
      </c>
      <c r="G93" s="115">
        <f t="shared" si="10"/>
        <v>0</v>
      </c>
      <c r="H93" s="115">
        <f>IF(OR(E93&lt;$C$5,E93&gt;$C$6),YEARFRAC(E92,E93)*J92*$C$8,($C$2-SUM($I$1:I92))*($C$8/$C$7))</f>
        <v>6.1431367765226389E-13</v>
      </c>
      <c r="I93" s="115">
        <f t="shared" si="11"/>
        <v>-6.1431367765226389E-13</v>
      </c>
      <c r="J93" s="6">
        <f t="shared" si="12"/>
        <v>2.3579310973064001E-11</v>
      </c>
    </row>
    <row r="94" spans="5:10" x14ac:dyDescent="0.15">
      <c r="E94" s="114">
        <f t="shared" si="8"/>
        <v>61712</v>
      </c>
      <c r="F94" s="124">
        <f t="shared" si="9"/>
        <v>2068</v>
      </c>
      <c r="G94" s="115">
        <f t="shared" si="10"/>
        <v>0</v>
      </c>
      <c r="H94" s="115">
        <f>IF(OR(E94&lt;$C$5,E94&gt;$C$6),YEARFRAC(E93,E94)*J93*$C$8,($C$2-SUM($I$1:I93))*($C$8/$C$7))</f>
        <v>6.3074656852946201E-13</v>
      </c>
      <c r="I94" s="115">
        <f t="shared" si="11"/>
        <v>-6.3074656852946201E-13</v>
      </c>
      <c r="J94" s="6">
        <f t="shared" si="12"/>
        <v>2.4210057541593463E-11</v>
      </c>
    </row>
    <row r="95" spans="5:10" x14ac:dyDescent="0.15">
      <c r="E95" s="114">
        <f t="shared" si="8"/>
        <v>61894</v>
      </c>
      <c r="F95" s="124">
        <f t="shared" si="9"/>
        <v>2069</v>
      </c>
      <c r="G95" s="115">
        <f t="shared" si="10"/>
        <v>0</v>
      </c>
      <c r="H95" s="115">
        <f>IF(OR(E95&lt;$C$5,E95&gt;$C$6),YEARFRAC(E94,E95)*J94*$C$8,($C$2-SUM($I$1:I94))*($C$8/$C$7))</f>
        <v>6.4761903923762512E-13</v>
      </c>
      <c r="I95" s="115">
        <f t="shared" si="11"/>
        <v>-6.4761903923762512E-13</v>
      </c>
      <c r="J95" s="6">
        <f t="shared" si="12"/>
        <v>2.4857676580831086E-11</v>
      </c>
    </row>
    <row r="96" spans="5:10" x14ac:dyDescent="0.15">
      <c r="E96" s="114">
        <f t="shared" si="8"/>
        <v>62077</v>
      </c>
      <c r="F96" s="124">
        <f t="shared" si="9"/>
        <v>2069</v>
      </c>
      <c r="G96" s="115">
        <f t="shared" si="10"/>
        <v>0</v>
      </c>
      <c r="H96" s="115">
        <f>IF(OR(E96&lt;$C$5,E96&gt;$C$6),YEARFRAC(E95,E96)*J95*$C$8,($C$2-SUM($I$1:I95))*($C$8/$C$7))</f>
        <v>6.6494284853723158E-13</v>
      </c>
      <c r="I96" s="115">
        <f t="shared" si="11"/>
        <v>-6.6494284853723158E-13</v>
      </c>
      <c r="J96" s="6">
        <f t="shared" si="12"/>
        <v>2.5522619429368317E-11</v>
      </c>
    </row>
    <row r="97" spans="5:10" x14ac:dyDescent="0.15">
      <c r="E97" s="114">
        <f t="shared" si="8"/>
        <v>62259</v>
      </c>
      <c r="F97" s="124">
        <f t="shared" si="9"/>
        <v>2070</v>
      </c>
      <c r="G97" s="115">
        <f t="shared" si="10"/>
        <v>0</v>
      </c>
      <c r="H97" s="115">
        <f>IF(OR(E97&lt;$C$5,E97&gt;$C$6),YEARFRAC(E96,E97)*J96*$C$8,($C$2-SUM($I$1:I96))*($C$8/$C$7))</f>
        <v>6.8273006973560246E-13</v>
      </c>
      <c r="I97" s="115">
        <f t="shared" si="11"/>
        <v>-6.8273006973560246E-13</v>
      </c>
      <c r="J97" s="6">
        <f t="shared" si="12"/>
        <v>2.6205349499103921E-11</v>
      </c>
    </row>
    <row r="98" spans="5:10" x14ac:dyDescent="0.15">
      <c r="E98" s="114">
        <f t="shared" si="8"/>
        <v>62442</v>
      </c>
      <c r="F98" s="124">
        <f t="shared" si="9"/>
        <v>2070</v>
      </c>
      <c r="G98" s="115">
        <f t="shared" si="10"/>
        <v>0</v>
      </c>
      <c r="H98" s="115">
        <f>IF(OR(E98&lt;$C$5,E98&gt;$C$6),YEARFRAC(E97,E98)*J97*$C$8,($C$2-SUM($I$1:I97))*($C$8/$C$7))</f>
        <v>7.0099309910102986E-13</v>
      </c>
      <c r="I98" s="115">
        <f t="shared" si="11"/>
        <v>-7.0099309910102986E-13</v>
      </c>
      <c r="J98" s="6">
        <f t="shared" si="12"/>
        <v>2.690634259820495E-11</v>
      </c>
    </row>
    <row r="99" spans="5:10" x14ac:dyDescent="0.15">
      <c r="E99" s="114">
        <f t="shared" si="8"/>
        <v>62624</v>
      </c>
      <c r="F99" s="124">
        <f t="shared" si="9"/>
        <v>2071</v>
      </c>
      <c r="G99" s="115">
        <f t="shared" si="10"/>
        <v>0</v>
      </c>
      <c r="H99" s="115">
        <f>IF(OR(E99&lt;$C$5,E99&gt;$C$6),YEARFRAC(E98,E99)*J98*$C$8,($C$2-SUM($I$1:I98))*($C$8/$C$7))</f>
        <v>7.1974466450198235E-13</v>
      </c>
      <c r="I99" s="115">
        <f t="shared" si="11"/>
        <v>-7.1974466450198235E-13</v>
      </c>
      <c r="J99" s="6">
        <f t="shared" si="12"/>
        <v>2.7626087262706933E-11</v>
      </c>
    </row>
    <row r="100" spans="5:10" x14ac:dyDescent="0.15">
      <c r="E100" s="114">
        <f t="shared" si="8"/>
        <v>62807</v>
      </c>
      <c r="F100" s="124">
        <f t="shared" si="9"/>
        <v>2071</v>
      </c>
      <c r="G100" s="115">
        <f t="shared" si="10"/>
        <v>0</v>
      </c>
      <c r="H100" s="115">
        <f>IF(OR(E100&lt;$C$5,E100&gt;$C$6),YEARFRAC(E99,E100)*J99*$C$8,($C$2-SUM($I$1:I99))*($C$8/$C$7))</f>
        <v>7.389978342774104E-13</v>
      </c>
      <c r="I100" s="115">
        <f t="shared" si="11"/>
        <v>-7.389978342774104E-13</v>
      </c>
      <c r="J100" s="6">
        <f t="shared" si="12"/>
        <v>2.8365085096984343E-11</v>
      </c>
    </row>
    <row r="101" spans="5:10" x14ac:dyDescent="0.15">
      <c r="E101" s="114">
        <f t="shared" si="8"/>
        <v>62990</v>
      </c>
      <c r="F101" s="124">
        <f t="shared" si="9"/>
        <v>2072</v>
      </c>
      <c r="G101" s="115">
        <f t="shared" si="10"/>
        <v>0</v>
      </c>
      <c r="H101" s="115">
        <f>IF(OR(E101&lt;$C$5,E101&gt;$C$6),YEARFRAC(E100,E101)*J100*$C$8,($C$2-SUM($I$1:I100))*($C$8/$C$7))</f>
        <v>7.587660263443312E-13</v>
      </c>
      <c r="I101" s="115">
        <f t="shared" si="11"/>
        <v>-7.587660263443312E-13</v>
      </c>
      <c r="J101" s="6">
        <f t="shared" si="12"/>
        <v>2.9123851123328673E-11</v>
      </c>
    </row>
    <row r="102" spans="5:10" x14ac:dyDescent="0.15">
      <c r="E102" s="114">
        <f t="shared" si="8"/>
        <v>63173</v>
      </c>
      <c r="F102" s="124">
        <f t="shared" si="9"/>
        <v>2072</v>
      </c>
      <c r="G102" s="115">
        <f t="shared" si="10"/>
        <v>0</v>
      </c>
      <c r="H102" s="115">
        <f>IF(OR(E102&lt;$C$5,E102&gt;$C$6),YEARFRAC(E101,E102)*J101*$C$8,($C$2-SUM($I$1:I101))*($C$8/$C$7))</f>
        <v>7.7906301754904204E-13</v>
      </c>
      <c r="I102" s="115">
        <f t="shared" si="11"/>
        <v>-7.7906301754904204E-13</v>
      </c>
      <c r="J102" s="6">
        <f t="shared" si="12"/>
        <v>2.9902914140877715E-11</v>
      </c>
    </row>
    <row r="103" spans="5:10" x14ac:dyDescent="0.15">
      <c r="E103" s="114">
        <f t="shared" si="8"/>
        <v>63355</v>
      </c>
      <c r="F103" s="124">
        <f t="shared" si="9"/>
        <v>2073</v>
      </c>
      <c r="G103" s="115">
        <f t="shared" si="10"/>
        <v>0</v>
      </c>
      <c r="H103" s="115">
        <f>IF(OR(E103&lt;$C$5,E103&gt;$C$6),YEARFRAC(E102,E103)*J102*$C$8,($C$2-SUM($I$1:I102))*($C$8/$C$7))</f>
        <v>7.9990295326847882E-13</v>
      </c>
      <c r="I103" s="115">
        <f t="shared" si="11"/>
        <v>-7.9990295326847882E-13</v>
      </c>
      <c r="J103" s="6">
        <f t="shared" si="12"/>
        <v>3.0702817094146194E-11</v>
      </c>
    </row>
    <row r="104" spans="5:10" x14ac:dyDescent="0.15">
      <c r="E104" s="114">
        <f t="shared" si="8"/>
        <v>63538</v>
      </c>
      <c r="F104" s="124">
        <f t="shared" si="9"/>
        <v>2073</v>
      </c>
      <c r="G104" s="115">
        <f t="shared" si="10"/>
        <v>0</v>
      </c>
      <c r="H104" s="115">
        <f>IF(OR(E104&lt;$C$5,E104&gt;$C$6),YEARFRAC(E103,E104)*J103*$C$8,($C$2-SUM($I$1:I103))*($C$8/$C$7))</f>
        <v>8.2130035726841064E-13</v>
      </c>
      <c r="I104" s="115">
        <f t="shared" si="11"/>
        <v>-8.2130035726841064E-13</v>
      </c>
      <c r="J104" s="6">
        <f t="shared" si="12"/>
        <v>3.1524117451414603E-11</v>
      </c>
    </row>
    <row r="105" spans="5:10" x14ac:dyDescent="0.15">
      <c r="E105" s="114">
        <f t="shared" si="8"/>
        <v>63720</v>
      </c>
      <c r="F105" s="124">
        <f t="shared" si="9"/>
        <v>2074</v>
      </c>
      <c r="G105" s="115">
        <f t="shared" si="10"/>
        <v>0</v>
      </c>
      <c r="H105" s="115">
        <f>IF(OR(E105&lt;$C$5,E105&gt;$C$6),YEARFRAC(E104,E105)*J104*$C$8,($C$2-SUM($I$1:I104))*($C$8/$C$7))</f>
        <v>8.4327014182534063E-13</v>
      </c>
      <c r="I105" s="115">
        <f t="shared" si="11"/>
        <v>-8.4327014182534063E-13</v>
      </c>
      <c r="J105" s="6">
        <f t="shared" si="12"/>
        <v>3.2367387593239942E-11</v>
      </c>
    </row>
    <row r="106" spans="5:10" x14ac:dyDescent="0.15">
      <c r="E106" s="114">
        <f t="shared" si="8"/>
        <v>63903</v>
      </c>
      <c r="F106" s="124">
        <f t="shared" si="9"/>
        <v>2074</v>
      </c>
      <c r="G106" s="115">
        <f t="shared" si="10"/>
        <v>0</v>
      </c>
      <c r="H106" s="115">
        <f>IF(OR(E106&lt;$C$5,E106&gt;$C$6),YEARFRAC(E105,E106)*J105*$C$8,($C$2-SUM($I$1:I105))*($C$8/$C$7))</f>
        <v>8.6582761811916845E-13</v>
      </c>
      <c r="I106" s="115">
        <f t="shared" si="11"/>
        <v>-8.6582761811916845E-13</v>
      </c>
      <c r="J106" s="6">
        <f t="shared" si="12"/>
        <v>3.3233215211359108E-11</v>
      </c>
    </row>
    <row r="107" spans="5:10" x14ac:dyDescent="0.15">
      <c r="E107" s="114">
        <f t="shared" si="8"/>
        <v>64085</v>
      </c>
      <c r="F107" s="124">
        <f t="shared" si="9"/>
        <v>2075</v>
      </c>
      <c r="G107" s="115">
        <f t="shared" si="10"/>
        <v>0</v>
      </c>
      <c r="H107" s="115">
        <f>IF(OR(E107&lt;$C$5,E107&gt;$C$6),YEARFRAC(E106,E107)*J106*$C$8,($C$2-SUM($I$1:I106))*($C$8/$C$7))</f>
        <v>8.8898850690385616E-13</v>
      </c>
      <c r="I107" s="115">
        <f t="shared" si="11"/>
        <v>-8.8898850690385616E-13</v>
      </c>
      <c r="J107" s="6">
        <f t="shared" si="12"/>
        <v>3.4122203718262962E-11</v>
      </c>
    </row>
    <row r="108" spans="5:10" x14ac:dyDescent="0.15">
      <c r="E108" s="114">
        <f t="shared" si="8"/>
        <v>64268</v>
      </c>
      <c r="F108" s="124">
        <f t="shared" si="9"/>
        <v>2075</v>
      </c>
      <c r="G108" s="115">
        <f t="shared" si="10"/>
        <v>0</v>
      </c>
      <c r="H108" s="115">
        <f>IF(OR(E108&lt;$C$5,E108&gt;$C$6),YEARFRAC(E107,E108)*J107*$C$8,($C$2-SUM($I$1:I107))*($C$8/$C$7))</f>
        <v>9.1276894946353415E-13</v>
      </c>
      <c r="I108" s="115">
        <f t="shared" si="11"/>
        <v>-9.1276894946353415E-13</v>
      </c>
      <c r="J108" s="6">
        <f t="shared" si="12"/>
        <v>3.5034972667726494E-11</v>
      </c>
    </row>
    <row r="109" spans="5:10" x14ac:dyDescent="0.15">
      <c r="E109" s="114">
        <f t="shared" si="8"/>
        <v>64451</v>
      </c>
      <c r="F109" s="124">
        <f t="shared" si="9"/>
        <v>2076</v>
      </c>
      <c r="G109" s="115">
        <f t="shared" si="10"/>
        <v>0</v>
      </c>
      <c r="H109" s="115">
        <f>IF(OR(E109&lt;$C$5,E109&gt;$C$6),YEARFRAC(E108,E109)*J108*$C$8,($C$2-SUM($I$1:I108))*($C$8/$C$7))</f>
        <v>9.3718551886168373E-13</v>
      </c>
      <c r="I109" s="115">
        <f t="shared" si="11"/>
        <v>-9.3718551886168373E-13</v>
      </c>
      <c r="J109" s="6">
        <f t="shared" si="12"/>
        <v>3.5972158186588176E-11</v>
      </c>
    </row>
    <row r="110" spans="5:10" x14ac:dyDescent="0.15">
      <c r="E110" s="114">
        <f t="shared" si="8"/>
        <v>64634</v>
      </c>
      <c r="F110" s="124">
        <f t="shared" si="9"/>
        <v>2076</v>
      </c>
      <c r="G110" s="115">
        <f t="shared" si="10"/>
        <v>0</v>
      </c>
      <c r="H110" s="115">
        <f>IF(OR(E110&lt;$C$5,E110&gt;$C$6),YEARFRAC(E109,E110)*J109*$C$8,($C$2-SUM($I$1:I109))*($C$8/$C$7))</f>
        <v>9.6225523149123367E-13</v>
      </c>
      <c r="I110" s="115">
        <f t="shared" si="11"/>
        <v>-9.6225523149123367E-13</v>
      </c>
      <c r="J110" s="6">
        <f t="shared" si="12"/>
        <v>3.6934413418079412E-11</v>
      </c>
    </row>
    <row r="111" spans="5:10" x14ac:dyDescent="0.15">
      <c r="E111" s="114">
        <f t="shared" si="8"/>
        <v>64816</v>
      </c>
      <c r="F111" s="124">
        <f t="shared" si="9"/>
        <v>2077</v>
      </c>
      <c r="G111" s="115">
        <f t="shared" si="10"/>
        <v>0</v>
      </c>
      <c r="H111" s="115">
        <f>IF(OR(E111&lt;$C$5,E111&gt;$C$6),YEARFRAC(E110,E111)*J110*$C$8,($C$2-SUM($I$1:I110))*($C$8/$C$7))</f>
        <v>9.8799555893362421E-13</v>
      </c>
      <c r="I111" s="115">
        <f t="shared" si="11"/>
        <v>-9.8799555893362421E-13</v>
      </c>
      <c r="J111" s="6">
        <f t="shared" si="12"/>
        <v>3.7922408977013036E-11</v>
      </c>
    </row>
    <row r="112" spans="5:10" x14ac:dyDescent="0.15">
      <c r="E112" s="114">
        <f t="shared" si="8"/>
        <v>64999</v>
      </c>
      <c r="F112" s="124">
        <f t="shared" si="9"/>
        <v>2077</v>
      </c>
      <c r="G112" s="115">
        <f t="shared" si="10"/>
        <v>0</v>
      </c>
      <c r="H112" s="115">
        <f>IF(OR(E112&lt;$C$5,E112&gt;$C$6),YEARFRAC(E111,E112)*J111*$C$8,($C$2-SUM($I$1:I111))*($C$8/$C$7))</f>
        <v>1.0144244401350987E-12</v>
      </c>
      <c r="I112" s="115">
        <f t="shared" si="11"/>
        <v>-1.0144244401350987E-12</v>
      </c>
      <c r="J112" s="6">
        <f t="shared" si="12"/>
        <v>3.8936833417148137E-11</v>
      </c>
    </row>
    <row r="113" spans="5:10" x14ac:dyDescent="0.15">
      <c r="E113" s="114">
        <f t="shared" si="8"/>
        <v>65181</v>
      </c>
      <c r="F113" s="124">
        <f t="shared" si="9"/>
        <v>2078</v>
      </c>
      <c r="G113" s="115">
        <f t="shared" si="10"/>
        <v>0</v>
      </c>
      <c r="H113" s="115">
        <f>IF(OR(E113&lt;$C$5,E113&gt;$C$6),YEARFRAC(E112,E113)*J112*$C$8,($C$2-SUM($I$1:I112))*($C$8/$C$7))</f>
        <v>1.0415602939087127E-12</v>
      </c>
      <c r="I113" s="115">
        <f t="shared" si="11"/>
        <v>-1.0415602939087127E-12</v>
      </c>
      <c r="J113" s="6">
        <f t="shared" si="12"/>
        <v>3.9978393711056846E-11</v>
      </c>
    </row>
    <row r="114" spans="5:10" x14ac:dyDescent="0.15">
      <c r="E114" s="114">
        <f t="shared" si="8"/>
        <v>65364</v>
      </c>
      <c r="F114" s="124">
        <f t="shared" si="9"/>
        <v>2078</v>
      </c>
      <c r="G114" s="115">
        <f t="shared" si="10"/>
        <v>0</v>
      </c>
      <c r="H114" s="115">
        <f>IF(OR(E114&lt;$C$5,E114&gt;$C$6),YEARFRAC(E113,E114)*J113*$C$8,($C$2-SUM($I$1:I113))*($C$8/$C$7))</f>
        <v>1.0694220317707706E-12</v>
      </c>
      <c r="I114" s="115">
        <f t="shared" si="11"/>
        <v>-1.0694220317707706E-12</v>
      </c>
      <c r="J114" s="6">
        <f t="shared" si="12"/>
        <v>4.1047815742827618E-11</v>
      </c>
    </row>
    <row r="115" spans="5:10" x14ac:dyDescent="0.15">
      <c r="E115" s="114">
        <f t="shared" si="8"/>
        <v>65546</v>
      </c>
      <c r="F115" s="124">
        <f t="shared" si="9"/>
        <v>2079</v>
      </c>
      <c r="G115" s="115">
        <f t="shared" si="10"/>
        <v>0</v>
      </c>
      <c r="H115" s="115">
        <f>IF(OR(E115&lt;$C$5,E115&gt;$C$6),YEARFRAC(E114,E115)*J114*$C$8,($C$2-SUM($I$1:I114))*($C$8/$C$7))</f>
        <v>1.0980290711206388E-12</v>
      </c>
      <c r="I115" s="115">
        <f t="shared" si="11"/>
        <v>-1.0980290711206388E-12</v>
      </c>
      <c r="J115" s="6">
        <f t="shared" si="12"/>
        <v>4.2145844813948259E-11</v>
      </c>
    </row>
    <row r="116" spans="5:10" x14ac:dyDescent="0.15">
      <c r="E116" s="114">
        <f t="shared" si="8"/>
        <v>65729</v>
      </c>
      <c r="F116" s="124">
        <f t="shared" si="9"/>
        <v>2079</v>
      </c>
      <c r="G116" s="115">
        <f t="shared" si="10"/>
        <v>0</v>
      </c>
      <c r="H116" s="115">
        <f>IF(OR(E116&lt;$C$5,E116&gt;$C$6),YEARFRAC(E115,E116)*J115*$C$8,($C$2-SUM($I$1:I115))*($C$8/$C$7))</f>
        <v>1.1274013487731159E-12</v>
      </c>
      <c r="I116" s="115">
        <f t="shared" si="11"/>
        <v>-1.1274013487731159E-12</v>
      </c>
      <c r="J116" s="6">
        <f t="shared" si="12"/>
        <v>4.3273246162721376E-11</v>
      </c>
    </row>
    <row r="117" spans="5:10" x14ac:dyDescent="0.15">
      <c r="E117" s="114">
        <f t="shared" si="8"/>
        <v>65912</v>
      </c>
      <c r="F117" s="124">
        <f t="shared" si="9"/>
        <v>2080</v>
      </c>
      <c r="G117" s="115">
        <f t="shared" si="10"/>
        <v>0</v>
      </c>
      <c r="H117" s="115">
        <f>IF(OR(E117&lt;$C$5,E117&gt;$C$6),YEARFRAC(E116,E117)*J116*$C$8,($C$2-SUM($I$1:I116))*($C$8/$C$7))</f>
        <v>1.1575593348527969E-12</v>
      </c>
      <c r="I117" s="115">
        <f t="shared" si="11"/>
        <v>-1.1575593348527969E-12</v>
      </c>
      <c r="J117" s="6">
        <f t="shared" si="12"/>
        <v>4.4430805497574175E-11</v>
      </c>
    </row>
    <row r="118" spans="5:10" x14ac:dyDescent="0.15">
      <c r="E118" s="114">
        <f t="shared" si="8"/>
        <v>66095</v>
      </c>
      <c r="F118" s="124">
        <f t="shared" si="9"/>
        <v>2080</v>
      </c>
      <c r="G118" s="115">
        <f t="shared" si="10"/>
        <v>0</v>
      </c>
      <c r="H118" s="115">
        <f>IF(OR(E118&lt;$C$5,E118&gt;$C$6),YEARFRAC(E117,E118)*J117*$C$8,($C$2-SUM($I$1:I117))*($C$8/$C$7))</f>
        <v>1.1885240470601092E-12</v>
      </c>
      <c r="I118" s="115">
        <f t="shared" si="11"/>
        <v>-1.1885240470601092E-12</v>
      </c>
      <c r="J118" s="6">
        <f t="shared" si="12"/>
        <v>4.5619329544634282E-11</v>
      </c>
    </row>
    <row r="119" spans="5:10" x14ac:dyDescent="0.15">
      <c r="E119" s="114">
        <f t="shared" si="8"/>
        <v>66277</v>
      </c>
      <c r="F119" s="124">
        <f t="shared" si="9"/>
        <v>2081</v>
      </c>
      <c r="G119" s="115">
        <f t="shared" si="10"/>
        <v>0</v>
      </c>
      <c r="H119" s="115">
        <f>IF(OR(E119&lt;$C$5,E119&gt;$C$6),YEARFRAC(E118,E119)*J118*$C$8,($C$2-SUM($I$1:I118))*($C$8/$C$7))</f>
        <v>1.220317065318967E-12</v>
      </c>
      <c r="I119" s="115">
        <f t="shared" si="11"/>
        <v>-1.220317065318967E-12</v>
      </c>
      <c r="J119" s="6">
        <f t="shared" si="12"/>
        <v>4.6839646609953251E-11</v>
      </c>
    </row>
    <row r="120" spans="5:10" x14ac:dyDescent="0.15">
      <c r="E120" s="114">
        <f t="shared" si="8"/>
        <v>66460</v>
      </c>
      <c r="F120" s="124">
        <f t="shared" si="9"/>
        <v>2081</v>
      </c>
      <c r="G120" s="115">
        <f t="shared" si="10"/>
        <v>0</v>
      </c>
      <c r="H120" s="115">
        <f>IF(OR(E120&lt;$C$5,E120&gt;$C$6),YEARFRAC(E119,E120)*J119*$C$8,($C$2-SUM($I$1:I119))*($C$8/$C$7))</f>
        <v>1.2529605468162493E-12</v>
      </c>
      <c r="I120" s="115">
        <f t="shared" si="11"/>
        <v>-1.2529605468162493E-12</v>
      </c>
      <c r="J120" s="6">
        <f t="shared" si="12"/>
        <v>4.8092607156769497E-11</v>
      </c>
    </row>
    <row r="121" spans="5:10" x14ac:dyDescent="0.15">
      <c r="E121" s="114">
        <f t="shared" si="8"/>
        <v>66642</v>
      </c>
      <c r="F121" s="124">
        <f t="shared" si="9"/>
        <v>2082</v>
      </c>
      <c r="G121" s="115">
        <f t="shared" si="10"/>
        <v>0</v>
      </c>
      <c r="H121" s="115">
        <f>IF(OR(E121&lt;$C$5,E121&gt;$C$6),YEARFRAC(E120,E121)*J120*$C$8,($C$2-SUM($I$1:I120))*($C$8/$C$7))</f>
        <v>1.286477241443584E-12</v>
      </c>
      <c r="I121" s="115">
        <f t="shared" si="11"/>
        <v>-1.286477241443584E-12</v>
      </c>
      <c r="J121" s="6">
        <f t="shared" si="12"/>
        <v>4.937908439821308E-11</v>
      </c>
    </row>
    <row r="122" spans="5:10" x14ac:dyDescent="0.15">
      <c r="E122" s="114">
        <f t="shared" si="8"/>
        <v>66825</v>
      </c>
      <c r="F122" s="124">
        <f t="shared" si="9"/>
        <v>2082</v>
      </c>
      <c r="G122" s="115">
        <f t="shared" si="10"/>
        <v>0</v>
      </c>
      <c r="H122" s="115">
        <f>IF(OR(E122&lt;$C$5,E122&gt;$C$6),YEARFRAC(E121,E122)*J121*$C$8,($C$2-SUM($I$1:I121))*($C$8/$C$7))</f>
        <v>1.3208905076521999E-12</v>
      </c>
      <c r="I122" s="115">
        <f t="shared" si="11"/>
        <v>-1.3208905076521999E-12</v>
      </c>
      <c r="J122" s="6">
        <f t="shared" si="12"/>
        <v>5.0699974905865278E-11</v>
      </c>
    </row>
    <row r="123" spans="5:10" x14ac:dyDescent="0.15">
      <c r="E123" s="114">
        <f t="shared" si="8"/>
        <v>67007</v>
      </c>
      <c r="F123" s="124">
        <f t="shared" si="9"/>
        <v>2083</v>
      </c>
      <c r="G123" s="115">
        <f t="shared" si="10"/>
        <v>0</v>
      </c>
      <c r="H123" s="115">
        <f>IF(OR(E123&lt;$C$5,E123&gt;$C$6),YEARFRAC(E122,E123)*J122*$C$8,($C$2-SUM($I$1:I122))*($C$8/$C$7))</f>
        <v>1.3562243287318961E-12</v>
      </c>
      <c r="I123" s="115">
        <f t="shared" si="11"/>
        <v>-1.3562243287318961E-12</v>
      </c>
      <c r="J123" s="6">
        <f t="shared" si="12"/>
        <v>5.2056199234597174E-11</v>
      </c>
    </row>
    <row r="124" spans="5:10" x14ac:dyDescent="0.15">
      <c r="E124" s="114">
        <f t="shared" si="8"/>
        <v>67190</v>
      </c>
      <c r="F124" s="124">
        <f t="shared" si="9"/>
        <v>2083</v>
      </c>
      <c r="G124" s="115">
        <f t="shared" si="10"/>
        <v>0</v>
      </c>
      <c r="H124" s="115">
        <f>IF(OR(E124&lt;$C$5,E124&gt;$C$6),YEARFRAC(E123,E124)*J123*$C$8,($C$2-SUM($I$1:I123))*($C$8/$C$7))</f>
        <v>1.3925033295254743E-12</v>
      </c>
      <c r="I124" s="115">
        <f t="shared" si="11"/>
        <v>-1.3925033295254743E-12</v>
      </c>
      <c r="J124" s="6">
        <f t="shared" si="12"/>
        <v>5.3448702564122651E-11</v>
      </c>
    </row>
    <row r="125" spans="5:10" x14ac:dyDescent="0.15">
      <c r="E125" s="114">
        <f t="shared" si="8"/>
        <v>67373</v>
      </c>
      <c r="F125" s="124">
        <f t="shared" si="9"/>
        <v>2084</v>
      </c>
      <c r="G125" s="115">
        <f t="shared" si="10"/>
        <v>0</v>
      </c>
      <c r="H125" s="115">
        <f>IF(OR(E125&lt;$C$5,E125&gt;$C$6),YEARFRAC(E124,E125)*J124*$C$8,($C$2-SUM($I$1:I124))*($C$8/$C$7))</f>
        <v>1.4297527935902809E-12</v>
      </c>
      <c r="I125" s="115">
        <f t="shared" si="11"/>
        <v>-1.4297527935902809E-12</v>
      </c>
      <c r="J125" s="6">
        <f t="shared" si="12"/>
        <v>5.4878455357712933E-11</v>
      </c>
    </row>
    <row r="126" spans="5:10" x14ac:dyDescent="0.15">
      <c r="E126" s="114">
        <f t="shared" si="8"/>
        <v>67556</v>
      </c>
      <c r="F126" s="124">
        <f t="shared" si="9"/>
        <v>2084</v>
      </c>
      <c r="G126" s="115">
        <f t="shared" si="10"/>
        <v>0</v>
      </c>
      <c r="H126" s="115">
        <f>IF(OR(E126&lt;$C$5,E126&gt;$C$6),YEARFRAC(E125,E126)*J125*$C$8,($C$2-SUM($I$1:I125))*($C$8/$C$7))</f>
        <v>1.4679986808188208E-12</v>
      </c>
      <c r="I126" s="115">
        <f t="shared" si="11"/>
        <v>-1.4679986808188208E-12</v>
      </c>
      <c r="J126" s="6">
        <f t="shared" si="12"/>
        <v>5.6346454038531753E-11</v>
      </c>
    </row>
    <row r="127" spans="5:10" x14ac:dyDescent="0.15">
      <c r="E127" s="114">
        <f t="shared" si="8"/>
        <v>67738</v>
      </c>
      <c r="F127" s="124">
        <f t="shared" si="9"/>
        <v>2085</v>
      </c>
      <c r="G127" s="115">
        <f t="shared" si="10"/>
        <v>0</v>
      </c>
      <c r="H127" s="115">
        <f>IF(OR(E127&lt;$C$5,E127&gt;$C$6),YEARFRAC(E126,E127)*J126*$C$8,($C$2-SUM($I$1:I126))*($C$8/$C$7))</f>
        <v>1.5072676455307243E-12</v>
      </c>
      <c r="I127" s="115">
        <f t="shared" si="11"/>
        <v>-1.5072676455307243E-12</v>
      </c>
      <c r="J127" s="6">
        <f t="shared" si="12"/>
        <v>5.7853721684062477E-11</v>
      </c>
    </row>
    <row r="128" spans="5:10" x14ac:dyDescent="0.15">
      <c r="E128" s="114">
        <f t="shared" si="8"/>
        <v>67921</v>
      </c>
      <c r="F128" s="124">
        <f t="shared" si="9"/>
        <v>2085</v>
      </c>
      <c r="G128" s="115">
        <f t="shared" si="10"/>
        <v>0</v>
      </c>
      <c r="H128" s="115">
        <f>IF(OR(E128&lt;$C$5,E128&gt;$C$6),YEARFRAC(E127,E128)*J127*$C$8,($C$2-SUM($I$1:I127))*($C$8/$C$7))</f>
        <v>1.5475870550486712E-12</v>
      </c>
      <c r="I128" s="115">
        <f t="shared" si="11"/>
        <v>-1.5475870550486712E-12</v>
      </c>
      <c r="J128" s="6">
        <f t="shared" si="12"/>
        <v>5.9401308739111147E-11</v>
      </c>
    </row>
    <row r="129" spans="5:10" x14ac:dyDescent="0.15">
      <c r="E129" s="114">
        <f t="shared" si="8"/>
        <v>68103</v>
      </c>
      <c r="F129" s="124">
        <f t="shared" si="9"/>
        <v>2086</v>
      </c>
      <c r="G129" s="115">
        <f t="shared" si="10"/>
        <v>0</v>
      </c>
      <c r="H129" s="115">
        <f>IF(OR(E129&lt;$C$5,E129&gt;$C$6),YEARFRAC(E128,E129)*J128*$C$8,($C$2-SUM($I$1:I128))*($C$8/$C$7))</f>
        <v>1.5889850087712231E-12</v>
      </c>
      <c r="I129" s="115">
        <f t="shared" si="11"/>
        <v>-1.5889850087712231E-12</v>
      </c>
      <c r="J129" s="6">
        <f t="shared" si="12"/>
        <v>6.099029374788237E-11</v>
      </c>
    </row>
    <row r="130" spans="5:10" x14ac:dyDescent="0.15">
      <c r="E130" s="114">
        <f t="shared" si="8"/>
        <v>68286</v>
      </c>
      <c r="F130" s="124">
        <f t="shared" si="9"/>
        <v>2086</v>
      </c>
      <c r="G130" s="115">
        <f t="shared" si="10"/>
        <v>0</v>
      </c>
      <c r="H130" s="115">
        <f>IF(OR(E130&lt;$C$5,E130&gt;$C$6),YEARFRAC(E129,E130)*J129*$C$8,($C$2-SUM($I$1:I129))*($C$8/$C$7))</f>
        <v>1.6314903577558534E-12</v>
      </c>
      <c r="I130" s="115">
        <f t="shared" si="11"/>
        <v>-1.6314903577558534E-12</v>
      </c>
      <c r="J130" s="6">
        <f t="shared" si="12"/>
        <v>6.2621784105638223E-11</v>
      </c>
    </row>
    <row r="131" spans="5:10" x14ac:dyDescent="0.15">
      <c r="E131" s="114">
        <f t="shared" ref="E131:E182" si="13">IF($C$7=12,EDATE(E130,1),IF($C$7=4,EDATE(E130,3),IF($C$7=2,EDATE(E130,6),0)))</f>
        <v>68468</v>
      </c>
      <c r="F131" s="124">
        <f t="shared" ref="F131:F182" si="14">YEAR(E131)</f>
        <v>2087</v>
      </c>
      <c r="G131" s="115">
        <f t="shared" ref="G131:G182" si="15">IF(OR(E131&lt;$C$5,E131&gt;$C$6),0,-PMT($C$8/$C$7,$C$9,$C$2))</f>
        <v>0</v>
      </c>
      <c r="H131" s="115">
        <f>IF(OR(E131&lt;$C$5,E131&gt;$C$6),YEARFRAC(E130,E131)*J130*$C$8,($C$2-SUM($I$1:I130))*($C$8/$C$7))</f>
        <v>1.6751327248258225E-12</v>
      </c>
      <c r="I131" s="115">
        <f t="shared" ref="I131:I182" si="16">IF($C$5&gt;E131,0,G131-H131)</f>
        <v>-1.6751327248258225E-12</v>
      </c>
      <c r="J131" s="6">
        <f t="shared" si="12"/>
        <v>6.4296916830464045E-11</v>
      </c>
    </row>
    <row r="132" spans="5:10" x14ac:dyDescent="0.15">
      <c r="E132" s="114">
        <f t="shared" si="13"/>
        <v>68651</v>
      </c>
      <c r="F132" s="124">
        <f t="shared" si="14"/>
        <v>2087</v>
      </c>
      <c r="G132" s="115">
        <f t="shared" si="15"/>
        <v>0</v>
      </c>
      <c r="H132" s="115">
        <f>IF(OR(E132&lt;$C$5,E132&gt;$C$6),YEARFRAC(E131,E132)*J131*$C$8,($C$2-SUM($I$1:I131))*($C$8/$C$7))</f>
        <v>1.7199425252149132E-12</v>
      </c>
      <c r="I132" s="115">
        <f t="shared" si="16"/>
        <v>-1.7199425252149132E-12</v>
      </c>
      <c r="J132" s="6">
        <f t="shared" ref="J132:J182" si="17">J131-I132</f>
        <v>6.6016859355678963E-11</v>
      </c>
    </row>
    <row r="133" spans="5:10" x14ac:dyDescent="0.15">
      <c r="E133" s="114">
        <f t="shared" si="13"/>
        <v>68834</v>
      </c>
      <c r="F133" s="124">
        <f t="shared" si="14"/>
        <v>2088</v>
      </c>
      <c r="G133" s="115">
        <f t="shared" si="15"/>
        <v>0</v>
      </c>
      <c r="H133" s="115">
        <f>IF(OR(E133&lt;$C$5,E133&gt;$C$6),YEARFRAC(E132,E133)*J132*$C$8,($C$2-SUM($I$1:I132))*($C$8/$C$7))</f>
        <v>1.7659509877644122E-12</v>
      </c>
      <c r="I133" s="115">
        <f t="shared" si="16"/>
        <v>-1.7659509877644122E-12</v>
      </c>
      <c r="J133" s="6">
        <f t="shared" si="17"/>
        <v>6.7782810343443378E-11</v>
      </c>
    </row>
    <row r="134" spans="5:10" x14ac:dyDescent="0.15">
      <c r="E134" s="114">
        <f t="shared" si="13"/>
        <v>69017</v>
      </c>
      <c r="F134" s="124">
        <f t="shared" si="14"/>
        <v>2088</v>
      </c>
      <c r="G134" s="115">
        <f t="shared" si="15"/>
        <v>0</v>
      </c>
      <c r="H134" s="115">
        <f>IF(OR(E134&lt;$C$5,E134&gt;$C$6),YEARFRAC(E133,E134)*J133*$C$8,($C$2-SUM($I$1:I133))*($C$8/$C$7))</f>
        <v>1.8131901766871104E-12</v>
      </c>
      <c r="I134" s="115">
        <f t="shared" si="16"/>
        <v>-1.8131901766871104E-12</v>
      </c>
      <c r="J134" s="6">
        <f t="shared" si="17"/>
        <v>6.9596000520130486E-11</v>
      </c>
    </row>
    <row r="135" spans="5:10" x14ac:dyDescent="0.15">
      <c r="E135" s="114">
        <f t="shared" si="13"/>
        <v>69199</v>
      </c>
      <c r="F135" s="124">
        <f t="shared" si="14"/>
        <v>2089</v>
      </c>
      <c r="G135" s="115">
        <f t="shared" si="15"/>
        <v>0</v>
      </c>
      <c r="H135" s="115">
        <f>IF(OR(E135&lt;$C$5,E135&gt;$C$6),YEARFRAC(E134,E135)*J134*$C$8,($C$2-SUM($I$1:I134))*($C$8/$C$7))</f>
        <v>1.8616930139134906E-12</v>
      </c>
      <c r="I135" s="115">
        <f t="shared" si="16"/>
        <v>-1.8616930139134906E-12</v>
      </c>
      <c r="J135" s="6">
        <f t="shared" si="17"/>
        <v>7.1457693534043983E-11</v>
      </c>
    </row>
    <row r="136" spans="5:10" x14ac:dyDescent="0.15">
      <c r="E136" s="114">
        <f t="shared" si="13"/>
        <v>69382</v>
      </c>
      <c r="F136" s="124">
        <f t="shared" si="14"/>
        <v>2089</v>
      </c>
      <c r="G136" s="115">
        <f t="shared" si="15"/>
        <v>0</v>
      </c>
      <c r="H136" s="115">
        <f>IF(OR(E136&lt;$C$5,E136&gt;$C$6),YEARFRAC(E135,E136)*J135*$C$8,($C$2-SUM($I$1:I135))*($C$8/$C$7))</f>
        <v>1.9114933020356764E-12</v>
      </c>
      <c r="I136" s="115">
        <f t="shared" si="16"/>
        <v>-1.9114933020356764E-12</v>
      </c>
      <c r="J136" s="6">
        <f t="shared" si="17"/>
        <v>7.3369186836079664E-11</v>
      </c>
    </row>
    <row r="137" spans="5:10" x14ac:dyDescent="0.15">
      <c r="E137" s="114">
        <f t="shared" si="13"/>
        <v>69564</v>
      </c>
      <c r="F137" s="124">
        <f t="shared" si="14"/>
        <v>2090</v>
      </c>
      <c r="G137" s="115">
        <f t="shared" si="15"/>
        <v>0</v>
      </c>
      <c r="H137" s="115">
        <f>IF(OR(E137&lt;$C$5,E137&gt;$C$6),YEARFRAC(E136,E137)*J136*$C$8,($C$2-SUM($I$1:I136))*($C$8/$C$7))</f>
        <v>1.9626257478651309E-12</v>
      </c>
      <c r="I137" s="115">
        <f t="shared" si="16"/>
        <v>-1.9626257478651309E-12</v>
      </c>
      <c r="J137" s="6">
        <f t="shared" si="17"/>
        <v>7.5331812583944792E-11</v>
      </c>
    </row>
    <row r="138" spans="5:10" x14ac:dyDescent="0.15">
      <c r="E138" s="114">
        <f t="shared" si="13"/>
        <v>69747</v>
      </c>
      <c r="F138" s="124">
        <f t="shared" si="14"/>
        <v>2090</v>
      </c>
      <c r="G138" s="115">
        <f t="shared" si="15"/>
        <v>0</v>
      </c>
      <c r="H138" s="115">
        <f>IF(OR(E138&lt;$C$5,E138&gt;$C$6),YEARFRAC(E137,E138)*J137*$C$8,($C$2-SUM($I$1:I137))*($C$8/$C$7))</f>
        <v>2.0151259866205231E-12</v>
      </c>
      <c r="I138" s="115">
        <f t="shared" si="16"/>
        <v>-2.0151259866205231E-12</v>
      </c>
      <c r="J138" s="6">
        <f t="shared" si="17"/>
        <v>7.7346938570565314E-11</v>
      </c>
    </row>
    <row r="139" spans="5:10" x14ac:dyDescent="0.15">
      <c r="E139" s="114">
        <f t="shared" si="13"/>
        <v>69929</v>
      </c>
      <c r="F139" s="124">
        <f t="shared" si="14"/>
        <v>2091</v>
      </c>
      <c r="G139" s="115">
        <f t="shared" si="15"/>
        <v>0</v>
      </c>
      <c r="H139" s="115">
        <f>IF(OR(E139&lt;$C$5,E139&gt;$C$6),YEARFRAC(E138,E139)*J138*$C$8,($C$2-SUM($I$1:I138))*($C$8/$C$7))</f>
        <v>2.069030606762622E-12</v>
      </c>
      <c r="I139" s="115">
        <f t="shared" si="16"/>
        <v>-2.069030606762622E-12</v>
      </c>
      <c r="J139" s="6">
        <f t="shared" si="17"/>
        <v>7.9415969177327931E-11</v>
      </c>
    </row>
    <row r="140" spans="5:10" x14ac:dyDescent="0.15">
      <c r="E140" s="114">
        <f t="shared" si="13"/>
        <v>70112</v>
      </c>
      <c r="F140" s="124">
        <f t="shared" si="14"/>
        <v>2091</v>
      </c>
      <c r="G140" s="115">
        <f t="shared" si="15"/>
        <v>0</v>
      </c>
      <c r="H140" s="115">
        <f>IF(OR(E140&lt;$C$5,E140&gt;$C$6),YEARFRAC(E139,E140)*J139*$C$8,($C$2-SUM($I$1:I139))*($C$8/$C$7))</f>
        <v>2.1243771754935222E-12</v>
      </c>
      <c r="I140" s="115">
        <f t="shared" si="16"/>
        <v>-2.1243771754935222E-12</v>
      </c>
      <c r="J140" s="6">
        <f t="shared" si="17"/>
        <v>8.1540346352821447E-11</v>
      </c>
    </row>
    <row r="141" spans="5:10" x14ac:dyDescent="0.15">
      <c r="E141" s="114">
        <f t="shared" si="13"/>
        <v>70295</v>
      </c>
      <c r="F141" s="124">
        <f t="shared" si="14"/>
        <v>2092</v>
      </c>
      <c r="G141" s="115">
        <f t="shared" si="15"/>
        <v>0</v>
      </c>
      <c r="H141" s="115">
        <f>IF(OR(E141&lt;$C$5,E141&gt;$C$6),YEARFRAC(E140,E141)*J140*$C$8,($C$2-SUM($I$1:I140))*($C$8/$C$7))</f>
        <v>2.1812042649379736E-12</v>
      </c>
      <c r="I141" s="115">
        <f t="shared" si="16"/>
        <v>-2.1812042649379736E-12</v>
      </c>
      <c r="J141" s="6">
        <f t="shared" si="17"/>
        <v>8.3721550617759419E-11</v>
      </c>
    </row>
    <row r="142" spans="5:10" x14ac:dyDescent="0.15">
      <c r="E142" s="114">
        <f t="shared" si="13"/>
        <v>70478</v>
      </c>
      <c r="F142" s="124">
        <f t="shared" si="14"/>
        <v>2092</v>
      </c>
      <c r="G142" s="115">
        <f t="shared" si="15"/>
        <v>0</v>
      </c>
      <c r="H142" s="115">
        <f>IF(OR(E142&lt;$C$5,E142&gt;$C$6),YEARFRAC(E141,E142)*J141*$C$8,($C$2-SUM($I$1:I141))*($C$8/$C$7))</f>
        <v>2.2395514790250642E-12</v>
      </c>
      <c r="I142" s="115">
        <f t="shared" si="16"/>
        <v>-2.2395514790250642E-12</v>
      </c>
      <c r="J142" s="6">
        <f t="shared" si="17"/>
        <v>8.5961102096784483E-11</v>
      </c>
    </row>
    <row r="143" spans="5:10" x14ac:dyDescent="0.15">
      <c r="E143" s="114">
        <f t="shared" si="13"/>
        <v>70660</v>
      </c>
      <c r="F143" s="124">
        <f t="shared" si="14"/>
        <v>2093</v>
      </c>
      <c r="G143" s="115">
        <f t="shared" si="15"/>
        <v>0</v>
      </c>
      <c r="H143" s="115">
        <f>IF(OR(E143&lt;$C$5,E143&gt;$C$6),YEARFRAC(E142,E143)*J142*$C$8,($C$2-SUM($I$1:I142))*($C$8/$C$7))</f>
        <v>2.2994594810889848E-12</v>
      </c>
      <c r="I143" s="115">
        <f t="shared" si="16"/>
        <v>-2.2994594810889848E-12</v>
      </c>
      <c r="J143" s="6">
        <f t="shared" si="17"/>
        <v>8.8260561577873463E-11</v>
      </c>
    </row>
    <row r="144" spans="5:10" x14ac:dyDescent="0.15">
      <c r="E144" s="114">
        <f t="shared" si="13"/>
        <v>70843</v>
      </c>
      <c r="F144" s="124">
        <f t="shared" si="14"/>
        <v>2093</v>
      </c>
      <c r="G144" s="115">
        <f t="shared" si="15"/>
        <v>0</v>
      </c>
      <c r="H144" s="115">
        <f>IF(OR(E144&lt;$C$5,E144&gt;$C$6),YEARFRAC(E143,E144)*J143*$C$8,($C$2-SUM($I$1:I143))*($C$8/$C$7))</f>
        <v>2.360970022208115E-12</v>
      </c>
      <c r="I144" s="115">
        <f t="shared" si="16"/>
        <v>-2.360970022208115E-12</v>
      </c>
      <c r="J144" s="6">
        <f t="shared" si="17"/>
        <v>9.0621531600081579E-11</v>
      </c>
    </row>
    <row r="145" spans="5:10" x14ac:dyDescent="0.15">
      <c r="E145" s="114">
        <f t="shared" si="13"/>
        <v>71025</v>
      </c>
      <c r="F145" s="124">
        <f t="shared" si="14"/>
        <v>2094</v>
      </c>
      <c r="G145" s="115">
        <f t="shared" si="15"/>
        <v>0</v>
      </c>
      <c r="H145" s="115">
        <f>IF(OR(E145&lt;$C$5,E145&gt;$C$6),YEARFRAC(E144,E145)*J144*$C$8,($C$2-SUM($I$1:I144))*($C$8/$C$7))</f>
        <v>2.4241259703021822E-12</v>
      </c>
      <c r="I145" s="115">
        <f t="shared" si="16"/>
        <v>-2.4241259703021822E-12</v>
      </c>
      <c r="J145" s="6">
        <f t="shared" si="17"/>
        <v>9.304565757038376E-11</v>
      </c>
    </row>
    <row r="146" spans="5:10" x14ac:dyDescent="0.15">
      <c r="E146" s="114">
        <f t="shared" si="13"/>
        <v>71208</v>
      </c>
      <c r="F146" s="124">
        <f t="shared" si="14"/>
        <v>2094</v>
      </c>
      <c r="G146" s="115">
        <f t="shared" si="15"/>
        <v>0</v>
      </c>
      <c r="H146" s="115">
        <f>IF(OR(E146&lt;$C$5,E146&gt;$C$6),YEARFRAC(E145,E146)*J145*$C$8,($C$2-SUM($I$1:I145))*($C$8/$C$7))</f>
        <v>2.4889713400077657E-12</v>
      </c>
      <c r="I146" s="115">
        <f t="shared" si="16"/>
        <v>-2.4889713400077657E-12</v>
      </c>
      <c r="J146" s="6">
        <f t="shared" si="17"/>
        <v>9.553462891039152E-11</v>
      </c>
    </row>
    <row r="147" spans="5:10" x14ac:dyDescent="0.15">
      <c r="E147" s="114">
        <f t="shared" si="13"/>
        <v>71390</v>
      </c>
      <c r="F147" s="124">
        <f t="shared" si="14"/>
        <v>2095</v>
      </c>
      <c r="G147" s="115">
        <f t="shared" si="15"/>
        <v>0</v>
      </c>
      <c r="H147" s="115">
        <f>IF(OR(E147&lt;$C$5,E147&gt;$C$6),YEARFRAC(E146,E147)*J146*$C$8,($C$2-SUM($I$1:I146))*($C$8/$C$7))</f>
        <v>2.555551323352973E-12</v>
      </c>
      <c r="I147" s="115">
        <f t="shared" si="16"/>
        <v>-2.555551323352973E-12</v>
      </c>
      <c r="J147" s="6">
        <f t="shared" si="17"/>
        <v>9.8090180233744498E-11</v>
      </c>
    </row>
    <row r="148" spans="5:10" x14ac:dyDescent="0.15">
      <c r="E148" s="114">
        <f t="shared" si="13"/>
        <v>71573</v>
      </c>
      <c r="F148" s="124">
        <f t="shared" si="14"/>
        <v>2095</v>
      </c>
      <c r="G148" s="115">
        <f t="shared" si="15"/>
        <v>0</v>
      </c>
      <c r="H148" s="115">
        <f>IF(OR(E148&lt;$C$5,E148&gt;$C$6),YEARFRAC(E147,E148)*J147*$C$8,($C$2-SUM($I$1:I147))*($C$8/$C$7))</f>
        <v>2.6239123212526654E-12</v>
      </c>
      <c r="I148" s="115">
        <f t="shared" si="16"/>
        <v>-2.6239123212526654E-12</v>
      </c>
      <c r="J148" s="6">
        <f t="shared" si="17"/>
        <v>1.0071409255499716E-10</v>
      </c>
    </row>
    <row r="149" spans="5:10" x14ac:dyDescent="0.15">
      <c r="E149" s="114">
        <f t="shared" si="13"/>
        <v>71756</v>
      </c>
      <c r="F149" s="124">
        <f t="shared" si="14"/>
        <v>2096</v>
      </c>
      <c r="G149" s="115">
        <f t="shared" si="15"/>
        <v>0</v>
      </c>
      <c r="H149" s="115">
        <f>IF(OR(E149&lt;$C$5,E149&gt;$C$6),YEARFRAC(E148,E149)*J148*$C$8,($C$2-SUM($I$1:I148))*($C$8/$C$7))</f>
        <v>2.6941019758461738E-12</v>
      </c>
      <c r="I149" s="115">
        <f t="shared" si="16"/>
        <v>-2.6941019758461738E-12</v>
      </c>
      <c r="J149" s="6">
        <f t="shared" si="17"/>
        <v>1.0340819453084334E-10</v>
      </c>
    </row>
    <row r="150" spans="5:10" x14ac:dyDescent="0.15">
      <c r="E150" s="114">
        <f t="shared" si="13"/>
        <v>71939</v>
      </c>
      <c r="F150" s="124">
        <f t="shared" si="14"/>
        <v>2096</v>
      </c>
      <c r="G150" s="115">
        <f t="shared" si="15"/>
        <v>0</v>
      </c>
      <c r="H150" s="115">
        <f>IF(OR(E150&lt;$C$5,E150&gt;$C$6),YEARFRAC(E149,E150)*J149*$C$8,($C$2-SUM($I$1:I149))*($C$8/$C$7))</f>
        <v>2.7661692037000593E-12</v>
      </c>
      <c r="I150" s="115">
        <f t="shared" si="16"/>
        <v>-2.7661692037000593E-12</v>
      </c>
      <c r="J150" s="6">
        <f t="shared" si="17"/>
        <v>1.061743637345434E-10</v>
      </c>
    </row>
    <row r="151" spans="5:10" x14ac:dyDescent="0.15">
      <c r="E151" s="114">
        <f t="shared" si="13"/>
        <v>72121</v>
      </c>
      <c r="F151" s="124">
        <f t="shared" si="14"/>
        <v>2097</v>
      </c>
      <c r="G151" s="115">
        <f t="shared" si="15"/>
        <v>0</v>
      </c>
      <c r="H151" s="115">
        <f>IF(OR(E151&lt;$C$5,E151&gt;$C$6),YEARFRAC(E150,E151)*J150*$C$8,($C$2-SUM($I$1:I150))*($C$8/$C$7))</f>
        <v>2.840164229899036E-12</v>
      </c>
      <c r="I151" s="115">
        <f t="shared" si="16"/>
        <v>-2.840164229899036E-12</v>
      </c>
      <c r="J151" s="6">
        <f t="shared" si="17"/>
        <v>1.0901452796444244E-10</v>
      </c>
    </row>
    <row r="152" spans="5:10" x14ac:dyDescent="0.15">
      <c r="E152" s="114">
        <f t="shared" si="13"/>
        <v>72304</v>
      </c>
      <c r="F152" s="124">
        <f t="shared" si="14"/>
        <v>2097</v>
      </c>
      <c r="G152" s="115">
        <f t="shared" si="15"/>
        <v>0</v>
      </c>
      <c r="H152" s="115">
        <f>IF(OR(E152&lt;$C$5,E152&gt;$C$6),YEARFRAC(E151,E152)*J151*$C$8,($C$2-SUM($I$1:I151))*($C$8/$C$7))</f>
        <v>2.916138623048835E-12</v>
      </c>
      <c r="I152" s="115">
        <f t="shared" si="16"/>
        <v>-2.916138623048835E-12</v>
      </c>
      <c r="J152" s="6">
        <f t="shared" si="17"/>
        <v>1.1193066658749127E-10</v>
      </c>
    </row>
    <row r="153" spans="5:10" x14ac:dyDescent="0.15">
      <c r="E153" s="114">
        <f t="shared" si="13"/>
        <v>72486</v>
      </c>
      <c r="F153" s="124">
        <f t="shared" si="14"/>
        <v>2098</v>
      </c>
      <c r="G153" s="115">
        <f t="shared" si="15"/>
        <v>0</v>
      </c>
      <c r="H153" s="115">
        <f>IF(OR(E153&lt;$C$5,E153&gt;$C$6),YEARFRAC(E152,E153)*J152*$C$8,($C$2-SUM($I$1:I152))*($C$8/$C$7))</f>
        <v>2.9941453312153913E-12</v>
      </c>
      <c r="I153" s="115">
        <f t="shared" si="16"/>
        <v>-2.9941453312153913E-12</v>
      </c>
      <c r="J153" s="6">
        <f t="shared" si="17"/>
        <v>1.1492481191870666E-10</v>
      </c>
    </row>
    <row r="154" spans="5:10" x14ac:dyDescent="0.15">
      <c r="E154" s="114">
        <f t="shared" si="13"/>
        <v>72669</v>
      </c>
      <c r="F154" s="124">
        <f t="shared" si="14"/>
        <v>2098</v>
      </c>
      <c r="G154" s="115">
        <f t="shared" si="15"/>
        <v>0</v>
      </c>
      <c r="H154" s="115">
        <f>IF(OR(E154&lt;$C$5,E154&gt;$C$6),YEARFRAC(E153,E154)*J153*$C$8,($C$2-SUM($I$1:I153))*($C$8/$C$7))</f>
        <v>3.074238718825403E-12</v>
      </c>
      <c r="I154" s="115">
        <f t="shared" si="16"/>
        <v>-3.074238718825403E-12</v>
      </c>
      <c r="J154" s="6">
        <f t="shared" si="17"/>
        <v>1.1799905063753205E-10</v>
      </c>
    </row>
    <row r="155" spans="5:10" x14ac:dyDescent="0.15">
      <c r="E155" s="114">
        <f t="shared" si="13"/>
        <v>72851</v>
      </c>
      <c r="F155" s="124">
        <f t="shared" si="14"/>
        <v>2099</v>
      </c>
      <c r="G155" s="115">
        <f t="shared" si="15"/>
        <v>0</v>
      </c>
      <c r="H155" s="115">
        <f>IF(OR(E155&lt;$C$5,E155&gt;$C$6),YEARFRAC(E154,E155)*J154*$C$8,($C$2-SUM($I$1:I154))*($C$8/$C$7))</f>
        <v>3.1564746045539823E-12</v>
      </c>
      <c r="I155" s="115">
        <f t="shared" si="16"/>
        <v>-3.1564746045539823E-12</v>
      </c>
      <c r="J155" s="6">
        <f t="shared" si="17"/>
        <v>1.2115552524208603E-10</v>
      </c>
    </row>
    <row r="156" spans="5:10" x14ac:dyDescent="0.15">
      <c r="E156" s="114">
        <f t="shared" si="13"/>
        <v>73034</v>
      </c>
      <c r="F156" s="124">
        <f t="shared" si="14"/>
        <v>2099</v>
      </c>
      <c r="G156" s="115">
        <f t="shared" si="15"/>
        <v>0</v>
      </c>
      <c r="H156" s="115">
        <f>IF(OR(E156&lt;$C$5,E156&gt;$C$6),YEARFRAC(E155,E156)*J155*$C$8,($C$2-SUM($I$1:I155))*($C$8/$C$7))</f>
        <v>3.2409103002258013E-12</v>
      </c>
      <c r="I156" s="115">
        <f t="shared" si="16"/>
        <v>-3.2409103002258013E-12</v>
      </c>
      <c r="J156" s="6">
        <f t="shared" si="17"/>
        <v>1.2439643554231183E-10</v>
      </c>
    </row>
    <row r="157" spans="5:10" x14ac:dyDescent="0.15">
      <c r="E157" s="114">
        <f t="shared" si="13"/>
        <v>73216</v>
      </c>
      <c r="F157" s="124">
        <f t="shared" si="14"/>
        <v>2100</v>
      </c>
      <c r="G157" s="115">
        <f t="shared" si="15"/>
        <v>0</v>
      </c>
      <c r="H157" s="115">
        <f>IF(OR(E157&lt;$C$5,E157&gt;$C$6),YEARFRAC(E156,E157)*J156*$C$8,($C$2-SUM($I$1:I156))*($C$8/$C$7))</f>
        <v>3.3276046507568415E-12</v>
      </c>
      <c r="I157" s="115">
        <f t="shared" si="16"/>
        <v>-3.3276046507568415E-12</v>
      </c>
      <c r="J157" s="6">
        <f t="shared" si="17"/>
        <v>1.2772404019306866E-10</v>
      </c>
    </row>
    <row r="158" spans="5:10" x14ac:dyDescent="0.15">
      <c r="E158" s="114">
        <f t="shared" si="13"/>
        <v>73399</v>
      </c>
      <c r="F158" s="124">
        <f t="shared" si="14"/>
        <v>2100</v>
      </c>
      <c r="G158" s="115">
        <f t="shared" si="15"/>
        <v>0</v>
      </c>
      <c r="H158" s="115">
        <f>IF(OR(E158&lt;$C$5,E158&gt;$C$6),YEARFRAC(E157,E158)*J157*$C$8,($C$2-SUM($I$1:I157))*($C$8/$C$7))</f>
        <v>3.4166180751645869E-12</v>
      </c>
      <c r="I158" s="115">
        <f t="shared" si="16"/>
        <v>-3.4166180751645869E-12</v>
      </c>
      <c r="J158" s="6">
        <f t="shared" si="17"/>
        <v>1.3114065826823325E-10</v>
      </c>
    </row>
    <row r="159" spans="5:10" x14ac:dyDescent="0.15">
      <c r="E159" s="114">
        <f t="shared" si="13"/>
        <v>73581</v>
      </c>
      <c r="F159" s="124">
        <f t="shared" si="14"/>
        <v>2101</v>
      </c>
      <c r="G159" s="115">
        <f t="shared" si="15"/>
        <v>0</v>
      </c>
      <c r="H159" s="115">
        <f>IF(OR(E159&lt;$C$5,E159&gt;$C$6),YEARFRAC(E158,E159)*J158*$C$8,($C$2-SUM($I$1:I158))*($C$8/$C$7))</f>
        <v>3.5080126086752392E-12</v>
      </c>
      <c r="I159" s="115">
        <f t="shared" si="16"/>
        <v>-3.5080126086752392E-12</v>
      </c>
      <c r="J159" s="6">
        <f t="shared" si="17"/>
        <v>1.3464867087690848E-10</v>
      </c>
    </row>
    <row r="160" spans="5:10" x14ac:dyDescent="0.15">
      <c r="E160" s="114">
        <f t="shared" si="13"/>
        <v>73764</v>
      </c>
      <c r="F160" s="124">
        <f t="shared" si="14"/>
        <v>2101</v>
      </c>
      <c r="G160" s="115">
        <f t="shared" si="15"/>
        <v>0</v>
      </c>
      <c r="H160" s="115">
        <f>IF(OR(E160&lt;$C$5,E160&gt;$C$6),YEARFRAC(E159,E160)*J159*$C$8,($C$2-SUM($I$1:I159))*($C$8/$C$7))</f>
        <v>3.6018519459573017E-12</v>
      </c>
      <c r="I160" s="115">
        <f t="shared" si="16"/>
        <v>-3.6018519459573017E-12</v>
      </c>
      <c r="J160" s="6">
        <f t="shared" si="17"/>
        <v>1.3825052282286577E-10</v>
      </c>
    </row>
    <row r="161" spans="5:10" x14ac:dyDescent="0.15">
      <c r="E161" s="114">
        <f t="shared" si="13"/>
        <v>73946</v>
      </c>
      <c r="F161" s="124">
        <f t="shared" si="14"/>
        <v>2102</v>
      </c>
      <c r="G161" s="115">
        <f t="shared" si="15"/>
        <v>0</v>
      </c>
      <c r="H161" s="115">
        <f>IF(OR(E161&lt;$C$5,E161&gt;$C$6),YEARFRAC(E160,E161)*J160*$C$8,($C$2-SUM($I$1:I160))*($C$8/$C$7))</f>
        <v>3.6982014855116591E-12</v>
      </c>
      <c r="I161" s="115">
        <f t="shared" si="16"/>
        <v>-3.6982014855116591E-12</v>
      </c>
      <c r="J161" s="6">
        <f t="shared" si="17"/>
        <v>1.4194872430837743E-10</v>
      </c>
    </row>
    <row r="162" spans="5:10" x14ac:dyDescent="0.15">
      <c r="E162" s="114">
        <f t="shared" si="13"/>
        <v>74129</v>
      </c>
      <c r="F162" s="124">
        <f t="shared" si="14"/>
        <v>2102</v>
      </c>
      <c r="G162" s="115">
        <f t="shared" si="15"/>
        <v>0</v>
      </c>
      <c r="H162" s="115">
        <f>IF(OR(E162&lt;$C$5,E162&gt;$C$6),YEARFRAC(E161,E162)*J161*$C$8,($C$2-SUM($I$1:I161))*($C$8/$C$7))</f>
        <v>3.7971283752490959E-12</v>
      </c>
      <c r="I162" s="115">
        <f t="shared" si="16"/>
        <v>-3.7971283752490959E-12</v>
      </c>
      <c r="J162" s="6">
        <f t="shared" si="17"/>
        <v>1.4574585268362652E-10</v>
      </c>
    </row>
    <row r="163" spans="5:10" x14ac:dyDescent="0.15">
      <c r="E163" s="114">
        <f t="shared" si="13"/>
        <v>74311</v>
      </c>
      <c r="F163" s="124">
        <f t="shared" si="14"/>
        <v>2103</v>
      </c>
      <c r="G163" s="115">
        <f t="shared" si="15"/>
        <v>0</v>
      </c>
      <c r="H163" s="115">
        <f>IF(OR(E163&lt;$C$5,E163&gt;$C$6),YEARFRAC(E162,E163)*J162*$C$8,($C$2-SUM($I$1:I162))*($C$8/$C$7))</f>
        <v>3.8987015592870096E-12</v>
      </c>
      <c r="I163" s="115">
        <f t="shared" si="16"/>
        <v>-3.8987015592870096E-12</v>
      </c>
      <c r="J163" s="6">
        <f t="shared" si="17"/>
        <v>1.4964455424291352E-10</v>
      </c>
    </row>
    <row r="164" spans="5:10" x14ac:dyDescent="0.15">
      <c r="E164" s="114">
        <f t="shared" si="13"/>
        <v>74494</v>
      </c>
      <c r="F164" s="124">
        <f t="shared" si="14"/>
        <v>2103</v>
      </c>
      <c r="G164" s="115">
        <f t="shared" si="15"/>
        <v>0</v>
      </c>
      <c r="H164" s="115">
        <f>IF(OR(E164&lt;$C$5,E164&gt;$C$6),YEARFRAC(E163,E164)*J163*$C$8,($C$2-SUM($I$1:I163))*($C$8/$C$7))</f>
        <v>4.0029918259979368E-12</v>
      </c>
      <c r="I164" s="115">
        <f t="shared" si="16"/>
        <v>-4.0029918259979368E-12</v>
      </c>
      <c r="J164" s="6">
        <f t="shared" si="17"/>
        <v>1.5364754606891146E-10</v>
      </c>
    </row>
    <row r="165" spans="5:10" x14ac:dyDescent="0.15">
      <c r="E165" s="114">
        <f t="shared" si="13"/>
        <v>74677</v>
      </c>
      <c r="F165" s="124">
        <f t="shared" si="14"/>
        <v>2104</v>
      </c>
      <c r="G165" s="115">
        <f t="shared" si="15"/>
        <v>0</v>
      </c>
      <c r="H165" s="115">
        <f>IF(OR(E165&lt;$C$5,E165&gt;$C$6),YEARFRAC(E164,E165)*J164*$C$8,($C$2-SUM($I$1:I164))*($C$8/$C$7))</f>
        <v>4.1100718573433818E-12</v>
      </c>
      <c r="I165" s="115">
        <f t="shared" si="16"/>
        <v>-4.1100718573433818E-12</v>
      </c>
      <c r="J165" s="6">
        <f t="shared" si="17"/>
        <v>1.5775761792625485E-10</v>
      </c>
    </row>
    <row r="166" spans="5:10" x14ac:dyDescent="0.15">
      <c r="E166" s="114">
        <f t="shared" si="13"/>
        <v>74860</v>
      </c>
      <c r="F166" s="124">
        <f t="shared" si="14"/>
        <v>2104</v>
      </c>
      <c r="G166" s="115">
        <f t="shared" si="15"/>
        <v>0</v>
      </c>
      <c r="H166" s="115">
        <f>IF(OR(E166&lt;$C$5,E166&gt;$C$6),YEARFRAC(E165,E166)*J165*$C$8,($C$2-SUM($I$1:I165))*($C$8/$C$7))</f>
        <v>4.2200162795273169E-12</v>
      </c>
      <c r="I166" s="115">
        <f t="shared" si="16"/>
        <v>-4.2200162795273169E-12</v>
      </c>
      <c r="J166" s="6">
        <f t="shared" si="17"/>
        <v>1.6197763420578215E-10</v>
      </c>
    </row>
    <row r="167" spans="5:10" x14ac:dyDescent="0.15">
      <c r="E167" s="114">
        <f t="shared" si="13"/>
        <v>75042</v>
      </c>
      <c r="F167" s="124">
        <f t="shared" si="14"/>
        <v>2105</v>
      </c>
      <c r="G167" s="115">
        <f t="shared" si="15"/>
        <v>0</v>
      </c>
      <c r="H167" s="115">
        <f>IF(OR(E167&lt;$C$5,E167&gt;$C$6),YEARFRAC(E166,E167)*J166*$C$8,($C$2-SUM($I$1:I166))*($C$8/$C$7))</f>
        <v>4.3329017150046726E-12</v>
      </c>
      <c r="I167" s="115">
        <f t="shared" si="16"/>
        <v>-4.3329017150046726E-12</v>
      </c>
      <c r="J167" s="6">
        <f t="shared" si="17"/>
        <v>1.6631053592078682E-10</v>
      </c>
    </row>
    <row r="168" spans="5:10" x14ac:dyDescent="0.15">
      <c r="E168" s="114">
        <f t="shared" si="13"/>
        <v>75225</v>
      </c>
      <c r="F168" s="124">
        <f t="shared" si="14"/>
        <v>2105</v>
      </c>
      <c r="G168" s="115">
        <f t="shared" si="15"/>
        <v>0</v>
      </c>
      <c r="H168" s="115">
        <f>IF(OR(E168&lt;$C$5,E168&gt;$C$6),YEARFRAC(E167,E168)*J167*$C$8,($C$2-SUM($I$1:I167))*($C$8/$C$7))</f>
        <v>4.4488068358810473E-12</v>
      </c>
      <c r="I168" s="115">
        <f t="shared" si="16"/>
        <v>-4.4488068358810473E-12</v>
      </c>
      <c r="J168" s="6">
        <f t="shared" si="17"/>
        <v>1.7075934275666787E-10</v>
      </c>
    </row>
    <row r="169" spans="5:10" x14ac:dyDescent="0.15">
      <c r="E169" s="114">
        <f t="shared" si="13"/>
        <v>75407</v>
      </c>
      <c r="F169" s="124">
        <f t="shared" si="14"/>
        <v>2106</v>
      </c>
      <c r="G169" s="115">
        <f t="shared" si="15"/>
        <v>0</v>
      </c>
      <c r="H169" s="115">
        <f>IF(OR(E169&lt;$C$5,E169&gt;$C$6),YEARFRAC(E168,E169)*J168*$C$8,($C$2-SUM($I$1:I168))*($C$8/$C$7))</f>
        <v>4.5678124187408656E-12</v>
      </c>
      <c r="I169" s="115">
        <f t="shared" si="16"/>
        <v>-4.5678124187408656E-12</v>
      </c>
      <c r="J169" s="6">
        <f t="shared" si="17"/>
        <v>1.7532715517540874E-10</v>
      </c>
    </row>
    <row r="170" spans="5:10" x14ac:dyDescent="0.15">
      <c r="E170" s="114">
        <f t="shared" si="13"/>
        <v>75590</v>
      </c>
      <c r="F170" s="124">
        <f t="shared" si="14"/>
        <v>2106</v>
      </c>
      <c r="G170" s="115">
        <f t="shared" si="15"/>
        <v>0</v>
      </c>
      <c r="H170" s="115">
        <f>IF(OR(E170&lt;$C$5,E170&gt;$C$6),YEARFRAC(E169,E170)*J169*$C$8,($C$2-SUM($I$1:I169))*($C$8/$C$7))</f>
        <v>4.6900014009421834E-12</v>
      </c>
      <c r="I170" s="115">
        <f t="shared" si="16"/>
        <v>-4.6900014009421834E-12</v>
      </c>
      <c r="J170" s="6">
        <f t="shared" si="17"/>
        <v>1.8001715657635092E-10</v>
      </c>
    </row>
    <row r="171" spans="5:10" x14ac:dyDescent="0.15">
      <c r="E171" s="114">
        <f t="shared" si="13"/>
        <v>75772</v>
      </c>
      <c r="F171" s="124">
        <f t="shared" si="14"/>
        <v>2107</v>
      </c>
      <c r="G171" s="115">
        <f t="shared" si="15"/>
        <v>0</v>
      </c>
      <c r="H171" s="115">
        <f>IF(OR(E171&lt;$C$5,E171&gt;$C$6),YEARFRAC(E170,E171)*J170*$C$8,($C$2-SUM($I$1:I170))*($C$8/$C$7))</f>
        <v>4.8154589384173873E-12</v>
      </c>
      <c r="I171" s="115">
        <f t="shared" si="16"/>
        <v>-4.8154589384173873E-12</v>
      </c>
      <c r="J171" s="6">
        <f t="shared" si="17"/>
        <v>1.8483261551476831E-10</v>
      </c>
    </row>
    <row r="172" spans="5:10" x14ac:dyDescent="0.15">
      <c r="E172" s="114">
        <f t="shared" si="13"/>
        <v>75955</v>
      </c>
      <c r="F172" s="124">
        <f t="shared" si="14"/>
        <v>2107</v>
      </c>
      <c r="G172" s="115">
        <f t="shared" si="15"/>
        <v>0</v>
      </c>
      <c r="H172" s="115">
        <f>IF(OR(E172&lt;$C$5,E172&gt;$C$6),YEARFRAC(E171,E172)*J171*$C$8,($C$2-SUM($I$1:I171))*($C$8/$C$7))</f>
        <v>4.9442724650200519E-12</v>
      </c>
      <c r="I172" s="115">
        <f t="shared" si="16"/>
        <v>-4.9442724650200519E-12</v>
      </c>
      <c r="J172" s="6">
        <f t="shared" si="17"/>
        <v>1.8977688797978836E-10</v>
      </c>
    </row>
    <row r="173" spans="5:10" x14ac:dyDescent="0.15">
      <c r="E173" s="114">
        <f t="shared" si="13"/>
        <v>76138</v>
      </c>
      <c r="F173" s="124">
        <f t="shared" si="14"/>
        <v>2108</v>
      </c>
      <c r="G173" s="115">
        <f t="shared" si="15"/>
        <v>0</v>
      </c>
      <c r="H173" s="115">
        <f>IF(OR(E173&lt;$C$5,E173&gt;$C$6),YEARFRAC(E172,E173)*J172*$C$8,($C$2-SUM($I$1:I172))*($C$8/$C$7))</f>
        <v>5.0765317534593386E-12</v>
      </c>
      <c r="I173" s="115">
        <f t="shared" si="16"/>
        <v>-5.0765317534593386E-12</v>
      </c>
      <c r="J173" s="6">
        <f t="shared" si="17"/>
        <v>1.9485341973324771E-10</v>
      </c>
    </row>
    <row r="174" spans="5:10" x14ac:dyDescent="0.15">
      <c r="E174" s="114">
        <f t="shared" si="13"/>
        <v>76321</v>
      </c>
      <c r="F174" s="124">
        <f t="shared" si="14"/>
        <v>2108</v>
      </c>
      <c r="G174" s="115">
        <f t="shared" si="15"/>
        <v>0</v>
      </c>
      <c r="H174" s="115">
        <f>IF(OR(E174&lt;$C$5,E174&gt;$C$6),YEARFRAC(E173,E174)*J173*$C$8,($C$2-SUM($I$1:I173))*($C$8/$C$7))</f>
        <v>5.2123289778643763E-12</v>
      </c>
      <c r="I174" s="115">
        <f t="shared" si="16"/>
        <v>-5.2123289778643763E-12</v>
      </c>
      <c r="J174" s="6">
        <f t="shared" si="17"/>
        <v>2.0006574871111209E-10</v>
      </c>
    </row>
    <row r="175" spans="5:10" x14ac:dyDescent="0.15">
      <c r="E175" s="114">
        <f t="shared" si="13"/>
        <v>76503</v>
      </c>
      <c r="F175" s="124">
        <f t="shared" si="14"/>
        <v>2109</v>
      </c>
      <c r="G175" s="115">
        <f t="shared" si="15"/>
        <v>0</v>
      </c>
      <c r="H175" s="115">
        <f>IF(OR(E175&lt;$C$5,E175&gt;$C$6),YEARFRAC(E174,E175)*J174*$C$8,($C$2-SUM($I$1:I174))*($C$8/$C$7))</f>
        <v>5.3517587780222485E-12</v>
      </c>
      <c r="I175" s="115">
        <f t="shared" si="16"/>
        <v>-5.3517587780222485E-12</v>
      </c>
      <c r="J175" s="6">
        <f t="shared" si="17"/>
        <v>2.0541750748913435E-10</v>
      </c>
    </row>
    <row r="176" spans="5:10" x14ac:dyDescent="0.15">
      <c r="E176" s="114">
        <f t="shared" si="13"/>
        <v>76686</v>
      </c>
      <c r="F176" s="124">
        <f t="shared" si="14"/>
        <v>2109</v>
      </c>
      <c r="G176" s="115">
        <f t="shared" si="15"/>
        <v>0</v>
      </c>
      <c r="H176" s="115">
        <f>IF(OR(E176&lt;$C$5,E176&gt;$C$6),YEARFRAC(E175,E176)*J175*$C$8,($C$2-SUM($I$1:I175))*($C$8/$C$7))</f>
        <v>5.4949183253343434E-12</v>
      </c>
      <c r="I176" s="115">
        <f t="shared" si="16"/>
        <v>-5.4949183253343434E-12</v>
      </c>
      <c r="J176" s="6">
        <f t="shared" si="17"/>
        <v>2.109124258144687E-10</v>
      </c>
    </row>
    <row r="177" spans="5:10" x14ac:dyDescent="0.15">
      <c r="E177" s="114">
        <f t="shared" si="13"/>
        <v>76868</v>
      </c>
      <c r="F177" s="124">
        <f t="shared" si="14"/>
        <v>2110</v>
      </c>
      <c r="G177" s="115">
        <f t="shared" si="15"/>
        <v>0</v>
      </c>
      <c r="H177" s="115">
        <f>IF(OR(E177&lt;$C$5,E177&gt;$C$6),YEARFRAC(E176,E177)*J176*$C$8,($C$2-SUM($I$1:I176))*($C$8/$C$7))</f>
        <v>5.6419073905370379E-12</v>
      </c>
      <c r="I177" s="115">
        <f t="shared" si="16"/>
        <v>-5.6419073905370379E-12</v>
      </c>
      <c r="J177" s="6">
        <f t="shared" si="17"/>
        <v>2.1655433320500573E-10</v>
      </c>
    </row>
    <row r="178" spans="5:10" x14ac:dyDescent="0.15">
      <c r="E178" s="114">
        <f t="shared" si="13"/>
        <v>77051</v>
      </c>
      <c r="F178" s="124">
        <f t="shared" si="14"/>
        <v>2110</v>
      </c>
      <c r="G178" s="115">
        <f t="shared" si="15"/>
        <v>0</v>
      </c>
      <c r="H178" s="115">
        <f>IF(OR(E178&lt;$C$5,E178&gt;$C$6),YEARFRAC(E177,E178)*J177*$C$8,($C$2-SUM($I$1:I177))*($C$8/$C$7))</f>
        <v>5.792828413233903E-12</v>
      </c>
      <c r="I178" s="115">
        <f t="shared" si="16"/>
        <v>-5.792828413233903E-12</v>
      </c>
      <c r="J178" s="6">
        <f t="shared" si="17"/>
        <v>2.2234716161823965E-10</v>
      </c>
    </row>
    <row r="179" spans="5:10" x14ac:dyDescent="0.15">
      <c r="E179" s="114">
        <f t="shared" si="13"/>
        <v>77233</v>
      </c>
      <c r="F179" s="124">
        <f t="shared" si="14"/>
        <v>2111</v>
      </c>
      <c r="G179" s="115">
        <f t="shared" si="15"/>
        <v>0</v>
      </c>
      <c r="H179" s="115">
        <f>IF(OR(E179&lt;$C$5,E179&gt;$C$6),YEARFRAC(E178,E179)*J178*$C$8,($C$2-SUM($I$1:I178))*($C$8/$C$7))</f>
        <v>5.9477865732879103E-12</v>
      </c>
      <c r="I179" s="115">
        <f t="shared" si="16"/>
        <v>-5.9477865732879103E-12</v>
      </c>
      <c r="J179" s="6">
        <f t="shared" si="17"/>
        <v>2.2829494819152755E-10</v>
      </c>
    </row>
    <row r="180" spans="5:10" x14ac:dyDescent="0.15">
      <c r="E180" s="114">
        <f t="shared" si="13"/>
        <v>77416</v>
      </c>
      <c r="F180" s="124">
        <f t="shared" si="14"/>
        <v>2111</v>
      </c>
      <c r="G180" s="115">
        <f t="shared" si="15"/>
        <v>0</v>
      </c>
      <c r="H180" s="115">
        <f>IF(OR(E180&lt;$C$5,E180&gt;$C$6),YEARFRAC(E179,E180)*J179*$C$8,($C$2-SUM($I$1:I179))*($C$8/$C$7))</f>
        <v>6.1068898641233617E-12</v>
      </c>
      <c r="I180" s="115">
        <f t="shared" si="16"/>
        <v>-6.1068898641233617E-12</v>
      </c>
      <c r="J180" s="6">
        <f t="shared" si="17"/>
        <v>2.3440183805565093E-10</v>
      </c>
    </row>
    <row r="181" spans="5:10" x14ac:dyDescent="0.15">
      <c r="E181" s="114">
        <f t="shared" si="13"/>
        <v>77599</v>
      </c>
      <c r="F181" s="124">
        <f t="shared" si="14"/>
        <v>2112</v>
      </c>
      <c r="G181" s="115">
        <f t="shared" si="15"/>
        <v>0</v>
      </c>
      <c r="H181" s="115">
        <f>IF(OR(E181&lt;$C$5,E181&gt;$C$6),YEARFRAC(E180,E181)*J180*$C$8,($C$2-SUM($I$1:I180))*($C$8/$C$7))</f>
        <v>6.2702491679886618E-12</v>
      </c>
      <c r="I181" s="115">
        <f t="shared" si="16"/>
        <v>-6.2702491679886618E-12</v>
      </c>
      <c r="J181" s="6">
        <f t="shared" si="17"/>
        <v>2.4067208722363958E-10</v>
      </c>
    </row>
    <row r="182" spans="5:10" x14ac:dyDescent="0.15">
      <c r="E182" s="114">
        <f t="shared" si="13"/>
        <v>77782</v>
      </c>
      <c r="F182" s="124">
        <f t="shared" si="14"/>
        <v>2112</v>
      </c>
      <c r="G182" s="115">
        <f t="shared" si="15"/>
        <v>0</v>
      </c>
      <c r="H182" s="115">
        <f>IF(OR(E182&lt;$C$5,E182&gt;$C$6),YEARFRAC(E181,E182)*J181*$C$8,($C$2-SUM($I$1:I181))*($C$8/$C$7))</f>
        <v>6.4379783332323586E-12</v>
      </c>
      <c r="I182" s="115">
        <f t="shared" si="16"/>
        <v>-6.4379783332323586E-12</v>
      </c>
      <c r="J182" s="6">
        <f t="shared" si="17"/>
        <v>2.4711006555687191E-10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43"/>
  <sheetViews>
    <sheetView tabSelected="1" zoomScaleNormal="100" workbookViewId="0">
      <selection activeCell="AA54" sqref="AA54"/>
    </sheetView>
  </sheetViews>
  <sheetFormatPr baseColWidth="10" defaultColWidth="8.83203125" defaultRowHeight="13" x14ac:dyDescent="0.15"/>
  <cols>
    <col min="1" max="1" width="28.5" customWidth="1"/>
    <col min="2" max="3" width="2" customWidth="1"/>
    <col min="4" max="4" width="9.1640625" hidden="1" customWidth="1"/>
    <col min="5" max="5" width="4.6640625" hidden="1" customWidth="1"/>
    <col min="7" max="7" width="4.6640625" customWidth="1"/>
    <col min="9" max="9" width="4.6640625" customWidth="1"/>
    <col min="11" max="11" width="4.6640625" customWidth="1"/>
    <col min="13" max="13" width="4.6640625" customWidth="1"/>
    <col min="15" max="15" width="4.6640625" customWidth="1"/>
    <col min="17" max="17" width="4.6640625" customWidth="1"/>
    <col min="19" max="19" width="4.6640625" customWidth="1"/>
    <col min="21" max="21" width="4.6640625" customWidth="1"/>
    <col min="23" max="23" width="4.6640625" customWidth="1"/>
    <col min="25" max="25" width="4.6640625" customWidth="1"/>
    <col min="27" max="27" width="4.6640625" customWidth="1"/>
    <col min="29" max="29" width="4.6640625" customWidth="1"/>
    <col min="31" max="31" width="4.6640625" customWidth="1"/>
  </cols>
  <sheetData>
    <row r="1" spans="1:43" ht="33.75" customHeight="1" thickBot="1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319" t="str">
        <f>Start!C6</f>
        <v>Serious Shea</v>
      </c>
      <c r="M1" s="319"/>
      <c r="N1" s="319"/>
      <c r="O1" s="319"/>
      <c r="P1" s="319"/>
      <c r="Q1" s="319"/>
      <c r="R1" s="319"/>
      <c r="S1" s="319"/>
      <c r="T1" s="319"/>
      <c r="U1" s="108"/>
      <c r="V1" s="18"/>
      <c r="W1" s="18"/>
      <c r="X1" s="18"/>
      <c r="Y1" s="18"/>
      <c r="Z1" s="18"/>
      <c r="AA1" s="18"/>
      <c r="AB1" s="18"/>
      <c r="AC1" s="18"/>
      <c r="AD1" s="18"/>
      <c r="AE1" s="109"/>
    </row>
    <row r="2" spans="1:43" s="2" customFormat="1" ht="14" thickTop="1" x14ac:dyDescent="0.15">
      <c r="A2" s="34" t="s">
        <v>1</v>
      </c>
      <c r="B2" s="35"/>
      <c r="C2" s="35"/>
      <c r="D2" s="177">
        <f>HistoricalData!D6</f>
        <v>2021</v>
      </c>
      <c r="E2" s="35"/>
      <c r="F2" s="35">
        <f>Assumptions!D1</f>
        <v>2022</v>
      </c>
      <c r="G2" s="35"/>
      <c r="H2" s="35">
        <f>F2+1</f>
        <v>2023</v>
      </c>
      <c r="I2" s="35"/>
      <c r="J2" s="35">
        <f>H2+1</f>
        <v>2024</v>
      </c>
      <c r="K2" s="35"/>
      <c r="L2" s="35">
        <f>J2+1</f>
        <v>2025</v>
      </c>
      <c r="M2" s="35"/>
      <c r="N2" s="35">
        <f>L2+1</f>
        <v>2026</v>
      </c>
      <c r="O2" s="35"/>
      <c r="P2" s="35">
        <f>N2+1</f>
        <v>2027</v>
      </c>
      <c r="Q2" s="35"/>
      <c r="R2" s="35">
        <f>P2+1</f>
        <v>2028</v>
      </c>
      <c r="S2" s="35"/>
      <c r="T2" s="35">
        <f>R2+1</f>
        <v>2029</v>
      </c>
      <c r="U2" s="35"/>
      <c r="V2" s="35">
        <f>T2+1</f>
        <v>2030</v>
      </c>
      <c r="W2" s="35"/>
      <c r="X2" s="35">
        <f>V2+1</f>
        <v>2031</v>
      </c>
      <c r="Y2" s="35"/>
      <c r="Z2" s="35">
        <f>X2+1</f>
        <v>2032</v>
      </c>
      <c r="AA2" s="35"/>
      <c r="AB2" s="35">
        <f>Z2+1</f>
        <v>2033</v>
      </c>
      <c r="AC2" s="35"/>
      <c r="AD2" s="35">
        <f>AB2+1</f>
        <v>2034</v>
      </c>
      <c r="AE2"/>
      <c r="AF2"/>
      <c r="AG2"/>
      <c r="AH2"/>
      <c r="AI2"/>
      <c r="AJ2"/>
      <c r="AK2"/>
      <c r="AL2"/>
      <c r="AM2"/>
      <c r="AN2"/>
      <c r="AO2"/>
      <c r="AP2"/>
      <c r="AQ2"/>
    </row>
    <row r="3" spans="1:43" x14ac:dyDescent="0.15">
      <c r="A3" s="18"/>
      <c r="B3" s="18"/>
      <c r="C3" s="18"/>
      <c r="D3" s="71" t="s">
        <v>219</v>
      </c>
      <c r="E3" s="18"/>
      <c r="F3" s="71" t="s">
        <v>207</v>
      </c>
      <c r="G3" s="18"/>
      <c r="H3" s="71" t="s">
        <v>207</v>
      </c>
      <c r="I3" s="18"/>
      <c r="J3" s="71" t="s">
        <v>207</v>
      </c>
      <c r="K3" s="18"/>
      <c r="L3" s="71" t="s">
        <v>207</v>
      </c>
      <c r="M3" s="18"/>
      <c r="N3" s="71" t="s">
        <v>207</v>
      </c>
      <c r="O3" s="18"/>
      <c r="P3" s="71" t="s">
        <v>207</v>
      </c>
      <c r="Q3" s="18"/>
      <c r="R3" s="71" t="s">
        <v>207</v>
      </c>
      <c r="S3" s="18"/>
      <c r="T3" s="71" t="s">
        <v>207</v>
      </c>
      <c r="U3" s="18"/>
      <c r="V3" s="71" t="s">
        <v>207</v>
      </c>
      <c r="W3" s="18"/>
      <c r="X3" s="71" t="s">
        <v>207</v>
      </c>
      <c r="Y3" s="18"/>
      <c r="Z3" s="71" t="s">
        <v>207</v>
      </c>
      <c r="AA3" s="18"/>
      <c r="AB3" s="71" t="s">
        <v>207</v>
      </c>
      <c r="AC3" s="18"/>
      <c r="AD3" s="71" t="s">
        <v>207</v>
      </c>
    </row>
    <row r="4" spans="1:43" s="6" customFormat="1" x14ac:dyDescent="0.1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3" s="6" customFormat="1" x14ac:dyDescent="0.15">
      <c r="A5" s="75" t="s">
        <v>42</v>
      </c>
      <c r="B5" s="73"/>
      <c r="C5" s="73"/>
      <c r="D5" s="73"/>
      <c r="E5" s="105" t="s">
        <v>120</v>
      </c>
      <c r="F5" s="73"/>
      <c r="G5" s="105" t="s">
        <v>120</v>
      </c>
      <c r="H5" s="73"/>
      <c r="I5" s="78" t="s">
        <v>120</v>
      </c>
      <c r="J5" s="73"/>
      <c r="K5" s="78" t="s">
        <v>120</v>
      </c>
      <c r="L5" s="73"/>
      <c r="M5" s="78" t="s">
        <v>120</v>
      </c>
      <c r="N5" s="73"/>
      <c r="O5" s="78" t="s">
        <v>120</v>
      </c>
      <c r="P5" s="73"/>
      <c r="Q5" s="78" t="s">
        <v>120</v>
      </c>
      <c r="R5" s="73"/>
      <c r="S5" s="78" t="s">
        <v>120</v>
      </c>
      <c r="T5" s="73"/>
      <c r="U5" s="78" t="s">
        <v>120</v>
      </c>
      <c r="V5" s="73"/>
      <c r="W5" s="78" t="s">
        <v>120</v>
      </c>
      <c r="X5" s="73"/>
      <c r="Y5" s="78" t="s">
        <v>120</v>
      </c>
      <c r="Z5" s="73"/>
      <c r="AA5" s="78" t="s">
        <v>120</v>
      </c>
      <c r="AB5" s="73"/>
      <c r="AC5" s="78" t="s">
        <v>120</v>
      </c>
      <c r="AD5" s="73"/>
      <c r="AE5" s="78" t="s">
        <v>120</v>
      </c>
      <c r="AF5"/>
      <c r="AG5"/>
      <c r="AH5"/>
      <c r="AI5"/>
      <c r="AJ5"/>
      <c r="AK5"/>
      <c r="AL5"/>
      <c r="AM5"/>
      <c r="AN5"/>
      <c r="AO5"/>
      <c r="AP5"/>
      <c r="AQ5"/>
    </row>
    <row r="6" spans="1:43" s="6" customFormat="1" x14ac:dyDescent="0.15">
      <c r="A6" s="104" t="str">
        <f>Assumptions!A9</f>
        <v>Shea Butter Revenue in $000s</v>
      </c>
      <c r="B6" s="73"/>
      <c r="C6" s="73"/>
      <c r="D6" s="178"/>
      <c r="E6" s="73"/>
      <c r="F6" s="104">
        <f>Assumptions!D9</f>
        <v>0</v>
      </c>
      <c r="G6" s="107" t="str">
        <f>IFERROR(F6/$F$10,"  ")</f>
        <v xml:space="preserve">  </v>
      </c>
      <c r="H6" s="104">
        <f>Assumptions!E9</f>
        <v>8015</v>
      </c>
      <c r="I6" s="107">
        <f>IFERROR(H6/$H$10,"  ")</f>
        <v>0.66624550086865442</v>
      </c>
      <c r="J6" s="104">
        <f>Assumptions!F9</f>
        <v>8015</v>
      </c>
      <c r="K6" s="107">
        <f>IFERROR(J6/$J$10,"  ")</f>
        <v>0.66624550086865442</v>
      </c>
      <c r="L6" s="104">
        <f>Assumptions!G9</f>
        <v>8015</v>
      </c>
      <c r="M6" s="107">
        <f>IFERROR(L6/$L$10,"  ")</f>
        <v>0.66624550086865442</v>
      </c>
      <c r="N6" s="104">
        <f>Assumptions!H9</f>
        <v>8015</v>
      </c>
      <c r="O6" s="107">
        <f>IFERROR(N6/$N$10,"  ")</f>
        <v>0.66624550086865442</v>
      </c>
      <c r="P6" s="104">
        <f>Assumptions!I9</f>
        <v>8015</v>
      </c>
      <c r="Q6" s="107">
        <f>IFERROR(P6/$P$10,"  ")</f>
        <v>0.66624550086865442</v>
      </c>
      <c r="R6" s="104">
        <f>Assumptions!J9</f>
        <v>8015</v>
      </c>
      <c r="S6" s="107">
        <f>IFERROR(R6/$R$10,"  ")</f>
        <v>0.66624550086865442</v>
      </c>
      <c r="T6" s="104">
        <f>Assumptions!K9</f>
        <v>8015</v>
      </c>
      <c r="U6" s="107">
        <f>IFERROR(T6/$T$10,"  ")</f>
        <v>0.66624550086865442</v>
      </c>
      <c r="V6" s="104">
        <f>Assumptions!L9</f>
        <v>8015</v>
      </c>
      <c r="W6" s="107">
        <f>IFERROR(V6/$V$10,"  ")</f>
        <v>0.66624550086865442</v>
      </c>
      <c r="X6" s="104">
        <f>Assumptions!M9</f>
        <v>8015</v>
      </c>
      <c r="Y6" s="107">
        <f>IFERROR(X6/$X$10,"  ")</f>
        <v>0.66624550086865442</v>
      </c>
      <c r="Z6" s="104">
        <f>Assumptions!N9</f>
        <v>0</v>
      </c>
      <c r="AA6" s="107" t="str">
        <f>IFERROR(Z6/$Z$10,"  ")</f>
        <v xml:space="preserve">  </v>
      </c>
      <c r="AB6" s="104">
        <f>Assumptions!O9</f>
        <v>0</v>
      </c>
      <c r="AC6" s="107" t="str">
        <f>IFERROR(AB6/$AB$10,"  ")</f>
        <v xml:space="preserve">  </v>
      </c>
      <c r="AD6" s="104">
        <f>Assumptions!P9</f>
        <v>0</v>
      </c>
      <c r="AE6" s="107" t="str">
        <f>IFERROR(AD6/$AD$10,"  ")</f>
        <v xml:space="preserve">  </v>
      </c>
      <c r="AF6"/>
      <c r="AG6"/>
      <c r="AH6"/>
      <c r="AI6"/>
      <c r="AJ6"/>
      <c r="AK6"/>
      <c r="AL6"/>
      <c r="AM6"/>
      <c r="AN6"/>
      <c r="AO6"/>
      <c r="AP6"/>
      <c r="AQ6"/>
    </row>
    <row r="7" spans="1:43" s="6" customFormat="1" x14ac:dyDescent="0.15">
      <c r="A7" s="104" t="str">
        <f>Assumptions!A15</f>
        <v>Dried Shea Fruit Revenue in $000s</v>
      </c>
      <c r="B7" s="73"/>
      <c r="C7" s="73"/>
      <c r="D7" s="178"/>
      <c r="E7" s="73"/>
      <c r="F7" s="104">
        <f>Assumptions!D15</f>
        <v>0</v>
      </c>
      <c r="G7" s="107" t="str">
        <f>IFERROR(F7/$F$10,"  ")</f>
        <v xml:space="preserve">  </v>
      </c>
      <c r="H7" s="104">
        <f>Assumptions!E15</f>
        <v>648</v>
      </c>
      <c r="I7" s="107">
        <f>IFERROR(H7/$H$10,"  ")</f>
        <v>5.3864888903666634E-2</v>
      </c>
      <c r="J7" s="104">
        <f>Assumptions!F15</f>
        <v>648</v>
      </c>
      <c r="K7" s="107">
        <f>IFERROR(J7/$J$10,"  ")</f>
        <v>5.3864888903666634E-2</v>
      </c>
      <c r="L7" s="104">
        <f>Assumptions!G15</f>
        <v>648</v>
      </c>
      <c r="M7" s="107">
        <f>IFERROR(L7/$L$10,"  ")</f>
        <v>5.3864888903666634E-2</v>
      </c>
      <c r="N7" s="104">
        <f>Assumptions!H15</f>
        <v>648</v>
      </c>
      <c r="O7" s="107">
        <f>IFERROR(N7/$N$10,"  ")</f>
        <v>5.3864888903666634E-2</v>
      </c>
      <c r="P7" s="104">
        <f>Assumptions!I15</f>
        <v>648</v>
      </c>
      <c r="Q7" s="107">
        <f>IFERROR(P7/$P$10,"  ")</f>
        <v>5.3864888903666634E-2</v>
      </c>
      <c r="R7" s="104">
        <f>Assumptions!J15</f>
        <v>648</v>
      </c>
      <c r="S7" s="107">
        <f>IFERROR(R7/$R$10,"  ")</f>
        <v>5.3864888903666634E-2</v>
      </c>
      <c r="T7" s="104">
        <f>Assumptions!K15</f>
        <v>648</v>
      </c>
      <c r="U7" s="107">
        <f>IFERROR(T7/$T$10,"  ")</f>
        <v>5.3864888903666634E-2</v>
      </c>
      <c r="V7" s="104">
        <f>Assumptions!L15</f>
        <v>648</v>
      </c>
      <c r="W7" s="107">
        <f>IFERROR(V7/$V$10,"  ")</f>
        <v>5.3864888903666634E-2</v>
      </c>
      <c r="X7" s="104">
        <f>Assumptions!M15</f>
        <v>648</v>
      </c>
      <c r="Y7" s="107">
        <f>IFERROR(X7/$X$10,"  ")</f>
        <v>5.3864888903666634E-2</v>
      </c>
      <c r="Z7" s="104">
        <f>Assumptions!N15</f>
        <v>0</v>
      </c>
      <c r="AA7" s="107" t="str">
        <f>IFERROR(Z7/$Z$10,"  ")</f>
        <v xml:space="preserve">  </v>
      </c>
      <c r="AB7" s="104">
        <f>Assumptions!O15</f>
        <v>0</v>
      </c>
      <c r="AC7" s="107" t="str">
        <f>IFERROR(AB7/$AB$10,"  ")</f>
        <v xml:space="preserve">  </v>
      </c>
      <c r="AD7" s="104">
        <f>Assumptions!P15</f>
        <v>0</v>
      </c>
      <c r="AE7" s="107" t="str">
        <f>IFERROR(AD7/$AD$10,"  ")</f>
        <v xml:space="preserve">  </v>
      </c>
      <c r="AF7"/>
      <c r="AG7"/>
      <c r="AH7"/>
      <c r="AI7"/>
      <c r="AJ7"/>
      <c r="AK7"/>
      <c r="AL7"/>
      <c r="AM7"/>
      <c r="AN7"/>
      <c r="AO7"/>
      <c r="AP7"/>
      <c r="AQ7"/>
    </row>
    <row r="8" spans="1:43" s="6" customFormat="1" x14ac:dyDescent="0.15">
      <c r="A8" s="104" t="str">
        <f>Assumptions!A21</f>
        <v>Dried Mango Revenue in $000s</v>
      </c>
      <c r="B8" s="73"/>
      <c r="C8" s="73"/>
      <c r="D8" s="178"/>
      <c r="E8" s="73"/>
      <c r="F8" s="104">
        <f>Assumptions!D21</f>
        <v>0</v>
      </c>
      <c r="G8" s="107" t="str">
        <f>IFERROR(F8/$F$10,"  ")</f>
        <v xml:space="preserve">  </v>
      </c>
      <c r="H8" s="104">
        <f>Assumptions!E21</f>
        <v>2592</v>
      </c>
      <c r="I8" s="107">
        <f>IFERROR(H8/$H$10,"  ")</f>
        <v>0.21545955561466654</v>
      </c>
      <c r="J8" s="104">
        <f>Assumptions!F21</f>
        <v>2592</v>
      </c>
      <c r="K8" s="107">
        <f>IFERROR(J8/$J$10,"  ")</f>
        <v>0.21545955561466654</v>
      </c>
      <c r="L8" s="104">
        <f>Assumptions!G21</f>
        <v>2592</v>
      </c>
      <c r="M8" s="107">
        <f>IFERROR(L8/$L$10,"  ")</f>
        <v>0.21545955561466654</v>
      </c>
      <c r="N8" s="104">
        <f>Assumptions!H21</f>
        <v>2592</v>
      </c>
      <c r="O8" s="107">
        <f>IFERROR(N8/$N$10,"  ")</f>
        <v>0.21545955561466654</v>
      </c>
      <c r="P8" s="104">
        <f>Assumptions!I21</f>
        <v>2592</v>
      </c>
      <c r="Q8" s="107">
        <f>IFERROR(P8/$P$10,"  ")</f>
        <v>0.21545955561466654</v>
      </c>
      <c r="R8" s="104">
        <f>Assumptions!J21</f>
        <v>2592</v>
      </c>
      <c r="S8" s="107">
        <f>IFERROR(R8/$R$10,"  ")</f>
        <v>0.21545955561466654</v>
      </c>
      <c r="T8" s="104">
        <f>Assumptions!K21</f>
        <v>2592</v>
      </c>
      <c r="U8" s="107">
        <f>IFERROR(T8/$T$10,"  ")</f>
        <v>0.21545955561466654</v>
      </c>
      <c r="V8" s="104">
        <f>Assumptions!L21</f>
        <v>2592</v>
      </c>
      <c r="W8" s="107">
        <f>IFERROR(V8/$V$10,"  ")</f>
        <v>0.21545955561466654</v>
      </c>
      <c r="X8" s="104">
        <f>Assumptions!M21</f>
        <v>2592</v>
      </c>
      <c r="Y8" s="107">
        <f>IFERROR(X8/$X$10,"  ")</f>
        <v>0.21545955561466654</v>
      </c>
      <c r="Z8" s="104">
        <f>Assumptions!N21</f>
        <v>0</v>
      </c>
      <c r="AA8" s="107" t="str">
        <f>IFERROR(Z8/$Z$10,"  ")</f>
        <v xml:space="preserve">  </v>
      </c>
      <c r="AB8" s="104">
        <f>Assumptions!O21</f>
        <v>0</v>
      </c>
      <c r="AC8" s="107" t="str">
        <f>IFERROR(AB8/$AB$10,"  ")</f>
        <v xml:space="preserve">  </v>
      </c>
      <c r="AD8" s="104">
        <f>Assumptions!P21</f>
        <v>0</v>
      </c>
      <c r="AE8" s="107" t="str">
        <f>IFERROR(AD8/$AD$10,"  ")</f>
        <v xml:space="preserve">  </v>
      </c>
      <c r="AF8"/>
      <c r="AG8"/>
      <c r="AH8"/>
      <c r="AI8"/>
      <c r="AJ8"/>
      <c r="AK8"/>
      <c r="AL8"/>
      <c r="AM8"/>
      <c r="AN8"/>
      <c r="AO8"/>
      <c r="AP8"/>
      <c r="AQ8"/>
    </row>
    <row r="9" spans="1:43" s="6" customFormat="1" x14ac:dyDescent="0.15">
      <c r="A9" s="104" t="str">
        <f>Assumptions!A27</f>
        <v>Compost (Biogaz) Revenue in $000s</v>
      </c>
      <c r="B9" s="73"/>
      <c r="C9" s="73"/>
      <c r="D9" s="178"/>
      <c r="E9" s="73"/>
      <c r="F9" s="104">
        <f>Assumptions!D27</f>
        <v>0</v>
      </c>
      <c r="G9" s="107" t="str">
        <f>IFERROR(F9/$F$10,"  ")</f>
        <v xml:space="preserve">  </v>
      </c>
      <c r="H9" s="104">
        <f>Assumptions!E27</f>
        <v>775.1</v>
      </c>
      <c r="I9" s="107">
        <f>IFERROR(H9/$H$10,"  ")</f>
        <v>6.4430054613012364E-2</v>
      </c>
      <c r="J9" s="104">
        <f>Assumptions!F27</f>
        <v>775.1</v>
      </c>
      <c r="K9" s="107">
        <f>IFERROR(J9/$J$10,"  ")</f>
        <v>6.4430054613012364E-2</v>
      </c>
      <c r="L9" s="104">
        <f>Assumptions!G27</f>
        <v>775.1</v>
      </c>
      <c r="M9" s="107">
        <f>IFERROR(L9/$L$10,"  ")</f>
        <v>6.4430054613012364E-2</v>
      </c>
      <c r="N9" s="104">
        <f>Assumptions!H27</f>
        <v>775.1</v>
      </c>
      <c r="O9" s="107">
        <f>IFERROR(N9/$N$10,"  ")</f>
        <v>6.4430054613012364E-2</v>
      </c>
      <c r="P9" s="104">
        <f>Assumptions!I27</f>
        <v>775.1</v>
      </c>
      <c r="Q9" s="107">
        <f>IFERROR(P9/$P$10,"  ")</f>
        <v>6.4430054613012364E-2</v>
      </c>
      <c r="R9" s="104">
        <f>Assumptions!J27</f>
        <v>775.1</v>
      </c>
      <c r="S9" s="107">
        <f>IFERROR(R9/$R$10,"  ")</f>
        <v>6.4430054613012364E-2</v>
      </c>
      <c r="T9" s="104">
        <f>Assumptions!K27</f>
        <v>775.1</v>
      </c>
      <c r="U9" s="107">
        <f>IFERROR(T9/$T$10,"  ")</f>
        <v>6.4430054613012364E-2</v>
      </c>
      <c r="V9" s="104">
        <f>Assumptions!L27</f>
        <v>775.1</v>
      </c>
      <c r="W9" s="107">
        <f>IFERROR(V9/$V$10,"  ")</f>
        <v>6.4430054613012364E-2</v>
      </c>
      <c r="X9" s="104">
        <f>Assumptions!M27</f>
        <v>775.1</v>
      </c>
      <c r="Y9" s="107">
        <f>IFERROR(X9/$X$10,"  ")</f>
        <v>6.4430054613012364E-2</v>
      </c>
      <c r="Z9" s="104">
        <f>Assumptions!N27</f>
        <v>0</v>
      </c>
      <c r="AA9" s="107" t="str">
        <f>IFERROR(Z9/$Z$10,"  ")</f>
        <v xml:space="preserve">  </v>
      </c>
      <c r="AB9" s="104">
        <f>Assumptions!O27</f>
        <v>0</v>
      </c>
      <c r="AC9" s="107" t="str">
        <f>IFERROR(AB9/$AB$10,"  ")</f>
        <v xml:space="preserve">  </v>
      </c>
      <c r="AD9" s="104">
        <f>Assumptions!P27</f>
        <v>0</v>
      </c>
      <c r="AE9" s="107" t="str">
        <f>IFERROR(AD9/$AD$10,"  ")</f>
        <v xml:space="preserve">  </v>
      </c>
      <c r="AF9"/>
      <c r="AG9"/>
      <c r="AH9"/>
      <c r="AI9"/>
      <c r="AJ9"/>
      <c r="AK9"/>
      <c r="AL9"/>
      <c r="AM9"/>
      <c r="AN9"/>
      <c r="AO9"/>
      <c r="AP9"/>
      <c r="AQ9"/>
    </row>
    <row r="10" spans="1:43" s="6" customFormat="1" x14ac:dyDescent="0.15">
      <c r="A10" s="147" t="s">
        <v>43</v>
      </c>
      <c r="B10" s="148"/>
      <c r="C10" s="148"/>
      <c r="D10" s="179">
        <f>IF(ISBLANK(HistoricalData!$D$10)=TRUE,HistoricalData!D52,HistoricalData!D114)</f>
        <v>0</v>
      </c>
      <c r="E10" s="148"/>
      <c r="F10" s="148">
        <f>SUM(F6:F9)</f>
        <v>0</v>
      </c>
      <c r="G10" s="148"/>
      <c r="H10" s="148">
        <f t="shared" ref="H10:AD10" si="0">SUM(H6:H9)</f>
        <v>12030.1</v>
      </c>
      <c r="I10" s="148"/>
      <c r="J10" s="148">
        <f t="shared" si="0"/>
        <v>12030.1</v>
      </c>
      <c r="K10" s="148"/>
      <c r="L10" s="148">
        <f t="shared" si="0"/>
        <v>12030.1</v>
      </c>
      <c r="M10" s="148"/>
      <c r="N10" s="148">
        <f t="shared" si="0"/>
        <v>12030.1</v>
      </c>
      <c r="O10" s="148"/>
      <c r="P10" s="148">
        <f t="shared" si="0"/>
        <v>12030.1</v>
      </c>
      <c r="Q10" s="148"/>
      <c r="R10" s="148">
        <f t="shared" si="0"/>
        <v>12030.1</v>
      </c>
      <c r="S10" s="148"/>
      <c r="T10" s="148">
        <f t="shared" si="0"/>
        <v>12030.1</v>
      </c>
      <c r="U10" s="148"/>
      <c r="V10" s="148">
        <f t="shared" si="0"/>
        <v>12030.1</v>
      </c>
      <c r="W10" s="148"/>
      <c r="X10" s="148">
        <f t="shared" si="0"/>
        <v>12030.1</v>
      </c>
      <c r="Y10" s="148"/>
      <c r="Z10" s="148">
        <f t="shared" si="0"/>
        <v>0</v>
      </c>
      <c r="AA10" s="148"/>
      <c r="AB10" s="148">
        <f t="shared" si="0"/>
        <v>0</v>
      </c>
      <c r="AC10" s="148"/>
      <c r="AD10" s="148">
        <f t="shared" si="0"/>
        <v>0</v>
      </c>
      <c r="AE10" s="149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3" s="6" customFormat="1" x14ac:dyDescent="0.15">
      <c r="A11" s="76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3" s="6" customFormat="1" x14ac:dyDescent="0.15">
      <c r="A12" s="75" t="s">
        <v>44</v>
      </c>
      <c r="B12" s="73"/>
      <c r="C12" s="73"/>
      <c r="D12" s="180">
        <f>IF(ISBLANK(HistoricalData!$D$10)=TRUE,HistoricalData!D53,HistoricalData!D115)</f>
        <v>0</v>
      </c>
      <c r="E12" s="107" t="str">
        <f>IFERROR(D12/$D$10,"  ")</f>
        <v xml:space="preserve">  </v>
      </c>
      <c r="F12" s="73">
        <f>Assumptions!D34</f>
        <v>0</v>
      </c>
      <c r="G12" s="107" t="str">
        <f>IFERROR(F12/$F$10,"  ")</f>
        <v xml:space="preserve">  </v>
      </c>
      <c r="H12" s="73">
        <f>Assumptions!E34</f>
        <v>6264.4339730000002</v>
      </c>
      <c r="I12" s="107">
        <f>IFERROR(H12/$H$10,"  ")</f>
        <v>0.52073000000000003</v>
      </c>
      <c r="J12" s="73">
        <f>Assumptions!F34</f>
        <v>6264.4339730000002</v>
      </c>
      <c r="K12" s="107">
        <f>IFERROR(J12/$J$10,"  ")</f>
        <v>0.52073000000000003</v>
      </c>
      <c r="L12" s="73">
        <f>Assumptions!G34</f>
        <v>6264.4339730000002</v>
      </c>
      <c r="M12" s="107">
        <f>IFERROR(L12/$L$10,"  ")</f>
        <v>0.52073000000000003</v>
      </c>
      <c r="N12" s="73">
        <f>Assumptions!H34</f>
        <v>6264.4339730000002</v>
      </c>
      <c r="O12" s="107">
        <f>IFERROR(N12/$N$10,"  ")</f>
        <v>0.52073000000000003</v>
      </c>
      <c r="P12" s="73">
        <f>Assumptions!I34</f>
        <v>6264.4339730000002</v>
      </c>
      <c r="Q12" s="107">
        <f>IFERROR(P12/$P$10,"  ")</f>
        <v>0.52073000000000003</v>
      </c>
      <c r="R12" s="73">
        <f>Assumptions!J34</f>
        <v>6264.4339730000002</v>
      </c>
      <c r="S12" s="107">
        <f>IFERROR(R12/$R$10,"  ")</f>
        <v>0.52073000000000003</v>
      </c>
      <c r="T12" s="73">
        <f>Assumptions!K34</f>
        <v>6264.4339730000002</v>
      </c>
      <c r="U12" s="107">
        <f>IFERROR(T12/$T$10,"  ")</f>
        <v>0.52073000000000003</v>
      </c>
      <c r="V12" s="73">
        <f>Assumptions!L34</f>
        <v>6264.4339730000002</v>
      </c>
      <c r="W12" s="107">
        <f>IFERROR(V12/$V$10,"  ")</f>
        <v>0.52073000000000003</v>
      </c>
      <c r="X12" s="73">
        <f>Assumptions!M34</f>
        <v>6264.4339730000002</v>
      </c>
      <c r="Y12" s="107">
        <f>IFERROR(X12/$X$10,"  ")</f>
        <v>0.52073000000000003</v>
      </c>
      <c r="Z12" s="73">
        <f>Assumptions!N34</f>
        <v>0</v>
      </c>
      <c r="AA12" s="107" t="str">
        <f>IFERROR(Z12/$Z$10,"  ")</f>
        <v xml:space="preserve">  </v>
      </c>
      <c r="AB12" s="73">
        <f>Assumptions!O34</f>
        <v>0</v>
      </c>
      <c r="AC12" s="107" t="str">
        <f>IFERROR(AB12/$AB$10,"  ")</f>
        <v xml:space="preserve">  </v>
      </c>
      <c r="AD12" s="73">
        <f>Assumptions!P34</f>
        <v>0</v>
      </c>
      <c r="AE12" s="107" t="str">
        <f>IFERROR(AD12/$AD$10,"  ")</f>
        <v xml:space="preserve">  </v>
      </c>
      <c r="AF12"/>
      <c r="AG12"/>
      <c r="AH12"/>
      <c r="AI12"/>
      <c r="AJ12"/>
      <c r="AK12"/>
      <c r="AL12"/>
      <c r="AM12"/>
      <c r="AN12"/>
      <c r="AO12"/>
      <c r="AP12"/>
      <c r="AQ12"/>
    </row>
    <row r="13" spans="1:43" s="6" customFormat="1" x14ac:dyDescent="0.1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3" s="6" customFormat="1" x14ac:dyDescent="0.15">
      <c r="A14" s="75" t="s">
        <v>275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3" s="6" customFormat="1" x14ac:dyDescent="0.15">
      <c r="A15" s="186" t="str">
        <f>Assumptions!A38</f>
        <v>Operating Expense (local 000s)</v>
      </c>
      <c r="B15" s="73"/>
      <c r="C15" s="73"/>
      <c r="D15" s="178"/>
      <c r="E15" s="73"/>
      <c r="F15" s="80">
        <f>Assumptions!D38*(1/Assumptions!D44)</f>
        <v>0</v>
      </c>
      <c r="G15" s="80"/>
      <c r="H15" s="80">
        <f>Assumptions!E38*(1/Assumptions!E44)</f>
        <v>0</v>
      </c>
      <c r="I15" s="80"/>
      <c r="J15" s="80">
        <f>Assumptions!F38*(1/Assumptions!F44)</f>
        <v>0</v>
      </c>
      <c r="K15" s="80"/>
      <c r="L15" s="80">
        <f>Assumptions!G38*(1/Assumptions!G44)</f>
        <v>0</v>
      </c>
      <c r="M15" s="80"/>
      <c r="N15" s="80">
        <f>Assumptions!H38*(1/Assumptions!H44)</f>
        <v>0</v>
      </c>
      <c r="O15" s="80"/>
      <c r="P15" s="80">
        <f>Assumptions!I38*(1/Assumptions!I44)</f>
        <v>0</v>
      </c>
      <c r="Q15" s="80"/>
      <c r="R15" s="80">
        <f>Assumptions!J38*(1/Assumptions!J44)</f>
        <v>0</v>
      </c>
      <c r="S15" s="80"/>
      <c r="T15" s="80">
        <f>Assumptions!K38*(1/Assumptions!K44)</f>
        <v>0</v>
      </c>
      <c r="U15" s="80"/>
      <c r="V15" s="80">
        <f>Assumptions!L38*(1/Assumptions!L44)</f>
        <v>0</v>
      </c>
      <c r="W15" s="80"/>
      <c r="X15" s="80">
        <f>Assumptions!M38*(1/Assumptions!M44)</f>
        <v>0</v>
      </c>
      <c r="Y15" s="80"/>
      <c r="Z15" s="80">
        <f>Assumptions!N38*(1/Assumptions!N44)</f>
        <v>0</v>
      </c>
      <c r="AA15" s="80"/>
      <c r="AB15" s="80">
        <f>Assumptions!O38*(1/Assumptions!O44)</f>
        <v>0</v>
      </c>
      <c r="AC15" s="80"/>
      <c r="AD15" s="80">
        <f>Assumptions!P38*(1/Assumptions!P44)</f>
        <v>0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3" s="6" customFormat="1" x14ac:dyDescent="0.15">
      <c r="A16" s="186" t="str">
        <f>Assumptions!A39</f>
        <v>Operating Expense (local 000s)</v>
      </c>
      <c r="B16" s="73"/>
      <c r="C16" s="73"/>
      <c r="D16" s="178"/>
      <c r="E16" s="73"/>
      <c r="F16" s="80">
        <f>Assumptions!D39*(1/Assumptions!D44)</f>
        <v>0</v>
      </c>
      <c r="G16" s="80"/>
      <c r="H16" s="80">
        <f>Assumptions!E39*(1/Assumptions!E44)</f>
        <v>0</v>
      </c>
      <c r="I16" s="80"/>
      <c r="J16" s="80">
        <f>Assumptions!F39*(1/Assumptions!F44)</f>
        <v>0</v>
      </c>
      <c r="K16" s="80"/>
      <c r="L16" s="80">
        <f>Assumptions!G39*(1/Assumptions!G44)</f>
        <v>0</v>
      </c>
      <c r="M16" s="80"/>
      <c r="N16" s="80">
        <f>Assumptions!H39*(1/Assumptions!H44)</f>
        <v>0</v>
      </c>
      <c r="O16" s="80"/>
      <c r="P16" s="80">
        <f>Assumptions!I39*(1/Assumptions!I44)</f>
        <v>0</v>
      </c>
      <c r="Q16" s="80"/>
      <c r="R16" s="80">
        <f>Assumptions!J39*(1/Assumptions!J44)</f>
        <v>0</v>
      </c>
      <c r="S16" s="80"/>
      <c r="T16" s="80">
        <f>Assumptions!K39*(1/Assumptions!K44)</f>
        <v>0</v>
      </c>
      <c r="U16" s="80"/>
      <c r="V16" s="80">
        <f>Assumptions!L39*(1/Assumptions!L44)</f>
        <v>0</v>
      </c>
      <c r="W16" s="80"/>
      <c r="X16" s="80">
        <f>Assumptions!M39*(1/Assumptions!M44)</f>
        <v>0</v>
      </c>
      <c r="Y16" s="80"/>
      <c r="Z16" s="80">
        <f>Assumptions!N39*(1/Assumptions!N44)</f>
        <v>0</v>
      </c>
      <c r="AA16" s="80"/>
      <c r="AB16" s="80">
        <f>Assumptions!O39*(1/Assumptions!O44)</f>
        <v>0</v>
      </c>
      <c r="AC16" s="80"/>
      <c r="AD16" s="80">
        <f>Assumptions!P39*(1/Assumptions!P44)</f>
        <v>0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s="6" customFormat="1" x14ac:dyDescent="0.15">
      <c r="A17" s="186" t="str">
        <f>Assumptions!A40</f>
        <v>Operating Expense (local 000s)</v>
      </c>
      <c r="B17" s="73"/>
      <c r="C17" s="73"/>
      <c r="D17" s="178"/>
      <c r="E17" s="73"/>
      <c r="F17" s="73">
        <f>Assumptions!D40*(1/Assumptions!D44)</f>
        <v>0</v>
      </c>
      <c r="G17" s="73"/>
      <c r="H17" s="73">
        <f>Assumptions!E40*(1/Assumptions!E44)</f>
        <v>0</v>
      </c>
      <c r="I17" s="73"/>
      <c r="J17" s="73">
        <f>Assumptions!F40*(1/Assumptions!F44)</f>
        <v>0</v>
      </c>
      <c r="K17" s="73"/>
      <c r="L17" s="73">
        <f>Assumptions!G40*(1/Assumptions!G44)</f>
        <v>0</v>
      </c>
      <c r="M17" s="73"/>
      <c r="N17" s="73">
        <f>Assumptions!H40*(1/Assumptions!H44)</f>
        <v>0</v>
      </c>
      <c r="O17" s="73"/>
      <c r="P17" s="73">
        <f>Assumptions!I40*(1/Assumptions!I44)</f>
        <v>0</v>
      </c>
      <c r="Q17" s="73"/>
      <c r="R17" s="73">
        <f>Assumptions!J40*(1/Assumptions!J44)</f>
        <v>0</v>
      </c>
      <c r="S17" s="73"/>
      <c r="T17" s="73">
        <f>Assumptions!K40*(1/Assumptions!K44)</f>
        <v>0</v>
      </c>
      <c r="U17" s="73"/>
      <c r="V17" s="73">
        <f>Assumptions!L40*(1/Assumptions!L44)</f>
        <v>0</v>
      </c>
      <c r="W17" s="73"/>
      <c r="X17" s="73">
        <f>Assumptions!M40*(1/Assumptions!M44)</f>
        <v>0</v>
      </c>
      <c r="Y17" s="73"/>
      <c r="Z17" s="73">
        <f>Assumptions!N40*(1/Assumptions!N44)</f>
        <v>0</v>
      </c>
      <c r="AA17" s="73"/>
      <c r="AB17" s="73">
        <f>Assumptions!O40*(1/Assumptions!O44)</f>
        <v>0</v>
      </c>
      <c r="AC17" s="73"/>
      <c r="AD17" s="73">
        <f>Assumptions!P40*(1/Assumptions!P44)</f>
        <v>0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s="6" customFormat="1" x14ac:dyDescent="0.15">
      <c r="A18" s="186" t="str">
        <f>Assumptions!A41</f>
        <v>Operating Expense (local 000s)</v>
      </c>
      <c r="B18" s="73"/>
      <c r="C18" s="73"/>
      <c r="D18" s="178"/>
      <c r="E18" s="73"/>
      <c r="F18" s="73">
        <f>Assumptions!D41*(1/Assumptions!D44)</f>
        <v>0</v>
      </c>
      <c r="G18" s="73"/>
      <c r="H18" s="73">
        <f>Assumptions!E41*(1/Assumptions!E44)</f>
        <v>0</v>
      </c>
      <c r="I18" s="73"/>
      <c r="J18" s="73">
        <f>Assumptions!F41*(1/Assumptions!F44)</f>
        <v>0</v>
      </c>
      <c r="K18" s="73"/>
      <c r="L18" s="73">
        <f>Assumptions!G41*(1/Assumptions!G44)</f>
        <v>0</v>
      </c>
      <c r="M18" s="73"/>
      <c r="N18" s="73">
        <f>Assumptions!H41*(1/Assumptions!H44)</f>
        <v>0</v>
      </c>
      <c r="O18" s="73"/>
      <c r="P18" s="73">
        <f>Assumptions!I41*(1/Assumptions!I44)</f>
        <v>0</v>
      </c>
      <c r="Q18" s="73"/>
      <c r="R18" s="73">
        <f>Assumptions!J41*(1/Assumptions!J44)</f>
        <v>0</v>
      </c>
      <c r="S18" s="73"/>
      <c r="T18" s="73">
        <f>Assumptions!K41*(1/Assumptions!K44)</f>
        <v>0</v>
      </c>
      <c r="U18" s="73"/>
      <c r="V18" s="73">
        <f>Assumptions!L41*(1/Assumptions!L44)</f>
        <v>0</v>
      </c>
      <c r="W18" s="73"/>
      <c r="X18" s="73">
        <f>Assumptions!M41*(1/Assumptions!M44)</f>
        <v>0</v>
      </c>
      <c r="Y18" s="73"/>
      <c r="Z18" s="73">
        <f>Assumptions!N41*(1/Assumptions!N44)</f>
        <v>0</v>
      </c>
      <c r="AA18" s="73"/>
      <c r="AB18" s="73">
        <f>Assumptions!O41*(1/Assumptions!O44)</f>
        <v>0</v>
      </c>
      <c r="AC18" s="73"/>
      <c r="AD18" s="73">
        <f>Assumptions!P41*(1/Assumptions!P44)</f>
        <v>0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s="6" customFormat="1" x14ac:dyDescent="0.15">
      <c r="A19" s="186" t="str">
        <f>Assumptions!A42</f>
        <v>Operating Expense (local 000s)</v>
      </c>
      <c r="B19" s="73"/>
      <c r="C19" s="73"/>
      <c r="D19" s="178"/>
      <c r="E19" s="73"/>
      <c r="F19" s="73">
        <f>Assumptions!D42*(1/Assumptions!D44)</f>
        <v>0</v>
      </c>
      <c r="G19" s="73"/>
      <c r="H19" s="73">
        <f>Assumptions!E42*(1/Assumptions!E44)</f>
        <v>0</v>
      </c>
      <c r="I19" s="73"/>
      <c r="J19" s="73">
        <f>Assumptions!F42*(1/Assumptions!F44)</f>
        <v>0</v>
      </c>
      <c r="K19" s="73"/>
      <c r="L19" s="73">
        <f>Assumptions!G42*(1/Assumptions!G44)</f>
        <v>0</v>
      </c>
      <c r="M19" s="73"/>
      <c r="N19" s="73">
        <f>Assumptions!H42*(1/Assumptions!H44)</f>
        <v>0</v>
      </c>
      <c r="O19" s="73"/>
      <c r="P19" s="73">
        <f>Assumptions!I42*(1/Assumptions!I44)</f>
        <v>0</v>
      </c>
      <c r="Q19" s="73"/>
      <c r="R19" s="73">
        <f>Assumptions!J42*(1/Assumptions!J44)</f>
        <v>0</v>
      </c>
      <c r="S19" s="73"/>
      <c r="T19" s="73">
        <f>Assumptions!K42*(1/Assumptions!K44)</f>
        <v>0</v>
      </c>
      <c r="U19" s="73"/>
      <c r="V19" s="73">
        <f>Assumptions!L42*(1/Assumptions!L44)</f>
        <v>0</v>
      </c>
      <c r="W19" s="73"/>
      <c r="X19" s="73">
        <f>Assumptions!M42*(1/Assumptions!M44)</f>
        <v>0</v>
      </c>
      <c r="Y19" s="73"/>
      <c r="Z19" s="73">
        <f>Assumptions!N42*(1/Assumptions!N44)</f>
        <v>0</v>
      </c>
      <c r="AA19" s="73"/>
      <c r="AB19" s="73">
        <f>Assumptions!O42*(1/Assumptions!O44)</f>
        <v>0</v>
      </c>
      <c r="AC19" s="73"/>
      <c r="AD19" s="73">
        <f>Assumptions!P42*(1/Assumptions!P44)</f>
        <v>0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s="6" customFormat="1" x14ac:dyDescent="0.15">
      <c r="A20" s="80" t="str">
        <f>Assumptions!A48</f>
        <v>Regional Management</v>
      </c>
      <c r="B20" s="73"/>
      <c r="C20" s="73"/>
      <c r="D20" s="178"/>
      <c r="E20" s="73"/>
      <c r="F20" s="80">
        <f>Assumptions!D48</f>
        <v>0</v>
      </c>
      <c r="G20" s="80"/>
      <c r="H20" s="80">
        <f>Assumptions!E48</f>
        <v>57</v>
      </c>
      <c r="I20" s="80"/>
      <c r="J20" s="80">
        <f>Assumptions!F48</f>
        <v>57</v>
      </c>
      <c r="K20" s="80"/>
      <c r="L20" s="80">
        <f>Assumptions!G48</f>
        <v>57</v>
      </c>
      <c r="M20" s="80"/>
      <c r="N20" s="80">
        <f>Assumptions!H48</f>
        <v>57</v>
      </c>
      <c r="O20" s="80"/>
      <c r="P20" s="80">
        <f>Assumptions!I48</f>
        <v>57</v>
      </c>
      <c r="Q20" s="80"/>
      <c r="R20" s="80">
        <f>Assumptions!J48</f>
        <v>57</v>
      </c>
      <c r="S20" s="80"/>
      <c r="T20" s="80">
        <f>Assumptions!K48</f>
        <v>57</v>
      </c>
      <c r="U20" s="80"/>
      <c r="V20" s="80">
        <f>Assumptions!L48</f>
        <v>57</v>
      </c>
      <c r="W20" s="80"/>
      <c r="X20" s="80">
        <f>Assumptions!M48</f>
        <v>57</v>
      </c>
      <c r="Y20" s="80"/>
      <c r="Z20" s="80">
        <f>Assumptions!N48</f>
        <v>0</v>
      </c>
      <c r="AA20" s="80"/>
      <c r="AB20" s="80">
        <f>Assumptions!O48</f>
        <v>0</v>
      </c>
      <c r="AC20" s="80"/>
      <c r="AD20" s="80">
        <f>Assumptions!P48</f>
        <v>0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s="6" customFormat="1" x14ac:dyDescent="0.15">
      <c r="A21" s="80" t="str">
        <f>Assumptions!A49</f>
        <v>Collection Center Opex</v>
      </c>
      <c r="B21" s="73"/>
      <c r="C21" s="73"/>
      <c r="D21" s="178"/>
      <c r="E21" s="73"/>
      <c r="F21" s="80">
        <f>Assumptions!D49</f>
        <v>0</v>
      </c>
      <c r="G21" s="80"/>
      <c r="H21" s="80">
        <f>Assumptions!E49</f>
        <v>1017.635</v>
      </c>
      <c r="I21" s="80"/>
      <c r="J21" s="80">
        <f>Assumptions!F49</f>
        <v>1017.635</v>
      </c>
      <c r="K21" s="80"/>
      <c r="L21" s="80">
        <f>Assumptions!G49</f>
        <v>1017.635</v>
      </c>
      <c r="M21" s="80"/>
      <c r="N21" s="80">
        <f>Assumptions!H49</f>
        <v>1017.635</v>
      </c>
      <c r="O21" s="80"/>
      <c r="P21" s="80">
        <f>Assumptions!I49</f>
        <v>1017.635</v>
      </c>
      <c r="Q21" s="80"/>
      <c r="R21" s="80">
        <f>Assumptions!J49</f>
        <v>1017.635</v>
      </c>
      <c r="S21" s="80"/>
      <c r="T21" s="80">
        <f>Assumptions!K49</f>
        <v>1017.635</v>
      </c>
      <c r="U21" s="80"/>
      <c r="V21" s="80">
        <f>Assumptions!L49</f>
        <v>1017.635</v>
      </c>
      <c r="W21" s="80"/>
      <c r="X21" s="80">
        <f>Assumptions!M49</f>
        <v>1017.635</v>
      </c>
      <c r="Y21" s="80"/>
      <c r="Z21" s="80">
        <f>Assumptions!N49</f>
        <v>0</v>
      </c>
      <c r="AA21" s="80"/>
      <c r="AB21" s="80">
        <f>Assumptions!O49</f>
        <v>0</v>
      </c>
      <c r="AC21" s="80"/>
      <c r="AD21" s="80">
        <f>Assumptions!P49</f>
        <v>0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s="6" customFormat="1" x14ac:dyDescent="0.15">
      <c r="A22" s="80" t="str">
        <f>Assumptions!A50</f>
        <v>Processing Center Opex</v>
      </c>
      <c r="B22" s="73"/>
      <c r="C22" s="73"/>
      <c r="D22" s="178"/>
      <c r="E22" s="73"/>
      <c r="F22" s="80">
        <f>Assumptions!D50</f>
        <v>0</v>
      </c>
      <c r="G22" s="80"/>
      <c r="H22" s="80">
        <f>Assumptions!E50</f>
        <v>738</v>
      </c>
      <c r="I22" s="80"/>
      <c r="J22" s="80">
        <f>Assumptions!F50</f>
        <v>738</v>
      </c>
      <c r="K22" s="80"/>
      <c r="L22" s="80">
        <f>Assumptions!G50</f>
        <v>738</v>
      </c>
      <c r="M22" s="80"/>
      <c r="N22" s="80">
        <f>Assumptions!H50</f>
        <v>738</v>
      </c>
      <c r="O22" s="80"/>
      <c r="P22" s="80">
        <f>Assumptions!I50</f>
        <v>738</v>
      </c>
      <c r="Q22" s="80"/>
      <c r="R22" s="80">
        <f>Assumptions!J50</f>
        <v>738</v>
      </c>
      <c r="S22" s="80"/>
      <c r="T22" s="80">
        <f>Assumptions!K50</f>
        <v>738</v>
      </c>
      <c r="U22" s="80"/>
      <c r="V22" s="80">
        <f>Assumptions!L50</f>
        <v>738</v>
      </c>
      <c r="W22" s="80"/>
      <c r="X22" s="80">
        <f>Assumptions!M50</f>
        <v>738</v>
      </c>
      <c r="Y22" s="80"/>
      <c r="Z22" s="80">
        <f>Assumptions!N50</f>
        <v>0</v>
      </c>
      <c r="AA22" s="80"/>
      <c r="AB22" s="80">
        <f>Assumptions!O50</f>
        <v>0</v>
      </c>
      <c r="AC22" s="80"/>
      <c r="AD22" s="80">
        <f>Assumptions!P50</f>
        <v>0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s="6" customFormat="1" x14ac:dyDescent="0.15">
      <c r="A23" s="80" t="str">
        <f>Assumptions!A51</f>
        <v>Operating Expense (local 000s)</v>
      </c>
      <c r="B23" s="73"/>
      <c r="C23" s="73"/>
      <c r="D23" s="178"/>
      <c r="E23" s="73"/>
      <c r="F23" s="80">
        <f>Assumptions!D51</f>
        <v>0</v>
      </c>
      <c r="G23" s="80"/>
      <c r="H23" s="80">
        <f>Assumptions!E51</f>
        <v>0</v>
      </c>
      <c r="I23" s="80"/>
      <c r="J23" s="80">
        <f>Assumptions!F51</f>
        <v>0</v>
      </c>
      <c r="K23" s="80"/>
      <c r="L23" s="80">
        <f>Assumptions!G51</f>
        <v>0</v>
      </c>
      <c r="M23" s="80"/>
      <c r="N23" s="80">
        <f>Assumptions!H51</f>
        <v>0</v>
      </c>
      <c r="O23" s="80"/>
      <c r="P23" s="80">
        <f>Assumptions!I51</f>
        <v>0</v>
      </c>
      <c r="Q23" s="80"/>
      <c r="R23" s="80">
        <f>Assumptions!J51</f>
        <v>0</v>
      </c>
      <c r="S23" s="80"/>
      <c r="T23" s="80">
        <f>Assumptions!K51</f>
        <v>0</v>
      </c>
      <c r="U23" s="80"/>
      <c r="V23" s="80">
        <f>Assumptions!L51</f>
        <v>0</v>
      </c>
      <c r="W23" s="80"/>
      <c r="X23" s="80">
        <f>Assumptions!M51</f>
        <v>0</v>
      </c>
      <c r="Y23" s="80"/>
      <c r="Z23" s="80">
        <f>Assumptions!N51</f>
        <v>0</v>
      </c>
      <c r="AA23" s="80"/>
      <c r="AB23" s="80">
        <f>Assumptions!O51</f>
        <v>0</v>
      </c>
      <c r="AC23" s="80"/>
      <c r="AD23" s="80">
        <f>Assumptions!P51</f>
        <v>0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s="6" customFormat="1" x14ac:dyDescent="0.15">
      <c r="A24" s="80" t="str">
        <f>Assumptions!A52</f>
        <v>Operating Expense (local 000s)</v>
      </c>
      <c r="B24" s="73"/>
      <c r="C24" s="73"/>
      <c r="D24" s="181"/>
      <c r="E24" s="73"/>
      <c r="F24" s="80">
        <f>Assumptions!D52</f>
        <v>0</v>
      </c>
      <c r="G24" s="80"/>
      <c r="H24" s="80">
        <f>Assumptions!E52</f>
        <v>0</v>
      </c>
      <c r="I24" s="80"/>
      <c r="J24" s="80">
        <f>Assumptions!F52</f>
        <v>0</v>
      </c>
      <c r="K24" s="80"/>
      <c r="L24" s="80">
        <f>Assumptions!G52</f>
        <v>0</v>
      </c>
      <c r="M24" s="80"/>
      <c r="N24" s="80">
        <f>Assumptions!H52</f>
        <v>0</v>
      </c>
      <c r="O24" s="80"/>
      <c r="P24" s="80">
        <f>Assumptions!I52</f>
        <v>0</v>
      </c>
      <c r="Q24" s="80"/>
      <c r="R24" s="80">
        <f>Assumptions!J52</f>
        <v>0</v>
      </c>
      <c r="S24" s="80"/>
      <c r="T24" s="80">
        <f>Assumptions!K52</f>
        <v>0</v>
      </c>
      <c r="U24" s="80"/>
      <c r="V24" s="80">
        <f>Assumptions!L52</f>
        <v>0</v>
      </c>
      <c r="W24" s="80"/>
      <c r="X24" s="80">
        <f>Assumptions!M52</f>
        <v>0</v>
      </c>
      <c r="Y24" s="80"/>
      <c r="Z24" s="80">
        <f>Assumptions!N52</f>
        <v>0</v>
      </c>
      <c r="AA24" s="80"/>
      <c r="AB24" s="80">
        <f>Assumptions!O52</f>
        <v>0</v>
      </c>
      <c r="AC24" s="80"/>
      <c r="AD24" s="80">
        <f>Assumptions!P52</f>
        <v>0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s="6" customFormat="1" x14ac:dyDescent="0.15">
      <c r="A25" s="147" t="s">
        <v>276</v>
      </c>
      <c r="B25" s="148"/>
      <c r="C25" s="148"/>
      <c r="D25" s="180">
        <f>IF(ISBLANK(HistoricalData!$D$10)=TRUE,HistoricalData!D54+HistoricalData!D55,HistoricalData!D116+HistoricalData!D117)</f>
        <v>0</v>
      </c>
      <c r="E25" s="150" t="str">
        <f>IFERROR(D25/$D$10,"  ")</f>
        <v xml:space="preserve">  </v>
      </c>
      <c r="F25" s="148">
        <f t="shared" ref="F25:V25" si="1">SUM(F15:F24)</f>
        <v>0</v>
      </c>
      <c r="G25" s="150" t="str">
        <f>IFERROR(F25/$F$10,"  ")</f>
        <v xml:space="preserve">  </v>
      </c>
      <c r="H25" s="148">
        <f t="shared" si="1"/>
        <v>1812.635</v>
      </c>
      <c r="I25" s="150">
        <f>IFERROR(H25/$H$10,"  ")</f>
        <v>0.15067497360786694</v>
      </c>
      <c r="J25" s="148">
        <f t="shared" si="1"/>
        <v>1812.635</v>
      </c>
      <c r="K25" s="150">
        <f>IFERROR(J25/$J$10,"  ")</f>
        <v>0.15067497360786694</v>
      </c>
      <c r="L25" s="148">
        <f t="shared" si="1"/>
        <v>1812.635</v>
      </c>
      <c r="M25" s="150">
        <f>IFERROR(L25/$L$10,"  ")</f>
        <v>0.15067497360786694</v>
      </c>
      <c r="N25" s="148">
        <f t="shared" si="1"/>
        <v>1812.635</v>
      </c>
      <c r="O25" s="150">
        <f>IFERROR(N25/$N$10,"  ")</f>
        <v>0.15067497360786694</v>
      </c>
      <c r="P25" s="148">
        <f t="shared" si="1"/>
        <v>1812.635</v>
      </c>
      <c r="Q25" s="150">
        <f>IFERROR(P25/$P$10,"  ")</f>
        <v>0.15067497360786694</v>
      </c>
      <c r="R25" s="148">
        <f t="shared" si="1"/>
        <v>1812.635</v>
      </c>
      <c r="S25" s="150">
        <f>IFERROR(R25/$R$10,"  ")</f>
        <v>0.15067497360786694</v>
      </c>
      <c r="T25" s="148">
        <f t="shared" si="1"/>
        <v>1812.635</v>
      </c>
      <c r="U25" s="150">
        <f>IFERROR(T25/$T$10,"  ")</f>
        <v>0.15067497360786694</v>
      </c>
      <c r="V25" s="148">
        <f t="shared" si="1"/>
        <v>1812.635</v>
      </c>
      <c r="W25" s="150">
        <f>IFERROR(V25/$V$10,"  ")</f>
        <v>0.15067497360786694</v>
      </c>
      <c r="X25" s="148">
        <f>SUM(X15:X24)</f>
        <v>1812.635</v>
      </c>
      <c r="Y25" s="150">
        <f>IFERROR(X25/$X$10,"  ")</f>
        <v>0.15067497360786694</v>
      </c>
      <c r="Z25" s="148">
        <f>SUM(Z15:Z24)</f>
        <v>0</v>
      </c>
      <c r="AA25" s="150" t="str">
        <f>IFERROR(Z25/$Z$10,"  ")</f>
        <v xml:space="preserve">  </v>
      </c>
      <c r="AB25" s="148">
        <f>SUM(AB15:AB24)</f>
        <v>0</v>
      </c>
      <c r="AC25" s="150" t="str">
        <f>IFERROR(AB25/$AB$10,"  ")</f>
        <v xml:space="preserve">  </v>
      </c>
      <c r="AD25" s="148">
        <f>SUM(AD15:AD24)</f>
        <v>0</v>
      </c>
      <c r="AE25" s="150" t="str">
        <f>IFERROR(AD25/$AD$10,"  ")</f>
        <v xml:space="preserve">  </v>
      </c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s="6" customFormat="1" x14ac:dyDescent="0.15">
      <c r="A26" s="76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s="6" customFormat="1" x14ac:dyDescent="0.15">
      <c r="A27" s="81" t="s">
        <v>157</v>
      </c>
      <c r="B27" s="73"/>
      <c r="C27" s="73"/>
      <c r="D27" s="73">
        <f t="shared" ref="D27:T27" si="2">D10-D12-D25</f>
        <v>0</v>
      </c>
      <c r="E27" s="107" t="str">
        <f>IFERROR(D27/$D$10,"  ")</f>
        <v xml:space="preserve">  </v>
      </c>
      <c r="F27" s="73">
        <f t="shared" si="2"/>
        <v>0</v>
      </c>
      <c r="G27" s="107" t="str">
        <f>IFERROR(F27/$F$10,"  ")</f>
        <v xml:space="preserve">  </v>
      </c>
      <c r="H27" s="73">
        <f t="shared" si="2"/>
        <v>3953.031027</v>
      </c>
      <c r="I27" s="107">
        <f>IFERROR(H27/$H$10,"  ")</f>
        <v>0.32859502639213306</v>
      </c>
      <c r="J27" s="73">
        <f t="shared" si="2"/>
        <v>3953.031027</v>
      </c>
      <c r="K27" s="107">
        <f>IFERROR(J27/$J$10,"  ")</f>
        <v>0.32859502639213306</v>
      </c>
      <c r="L27" s="73">
        <f t="shared" si="2"/>
        <v>3953.031027</v>
      </c>
      <c r="M27" s="107">
        <f>IFERROR(L27/$L$10,"  ")</f>
        <v>0.32859502639213306</v>
      </c>
      <c r="N27" s="73">
        <f t="shared" si="2"/>
        <v>3953.031027</v>
      </c>
      <c r="O27" s="107">
        <f>IFERROR(N27/$N$10,"  ")</f>
        <v>0.32859502639213306</v>
      </c>
      <c r="P27" s="73">
        <f t="shared" si="2"/>
        <v>3953.031027</v>
      </c>
      <c r="Q27" s="107">
        <f>IFERROR(P27/$P$10,"  ")</f>
        <v>0.32859502639213306</v>
      </c>
      <c r="R27" s="73">
        <f t="shared" si="2"/>
        <v>3953.031027</v>
      </c>
      <c r="S27" s="107">
        <f>IFERROR(R27/$R$10,"  ")</f>
        <v>0.32859502639213306</v>
      </c>
      <c r="T27" s="73">
        <f t="shared" si="2"/>
        <v>3953.031027</v>
      </c>
      <c r="U27" s="107">
        <f>IFERROR(T27/$T$10,"  ")</f>
        <v>0.32859502639213306</v>
      </c>
      <c r="V27" s="73">
        <f>V10-V12-V25</f>
        <v>3953.031027</v>
      </c>
      <c r="W27" s="107">
        <f>IFERROR(V27/$V$10,"  ")</f>
        <v>0.32859502639213306</v>
      </c>
      <c r="X27" s="73">
        <f>X10-X12-X25</f>
        <v>3953.031027</v>
      </c>
      <c r="Y27" s="107">
        <f>IFERROR(X27/$X$10,"  ")</f>
        <v>0.32859502639213306</v>
      </c>
      <c r="Z27" s="73">
        <f>Z10-Z12-Z25</f>
        <v>0</v>
      </c>
      <c r="AA27" s="107" t="str">
        <f>IFERROR(Z27/$Z$10,"  ")</f>
        <v xml:space="preserve">  </v>
      </c>
      <c r="AB27" s="73">
        <f>AB10-AB12-AB25</f>
        <v>0</v>
      </c>
      <c r="AC27" s="107" t="str">
        <f>IFERROR(AB27/$AB$10,"  ")</f>
        <v xml:space="preserve">  </v>
      </c>
      <c r="AD27" s="73">
        <f>AD10-AD12-AD25</f>
        <v>0</v>
      </c>
      <c r="AE27" s="107" t="str">
        <f>IFERROR(AD27/$AD$10,"  ")</f>
        <v xml:space="preserve">  </v>
      </c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s="6" customFormat="1" x14ac:dyDescent="0.15">
      <c r="A28" s="75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s="6" customFormat="1" x14ac:dyDescent="0.15">
      <c r="A29" s="81" t="s">
        <v>46</v>
      </c>
      <c r="B29" s="73"/>
      <c r="C29" s="73"/>
      <c r="D29" s="180">
        <f>IF(ISBLANK(HistoricalData!$D$10)=TRUE,HistoricalData!D56,HistoricalData!D118)</f>
        <v>0</v>
      </c>
      <c r="E29" s="107" t="str">
        <f>IFERROR(D29/$D$10,"  ")</f>
        <v xml:space="preserve">  </v>
      </c>
      <c r="F29" s="73">
        <f>Assumptions!D165</f>
        <v>0</v>
      </c>
      <c r="G29" s="107" t="str">
        <f>IFERROR(F29/$F$10,"  ")</f>
        <v xml:space="preserve">  </v>
      </c>
      <c r="H29" s="73">
        <f>Assumptions!E165</f>
        <v>819.03030000000001</v>
      </c>
      <c r="I29" s="107">
        <f>IFERROR(H29/$H$10,"  ")</f>
        <v>6.8081753268883882E-2</v>
      </c>
      <c r="J29" s="73">
        <f>Assumptions!F165</f>
        <v>819.03030000000001</v>
      </c>
      <c r="K29" s="107">
        <f>IFERROR(J29/$J$10,"  ")</f>
        <v>6.8081753268883882E-2</v>
      </c>
      <c r="L29" s="73">
        <f>Assumptions!G165</f>
        <v>819.03030000000001</v>
      </c>
      <c r="M29" s="107">
        <f>IFERROR(L29/$L$10,"  ")</f>
        <v>6.8081753268883882E-2</v>
      </c>
      <c r="N29" s="73">
        <f>Assumptions!H165</f>
        <v>819.03030000000001</v>
      </c>
      <c r="O29" s="107">
        <f>IFERROR(N29/$N$10,"  ")</f>
        <v>6.8081753268883882E-2</v>
      </c>
      <c r="P29" s="73">
        <f>Assumptions!I165</f>
        <v>819.03030000000001</v>
      </c>
      <c r="Q29" s="107">
        <f>IFERROR(P29/$P$10,"  ")</f>
        <v>6.8081753268883882E-2</v>
      </c>
      <c r="R29" s="73">
        <f>Assumptions!J165</f>
        <v>819.03030000000001</v>
      </c>
      <c r="S29" s="107">
        <f>IFERROR(R29/$R$10,"  ")</f>
        <v>6.8081753268883882E-2</v>
      </c>
      <c r="T29" s="73">
        <f>Assumptions!K165</f>
        <v>819.03030000000001</v>
      </c>
      <c r="U29" s="107">
        <f>IFERROR(T29/$T$10,"  ")</f>
        <v>6.8081753268883882E-2</v>
      </c>
      <c r="V29" s="73">
        <f>Assumptions!L165</f>
        <v>819.03030000000001</v>
      </c>
      <c r="W29" s="107">
        <f>IFERROR(V29/$V$10,"  ")</f>
        <v>6.8081753268883882E-2</v>
      </c>
      <c r="X29" s="73">
        <f>Assumptions!M165</f>
        <v>819.03030000000001</v>
      </c>
      <c r="Y29" s="107">
        <f>IFERROR(X29/$X$10,"  ")</f>
        <v>6.8081753268883882E-2</v>
      </c>
      <c r="Z29" s="73">
        <f>Assumptions!N165</f>
        <v>819.03030000000001</v>
      </c>
      <c r="AA29" s="107" t="str">
        <f>IFERROR(Z29/$Z$10,"  ")</f>
        <v xml:space="preserve">  </v>
      </c>
      <c r="AB29" s="73">
        <f>Assumptions!O165</f>
        <v>0</v>
      </c>
      <c r="AC29" s="107" t="str">
        <f>IFERROR(AB29/$AB$10,"  ")</f>
        <v xml:space="preserve">  </v>
      </c>
      <c r="AD29" s="73">
        <f>Assumptions!P165</f>
        <v>0</v>
      </c>
      <c r="AE29" s="107" t="str">
        <f>IFERROR(AD29/$AD$10,"  ")</f>
        <v xml:space="preserve">  </v>
      </c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s="6" customFormat="1" x14ac:dyDescent="0.1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s="6" customFormat="1" x14ac:dyDescent="0.15">
      <c r="A31" s="76" t="s">
        <v>47</v>
      </c>
      <c r="B31" s="73"/>
      <c r="C31" s="73"/>
      <c r="D31" s="73">
        <f>D27-D29</f>
        <v>0</v>
      </c>
      <c r="E31" s="107" t="str">
        <f>IFERROR(D31/$D$10,"  ")</f>
        <v xml:space="preserve">  </v>
      </c>
      <c r="F31" s="73">
        <f>F27-F29</f>
        <v>0</v>
      </c>
      <c r="G31" s="107" t="str">
        <f>IFERROR(F31/$F$10,"  ")</f>
        <v xml:space="preserve">  </v>
      </c>
      <c r="H31" s="73">
        <f t="shared" ref="H31:V31" si="3">H27-H29</f>
        <v>3134.0007270000001</v>
      </c>
      <c r="I31" s="107">
        <f>IFERROR(H31/$H$10,"  ")</f>
        <v>0.26051327312324918</v>
      </c>
      <c r="J31" s="73">
        <f t="shared" si="3"/>
        <v>3134.0007270000001</v>
      </c>
      <c r="K31" s="107">
        <f>IFERROR(J31/$J$10,"  ")</f>
        <v>0.26051327312324918</v>
      </c>
      <c r="L31" s="73">
        <f t="shared" si="3"/>
        <v>3134.0007270000001</v>
      </c>
      <c r="M31" s="107">
        <f>IFERROR(L31/$L$10,"  ")</f>
        <v>0.26051327312324918</v>
      </c>
      <c r="N31" s="73">
        <f t="shared" si="3"/>
        <v>3134.0007270000001</v>
      </c>
      <c r="O31" s="107">
        <f>IFERROR(N31/$N$10,"  ")</f>
        <v>0.26051327312324918</v>
      </c>
      <c r="P31" s="73">
        <f t="shared" si="3"/>
        <v>3134.0007270000001</v>
      </c>
      <c r="Q31" s="107">
        <f>IFERROR(P31/$P$10,"  ")</f>
        <v>0.26051327312324918</v>
      </c>
      <c r="R31" s="73">
        <f t="shared" si="3"/>
        <v>3134.0007270000001</v>
      </c>
      <c r="S31" s="107">
        <f>IFERROR(R31/$R$10,"  ")</f>
        <v>0.26051327312324918</v>
      </c>
      <c r="T31" s="73">
        <f t="shared" si="3"/>
        <v>3134.0007270000001</v>
      </c>
      <c r="U31" s="107">
        <f>IFERROR(T31/$T$10,"  ")</f>
        <v>0.26051327312324918</v>
      </c>
      <c r="V31" s="73">
        <f t="shared" si="3"/>
        <v>3134.0007270000001</v>
      </c>
      <c r="W31" s="107">
        <f>IFERROR(V31/$V$10,"  ")</f>
        <v>0.26051327312324918</v>
      </c>
      <c r="X31" s="73">
        <f>X27-X29</f>
        <v>3134.0007270000001</v>
      </c>
      <c r="Y31" s="107">
        <f>IFERROR(X31/$X$10,"  ")</f>
        <v>0.26051327312324918</v>
      </c>
      <c r="Z31" s="73">
        <f>Z27-Z29</f>
        <v>-819.03030000000001</v>
      </c>
      <c r="AA31" s="107" t="str">
        <f>IFERROR(Z31/$Z$10,"  ")</f>
        <v xml:space="preserve">  </v>
      </c>
      <c r="AB31" s="73">
        <f>AB27-AB29</f>
        <v>0</v>
      </c>
      <c r="AC31" s="107" t="str">
        <f>IFERROR(AB31/$AB$10,"  ")</f>
        <v xml:space="preserve">  </v>
      </c>
      <c r="AD31" s="73">
        <f>AD27-AD29</f>
        <v>0</v>
      </c>
      <c r="AE31" s="107" t="str">
        <f>IFERROR(AD31/$AD$10,"  ")</f>
        <v xml:space="preserve">  </v>
      </c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s="6" customFormat="1" x14ac:dyDescent="0.1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6" customFormat="1" x14ac:dyDescent="0.15">
      <c r="A33" s="81" t="s">
        <v>226</v>
      </c>
      <c r="B33" s="73"/>
      <c r="C33" s="73"/>
      <c r="D33" s="232">
        <f>IF(ISBLANK(HistoricalData!$D$10)=TRUE,HistoricalData!D57,HistoricalData!D119)</f>
        <v>0</v>
      </c>
      <c r="E33" s="107" t="str">
        <f>IFERROR(ABS(D33/$D$10),"  ")</f>
        <v xml:space="preserve">  </v>
      </c>
      <c r="F33" s="233">
        <f>-(Assumptions!D93+Assumptions!D94+Assumptions!D105+Assumptions!D106+Assumptions!D117+Assumptions!D118+Assumptions!D129)</f>
        <v>0</v>
      </c>
      <c r="G33" s="107" t="str">
        <f>IFERROR(ABS(F33/$F$10),"  ")</f>
        <v xml:space="preserve">  </v>
      </c>
      <c r="H33" s="233">
        <f>-(Assumptions!E93+Assumptions!E94+Assumptions!E105+Assumptions!E106+Assumptions!E117+Assumptions!E118+Assumptions!E129)</f>
        <v>-379.82747368421053</v>
      </c>
      <c r="I33" s="107">
        <f>IFERROR(ABS(H33/$H$10),"  ")</f>
        <v>3.1573093630494389E-2</v>
      </c>
      <c r="J33" s="233">
        <f>-(Assumptions!F93+Assumptions!F94+Assumptions!F105+Assumptions!F106+Assumptions!F117+Assumptions!F118+Assumptions!F129)</f>
        <v>-337.62442105263153</v>
      </c>
      <c r="K33" s="107">
        <f>IFERROR(ABS(J33/$J$10),"  ")</f>
        <v>2.8064972115995006E-2</v>
      </c>
      <c r="L33" s="233">
        <f>-(Assumptions!G93+Assumptions!G94+Assumptions!G105+Assumptions!G106+Assumptions!G117+Assumptions!G118+Assumptions!G129)</f>
        <v>-295.42136842105253</v>
      </c>
      <c r="M33" s="107">
        <f>IFERROR(ABS(L33/$L$10),"  ")</f>
        <v>2.4556850601495626E-2</v>
      </c>
      <c r="N33" s="233">
        <f>-(Assumptions!H93+Assumptions!H94+Assumptions!H105+Assumptions!H106+Assumptions!H117+Assumptions!H118+Assumptions!H129)</f>
        <v>-253.21831578947359</v>
      </c>
      <c r="O33" s="107">
        <f>IFERROR(ABS(N33/$N$10),"  ")</f>
        <v>2.1048729086996249E-2</v>
      </c>
      <c r="P33" s="233">
        <f>-(Assumptions!I93+Assumptions!I94+Assumptions!I105+Assumptions!I106+Assumptions!I117+Assumptions!I118+Assumptions!I129)</f>
        <v>-211.01526315789462</v>
      </c>
      <c r="Q33" s="107">
        <f>IFERROR(ABS(P33/$P$10),"  ")</f>
        <v>1.7540607572496873E-2</v>
      </c>
      <c r="R33" s="233">
        <f>-(Assumptions!J93+Assumptions!J94+Assumptions!J105+Assumptions!J106+Assumptions!J117+Assumptions!J118+Assumptions!J129)</f>
        <v>-168.81221052631568</v>
      </c>
      <c r="S33" s="107">
        <f>IFERROR(ABS(R33/$R$10),"  ")</f>
        <v>1.4032486057997496E-2</v>
      </c>
      <c r="T33" s="233">
        <f>-(Assumptions!K93+Assumptions!K94+Assumptions!K105+Assumptions!K106+Assumptions!K117+Assumptions!K118+Assumptions!K129)</f>
        <v>-126.60915789473673</v>
      </c>
      <c r="U33" s="107">
        <f>IFERROR(ABS(T33/$T$10),"  ")</f>
        <v>1.0524364543498119E-2</v>
      </c>
      <c r="V33" s="233">
        <f>-(Assumptions!L93+Assumptions!L94+Assumptions!L105+Assumptions!L106+Assumptions!L117+Assumptions!L118+Assumptions!L129)</f>
        <v>-84.406105263157784</v>
      </c>
      <c r="W33" s="107">
        <f>IFERROR(ABS(V33/$V$10),"  ")</f>
        <v>7.0162430289987436E-3</v>
      </c>
      <c r="X33" s="233">
        <f>-(Assumptions!M93+Assumptions!M94+Assumptions!M105+Assumptions!M106+Assumptions!M117+Assumptions!M118+Assumptions!M129)</f>
        <v>-42.203052631578835</v>
      </c>
      <c r="Y33" s="107">
        <f>IFERROR(ABS(X33/$X$10),"  ")</f>
        <v>3.5081215144993671E-3</v>
      </c>
      <c r="Z33" s="233">
        <f>-(Assumptions!N93+Assumptions!N94+Assumptions!N105+Assumptions!N106+Assumptions!N117+Assumptions!N118+Assumptions!N129)</f>
        <v>-10.550763157894627</v>
      </c>
      <c r="AA33" s="107" t="str">
        <f>IFERROR(ABS(Z33/$Z$10),"  ")</f>
        <v xml:space="preserve">  </v>
      </c>
      <c r="AB33" s="233">
        <f>-(Assumptions!O93+Assumptions!O94+Assumptions!O105+Assumptions!O106+Assumptions!O117+Assumptions!O118+Assumptions!O129)</f>
        <v>1.0948042472591623E-13</v>
      </c>
      <c r="AC33" s="107" t="str">
        <f>IFERROR(ABS(AB33/$AB$10),"  ")</f>
        <v xml:space="preserve">  </v>
      </c>
      <c r="AD33" s="233">
        <f>-(Assumptions!P93+Assumptions!P94+Assumptions!P105+Assumptions!P106+Assumptions!P117+Assumptions!P118+Assumptions!P129)</f>
        <v>1.0948042472591623E-13</v>
      </c>
      <c r="AE33" s="107" t="str">
        <f>IFERROR(ABS(AD33/$AD$10),"  ")</f>
        <v xml:space="preserve">  </v>
      </c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6" customFormat="1" x14ac:dyDescent="0.15">
      <c r="A34" s="82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s="6" customFormat="1" x14ac:dyDescent="0.15">
      <c r="A35" s="75" t="s">
        <v>11</v>
      </c>
      <c r="B35" s="73"/>
      <c r="C35" s="73"/>
      <c r="D35" s="180">
        <f>IF(ISBLANK(HistoricalData!$D$10)=TRUE,HistoricalData!D58,HistoricalData!D120)</f>
        <v>0</v>
      </c>
      <c r="E35" s="107" t="str">
        <f>IFERROR(D35/$D$10,"  ")</f>
        <v xml:space="preserve">  </v>
      </c>
      <c r="F35" s="73">
        <f>IF((F31+F33)&lt;=0,0,(F31+F33)*Assumptions!D148)</f>
        <v>0</v>
      </c>
      <c r="G35" s="107" t="str">
        <f>IFERROR(F35/$F$10,"  ")</f>
        <v xml:space="preserve">  </v>
      </c>
      <c r="H35" s="73">
        <f>IF((H31+H33)&lt;=0,0,(H31+H33)*Assumptions!E148)</f>
        <v>0</v>
      </c>
      <c r="I35" s="107">
        <f>IFERROR(H35/$H$10,"  ")</f>
        <v>0</v>
      </c>
      <c r="J35" s="73">
        <f>IF((J31+J33)&lt;=0,0,(J31+J33)*Assumptions!F148)</f>
        <v>0</v>
      </c>
      <c r="K35" s="107">
        <f>IFERROR(J35/$J$10,"  ")</f>
        <v>0</v>
      </c>
      <c r="L35" s="73">
        <f>IF((L31+L33)&lt;=0,0,(L31+L33)*Assumptions!G148)</f>
        <v>0</v>
      </c>
      <c r="M35" s="107">
        <f>IFERROR(L35/$L$10,"  ")</f>
        <v>0</v>
      </c>
      <c r="N35" s="73">
        <f>IF((N31+N33)&lt;=0,0,(N31+N33)*Assumptions!H148)</f>
        <v>0</v>
      </c>
      <c r="O35" s="107">
        <f>IFERROR(N35/$N$10,"  ")</f>
        <v>0</v>
      </c>
      <c r="P35" s="73">
        <f>IF((P31+P33)&lt;=0,0,(P31+P33)*Assumptions!I148)</f>
        <v>0</v>
      </c>
      <c r="Q35" s="107">
        <f>IFERROR(P35/$P$10,"  ")</f>
        <v>0</v>
      </c>
      <c r="R35" s="73">
        <f>IF((R31+R33)&lt;=0,0,(R31+R33)*Assumptions!J148)</f>
        <v>0</v>
      </c>
      <c r="S35" s="107">
        <f>IFERROR(R35/$R$10,"  ")</f>
        <v>0</v>
      </c>
      <c r="T35" s="73">
        <f>IF((T31+T33)&lt;=0,0,(T31+T33)*Assumptions!K148)</f>
        <v>0</v>
      </c>
      <c r="U35" s="107">
        <f>IFERROR(T35/$T$10,"  ")</f>
        <v>0</v>
      </c>
      <c r="V35" s="73">
        <f>IF((V31+V33)&lt;=0,0,(V31+V33)*Assumptions!L148)</f>
        <v>0</v>
      </c>
      <c r="W35" s="107">
        <f>IFERROR(V35/$V$10,"  ")</f>
        <v>0</v>
      </c>
      <c r="X35" s="73">
        <f>IF((X31+X33)&lt;=0,0,(X31+X33)*Assumptions!M148)</f>
        <v>0</v>
      </c>
      <c r="Y35" s="107">
        <f>IFERROR(X35/$X$10,"  ")</f>
        <v>0</v>
      </c>
      <c r="Z35" s="73">
        <f>IF((Z31+Z33)&lt;=0,0,(Z31+Z33)*Assumptions!N148)</f>
        <v>0</v>
      </c>
      <c r="AA35" s="107" t="str">
        <f>IFERROR(Z35/$Z$10,"  ")</f>
        <v xml:space="preserve">  </v>
      </c>
      <c r="AB35" s="73">
        <f>IF((AB31+AB33)&lt;=0,0,(AB31+AB33)*Assumptions!O148)</f>
        <v>0</v>
      </c>
      <c r="AC35" s="107" t="str">
        <f>IFERROR(AB35/$AB$10,"  ")</f>
        <v xml:space="preserve">  </v>
      </c>
      <c r="AD35" s="73">
        <f>IF((AD31+AD33)&lt;=0,0,(AD31+AD33)*Assumptions!P148)</f>
        <v>0</v>
      </c>
      <c r="AE35" s="107" t="str">
        <f>IFERROR(AD35/$AD$10,"  ")</f>
        <v xml:space="preserve">  </v>
      </c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s="185" customFormat="1" hidden="1" x14ac:dyDescent="0.15">
      <c r="A36" s="182"/>
      <c r="B36" s="102"/>
      <c r="C36" s="102"/>
      <c r="D36" s="183"/>
      <c r="E36" s="184"/>
      <c r="F36" s="102"/>
      <c r="G36" s="184"/>
      <c r="H36" s="102"/>
      <c r="I36" s="184"/>
      <c r="J36" s="102"/>
      <c r="K36" s="184"/>
      <c r="L36" s="102"/>
      <c r="M36" s="184"/>
      <c r="N36" s="102"/>
      <c r="O36" s="184"/>
      <c r="P36" s="102"/>
      <c r="Q36" s="184"/>
      <c r="R36" s="102"/>
      <c r="S36" s="184"/>
      <c r="T36" s="102"/>
      <c r="U36" s="184"/>
      <c r="V36" s="102"/>
      <c r="W36" s="184"/>
      <c r="X36" s="102"/>
      <c r="Y36" s="184"/>
      <c r="Z36" s="102"/>
      <c r="AA36" s="184"/>
      <c r="AB36" s="102"/>
      <c r="AC36" s="184"/>
      <c r="AD36" s="102"/>
      <c r="AE36" s="184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</row>
    <row r="37" spans="1:43" s="185" customFormat="1" hidden="1" x14ac:dyDescent="0.15">
      <c r="A37" s="182" t="s">
        <v>277</v>
      </c>
      <c r="B37" s="102"/>
      <c r="C37" s="102"/>
      <c r="D37" s="180">
        <f>IF(ISBLANK(HistoricalData!$D$10)=TRUE,SUM(HistoricalData!D59:'HistoricalData'!D62),SUM(HistoricalData!D121:'HistoricalData'!D124))</f>
        <v>0</v>
      </c>
      <c r="E37" s="184"/>
      <c r="F37" s="102"/>
      <c r="G37" s="184"/>
      <c r="H37" s="102"/>
      <c r="I37" s="184"/>
      <c r="J37" s="102"/>
      <c r="K37" s="184"/>
      <c r="L37" s="102"/>
      <c r="M37" s="184"/>
      <c r="N37" s="102"/>
      <c r="O37" s="184"/>
      <c r="P37" s="102"/>
      <c r="Q37" s="184"/>
      <c r="R37" s="102"/>
      <c r="S37" s="184"/>
      <c r="T37" s="102"/>
      <c r="U37" s="184"/>
      <c r="V37" s="102"/>
      <c r="W37" s="184"/>
      <c r="X37" s="102"/>
      <c r="Y37" s="184"/>
      <c r="Z37" s="102"/>
      <c r="AA37" s="184"/>
      <c r="AB37" s="102"/>
      <c r="AC37" s="184"/>
      <c r="AD37" s="102"/>
      <c r="AE37" s="184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</row>
    <row r="38" spans="1:43" s="6" customFormat="1" x14ac:dyDescent="0.15">
      <c r="A38" s="104" t="s">
        <v>0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s="6" customFormat="1" x14ac:dyDescent="0.15">
      <c r="A39" s="75" t="s">
        <v>9</v>
      </c>
      <c r="B39" s="73"/>
      <c r="C39" s="73"/>
      <c r="D39" s="73">
        <f>D31+D33-D35+D37</f>
        <v>0</v>
      </c>
      <c r="E39" s="107" t="str">
        <f>IFERROR(D39/$D$10,"  ")</f>
        <v xml:space="preserve">  </v>
      </c>
      <c r="F39" s="73">
        <f>F31+F33-F35</f>
        <v>0</v>
      </c>
      <c r="G39" s="107" t="str">
        <f>IFERROR(F39/$F$10,"  ")</f>
        <v xml:space="preserve">  </v>
      </c>
      <c r="H39" s="73">
        <f>H31+H33-H35</f>
        <v>2754.1732533157897</v>
      </c>
      <c r="I39" s="107">
        <f>IFERROR(H39/$H$10,"  ")</f>
        <v>0.2289401794927548</v>
      </c>
      <c r="J39" s="73">
        <f>J31+J33-J35</f>
        <v>2796.3763059473686</v>
      </c>
      <c r="K39" s="107">
        <f>IFERROR(J39/$J$10,"  ")</f>
        <v>0.23244830100725417</v>
      </c>
      <c r="L39" s="73">
        <f>L31+L33-L35</f>
        <v>2838.5793585789474</v>
      </c>
      <c r="M39" s="107">
        <f>IFERROR(L39/$L$10,"  ")</f>
        <v>0.23595642252175356</v>
      </c>
      <c r="N39" s="73">
        <f>N31+N33-N35</f>
        <v>2880.7824112105263</v>
      </c>
      <c r="O39" s="107">
        <f>IFERROR(N39/$N$10,"  ")</f>
        <v>0.23946454403625292</v>
      </c>
      <c r="P39" s="73">
        <f>P31+P33-P35</f>
        <v>2922.9854638421057</v>
      </c>
      <c r="Q39" s="107">
        <f>IFERROR(P39/$P$10,"  ")</f>
        <v>0.24297266555075234</v>
      </c>
      <c r="R39" s="73">
        <f>R31+R33-R35</f>
        <v>2965.1885164736846</v>
      </c>
      <c r="S39" s="107">
        <f>IFERROR(R39/$R$10,"  ")</f>
        <v>0.2464807870652517</v>
      </c>
      <c r="T39" s="73">
        <f>T31+T33-T35</f>
        <v>3007.3915691052634</v>
      </c>
      <c r="U39" s="107">
        <f>IFERROR(T39/$T$10,"  ")</f>
        <v>0.24998890857975106</v>
      </c>
      <c r="V39" s="73">
        <f>V31+V33-V35</f>
        <v>3049.5946217368423</v>
      </c>
      <c r="W39" s="107">
        <f>IFERROR(V39/$V$10,"  ")</f>
        <v>0.25349703009425045</v>
      </c>
      <c r="X39" s="73">
        <f>X31+X33-X35</f>
        <v>3091.7976743684212</v>
      </c>
      <c r="Y39" s="107">
        <f>IFERROR(X39/$X$10,"  ")</f>
        <v>0.25700515160874982</v>
      </c>
      <c r="Z39" s="73">
        <v>0</v>
      </c>
      <c r="AA39" s="107" t="str">
        <f>IFERROR(Z39/$Z$10,"  ")</f>
        <v xml:space="preserve">  </v>
      </c>
      <c r="AB39" s="73">
        <f>AB31+AB33-AB35</f>
        <v>1.0948042472591623E-13</v>
      </c>
      <c r="AC39" s="107" t="str">
        <f>IFERROR(AB39/$AB$10,"  ")</f>
        <v xml:space="preserve">  </v>
      </c>
      <c r="AD39" s="73">
        <f>AD31+AD33-AD35</f>
        <v>1.0948042472591623E-13</v>
      </c>
      <c r="AE39" s="107" t="str">
        <f>IFERROR(AD39/$AD$10,"  ")</f>
        <v xml:space="preserve">  </v>
      </c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s="6" customFormat="1" x14ac:dyDescent="0.1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s="6" customFormat="1" x14ac:dyDescent="0.15">
      <c r="A41" s="75" t="s">
        <v>49</v>
      </c>
      <c r="B41" s="73"/>
      <c r="C41" s="73"/>
      <c r="D41" s="180">
        <f>IF(ISBLANK(HistoricalData!$D$10)=TRUE,HistoricalData!D64,HistoricalData!D126)</f>
        <v>0</v>
      </c>
      <c r="E41" s="73"/>
      <c r="F41" s="73">
        <f>Assumptions!D143</f>
        <v>0</v>
      </c>
      <c r="G41" s="106" t="s">
        <v>0</v>
      </c>
      <c r="H41" s="73">
        <f>Assumptions!E143</f>
        <v>0</v>
      </c>
      <c r="I41" s="73"/>
      <c r="J41" s="73">
        <f>Assumptions!F143</f>
        <v>0</v>
      </c>
      <c r="K41" s="73"/>
      <c r="L41" s="73">
        <f>Assumptions!G143</f>
        <v>0</v>
      </c>
      <c r="M41" s="73"/>
      <c r="N41" s="73">
        <f>Assumptions!H143</f>
        <v>0</v>
      </c>
      <c r="O41" s="73"/>
      <c r="P41" s="73">
        <f>Assumptions!I143</f>
        <v>0</v>
      </c>
      <c r="Q41" s="73"/>
      <c r="R41" s="73">
        <f>Assumptions!J143</f>
        <v>0</v>
      </c>
      <c r="S41" s="73"/>
      <c r="T41" s="73">
        <f>Assumptions!K143</f>
        <v>0</v>
      </c>
      <c r="U41" s="73"/>
      <c r="V41" s="73">
        <f>Assumptions!L143</f>
        <v>0</v>
      </c>
      <c r="W41" s="73"/>
      <c r="X41" s="73">
        <f>Assumptions!M143</f>
        <v>0</v>
      </c>
      <c r="Y41" s="73"/>
      <c r="Z41" s="73">
        <f>Assumptions!N143</f>
        <v>0</v>
      </c>
      <c r="AA41" s="73"/>
      <c r="AB41" s="73">
        <f>Assumptions!O143</f>
        <v>0</v>
      </c>
      <c r="AC41" s="73"/>
      <c r="AD41" s="73">
        <f>Assumptions!P143</f>
        <v>0</v>
      </c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s="6" customFormat="1" x14ac:dyDescent="0.15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s="6" customFormat="1" x14ac:dyDescent="0.15">
      <c r="A43" s="75" t="s">
        <v>50</v>
      </c>
      <c r="B43" s="73"/>
      <c r="C43" s="73"/>
      <c r="D43" s="73">
        <f t="shared" ref="D43:T43" si="4">D39-D41</f>
        <v>0</v>
      </c>
      <c r="E43" s="73"/>
      <c r="F43" s="73">
        <f t="shared" si="4"/>
        <v>0</v>
      </c>
      <c r="G43" s="73"/>
      <c r="H43" s="73">
        <f t="shared" si="4"/>
        <v>2754.1732533157897</v>
      </c>
      <c r="I43" s="73"/>
      <c r="J43" s="73">
        <f t="shared" si="4"/>
        <v>2796.3763059473686</v>
      </c>
      <c r="K43" s="73"/>
      <c r="L43" s="73">
        <f t="shared" si="4"/>
        <v>2838.5793585789474</v>
      </c>
      <c r="M43" s="73"/>
      <c r="N43" s="73">
        <f t="shared" si="4"/>
        <v>2880.7824112105263</v>
      </c>
      <c r="O43" s="73"/>
      <c r="P43" s="73">
        <f t="shared" si="4"/>
        <v>2922.9854638421057</v>
      </c>
      <c r="Q43" s="73"/>
      <c r="R43" s="73">
        <f t="shared" si="4"/>
        <v>2965.1885164736846</v>
      </c>
      <c r="S43" s="73"/>
      <c r="T43" s="73">
        <f t="shared" si="4"/>
        <v>3007.3915691052634</v>
      </c>
      <c r="U43" s="73"/>
      <c r="V43" s="73">
        <f>V39-V41</f>
        <v>3049.5946217368423</v>
      </c>
      <c r="W43" s="73"/>
      <c r="X43" s="73">
        <f>X39-X41</f>
        <v>3091.7976743684212</v>
      </c>
      <c r="Y43" s="73"/>
      <c r="Z43" s="73">
        <f>Z39-Z41</f>
        <v>0</v>
      </c>
      <c r="AA43" s="73"/>
      <c r="AB43" s="73">
        <f>AB39-AB41</f>
        <v>1.0948042472591623E-13</v>
      </c>
      <c r="AC43" s="73"/>
      <c r="AD43" s="73">
        <f>AD39-AD41</f>
        <v>1.0948042472591623E-13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</row>
  </sheetData>
  <mergeCells count="1">
    <mergeCell ref="L1:T1"/>
  </mergeCells>
  <phoneticPr fontId="0" type="noConversion"/>
  <printOptions horizontalCentered="1" gridLines="1" gridLinesSet="0"/>
  <pageMargins left="0.2" right="0.17" top="1" bottom="1" header="0.5" footer="0.5"/>
  <pageSetup scale="63" orientation="landscape" horizontalDpi="300" verticalDpi="300" r:id="rId1"/>
  <headerFooter alignWithMargins="0">
    <oddHeader>&amp;C&amp;"Times New Roman,Bold"&amp;16Income Statement</oddHeader>
    <oddFooter>&amp;L&amp;D &amp;T&amp;R&amp;F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D102"/>
  <sheetViews>
    <sheetView zoomScaleNormal="100" zoomScaleSheetLayoutView="75" workbookViewId="0">
      <pane ySplit="2" topLeftCell="A77" activePane="bottomLeft" state="frozen"/>
      <selection pane="bottomLeft" activeCell="A9" sqref="A9:XFD9"/>
    </sheetView>
  </sheetViews>
  <sheetFormatPr baseColWidth="10" defaultColWidth="8.83203125" defaultRowHeight="13" x14ac:dyDescent="0.15"/>
  <cols>
    <col min="1" max="1" width="39" customWidth="1"/>
    <col min="2" max="3" width="3.83203125" customWidth="1"/>
    <col min="4" max="4" width="12.33203125" hidden="1" customWidth="1"/>
    <col min="5" max="5" width="12.33203125" bestFit="1" customWidth="1"/>
  </cols>
  <sheetData>
    <row r="1" spans="1:30" ht="38.25" customHeight="1" thickBot="1" x14ac:dyDescent="0.25">
      <c r="H1" s="320" t="str">
        <f>Start!C6</f>
        <v>Serious Shea</v>
      </c>
      <c r="I1" s="320"/>
      <c r="J1" s="320"/>
      <c r="K1" s="320"/>
      <c r="L1" s="320"/>
    </row>
    <row r="2" spans="1:30" s="2" customFormat="1" ht="15" thickTop="1" thickBot="1" x14ac:dyDescent="0.2">
      <c r="A2" s="16" t="s">
        <v>1</v>
      </c>
      <c r="B2" s="17"/>
      <c r="C2" s="17"/>
      <c r="D2" s="187">
        <f>HistoricalData!D6</f>
        <v>2021</v>
      </c>
      <c r="E2" s="17">
        <f>Assumptions!D1</f>
        <v>2022</v>
      </c>
      <c r="F2" s="17">
        <f t="shared" ref="F2:L2" si="0">E2+1</f>
        <v>2023</v>
      </c>
      <c r="G2" s="17">
        <f t="shared" si="0"/>
        <v>2024</v>
      </c>
      <c r="H2" s="17">
        <f t="shared" si="0"/>
        <v>2025</v>
      </c>
      <c r="I2" s="17">
        <f t="shared" si="0"/>
        <v>2026</v>
      </c>
      <c r="J2" s="17">
        <f t="shared" si="0"/>
        <v>2027</v>
      </c>
      <c r="K2" s="17">
        <f t="shared" si="0"/>
        <v>2028</v>
      </c>
      <c r="L2" s="17">
        <f t="shared" si="0"/>
        <v>2029</v>
      </c>
      <c r="M2" s="17">
        <f>L2+1</f>
        <v>2030</v>
      </c>
      <c r="N2" s="17">
        <f>M2+1</f>
        <v>2031</v>
      </c>
      <c r="O2" s="17">
        <f>N2+1</f>
        <v>2032</v>
      </c>
      <c r="P2" s="17">
        <f>O2+1</f>
        <v>2033</v>
      </c>
      <c r="Q2" s="17">
        <f>P2+1</f>
        <v>2034</v>
      </c>
      <c r="R2"/>
      <c r="S2"/>
      <c r="T2"/>
      <c r="U2"/>
      <c r="V2"/>
      <c r="W2"/>
      <c r="X2"/>
      <c r="Y2"/>
      <c r="Z2"/>
      <c r="AA2"/>
      <c r="AB2"/>
      <c r="AC2"/>
      <c r="AD2"/>
    </row>
    <row r="3" spans="1:30" s="191" customFormat="1" x14ac:dyDescent="0.15">
      <c r="A3" s="189"/>
      <c r="B3" s="190"/>
      <c r="C3" s="190"/>
      <c r="D3" s="188" t="s">
        <v>219</v>
      </c>
      <c r="E3" s="190" t="s">
        <v>207</v>
      </c>
      <c r="F3" s="190" t="s">
        <v>207</v>
      </c>
      <c r="G3" s="190" t="s">
        <v>207</v>
      </c>
      <c r="H3" s="190" t="s">
        <v>207</v>
      </c>
      <c r="I3" s="190" t="s">
        <v>207</v>
      </c>
      <c r="J3" s="190" t="s">
        <v>207</v>
      </c>
      <c r="K3" s="190" t="s">
        <v>207</v>
      </c>
      <c r="L3" s="190" t="s">
        <v>207</v>
      </c>
      <c r="M3" s="190" t="s">
        <v>207</v>
      </c>
      <c r="N3" s="190" t="s">
        <v>207</v>
      </c>
      <c r="O3" s="190" t="s">
        <v>207</v>
      </c>
      <c r="P3" s="190" t="s">
        <v>207</v>
      </c>
      <c r="Q3" s="190" t="s">
        <v>207</v>
      </c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</row>
    <row r="4" spans="1:30" s="6" customFormat="1" ht="20" x14ac:dyDescent="0.2">
      <c r="A4" s="227" t="s">
        <v>227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6" customFormat="1" x14ac:dyDescent="0.15">
      <c r="A5" s="73" t="s">
        <v>88</v>
      </c>
      <c r="B5" s="73"/>
      <c r="C5" s="73"/>
      <c r="D5" s="232">
        <f>Income!D10</f>
        <v>0</v>
      </c>
      <c r="E5" s="233">
        <f>Income!F10</f>
        <v>0</v>
      </c>
      <c r="F5" s="233">
        <f>Income!H10</f>
        <v>12030.1</v>
      </c>
      <c r="G5" s="233">
        <f>Income!J10</f>
        <v>12030.1</v>
      </c>
      <c r="H5" s="233">
        <f>Income!L10</f>
        <v>12030.1</v>
      </c>
      <c r="I5" s="233">
        <f>Income!N10</f>
        <v>12030.1</v>
      </c>
      <c r="J5" s="233">
        <f>Income!P10</f>
        <v>12030.1</v>
      </c>
      <c r="K5" s="233">
        <f>Income!R10</f>
        <v>12030.1</v>
      </c>
      <c r="L5" s="233">
        <f>Income!T10</f>
        <v>12030.1</v>
      </c>
      <c r="M5" s="233">
        <f>Income!V10</f>
        <v>12030.1</v>
      </c>
      <c r="N5" s="233">
        <f>Income!X10</f>
        <v>12030.1</v>
      </c>
      <c r="O5" s="233">
        <f>Income!Z10</f>
        <v>0</v>
      </c>
      <c r="P5" s="233">
        <f>Income!AB10</f>
        <v>0</v>
      </c>
      <c r="Q5" s="233">
        <f>Income!AD10</f>
        <v>0</v>
      </c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6" customFormat="1" x14ac:dyDescent="0.15">
      <c r="A6" s="73" t="s">
        <v>51</v>
      </c>
      <c r="B6" s="73"/>
      <c r="C6" s="73"/>
      <c r="D6" s="232">
        <f>-IF(ISBLANK(HistoricalData!$D$10)=TRUE,SUM(HistoricalData!D15:D16)-SUM(HistoricalData!C15:C16),SUM(HistoricalData!D78:D79)-SUM(HistoricalData!C78:C79)-(SUM(HistoricalData!C15:C16)/HistoricalData!D10-SUM(HistoricalData!C15:C16)/HistoricalData!C10))</f>
        <v>0</v>
      </c>
      <c r="E6" s="234">
        <f>-(Balance!E9-Balance!D9)</f>
        <v>0</v>
      </c>
      <c r="F6" s="234">
        <f>-(Balance!F9-Balance!E9)</f>
        <v>0</v>
      </c>
      <c r="G6" s="234">
        <f>-(Balance!G9-Balance!F9)</f>
        <v>0</v>
      </c>
      <c r="H6" s="234">
        <f>-(Balance!H9-Balance!G9)</f>
        <v>0</v>
      </c>
      <c r="I6" s="234">
        <f>-(Balance!I9-Balance!H9)</f>
        <v>0</v>
      </c>
      <c r="J6" s="234">
        <f>-(Balance!J9-Balance!I9)</f>
        <v>0</v>
      </c>
      <c r="K6" s="234">
        <f>-(Balance!K9-Balance!J9)</f>
        <v>0</v>
      </c>
      <c r="L6" s="234">
        <f>-(Balance!L9-Balance!K9)</f>
        <v>0</v>
      </c>
      <c r="M6" s="234">
        <f>-(Balance!M9-Balance!L9)</f>
        <v>0</v>
      </c>
      <c r="N6" s="234">
        <f>-(Balance!N9-Balance!M9)</f>
        <v>0</v>
      </c>
      <c r="O6" s="234">
        <f>-(Balance!O9-Balance!N9)</f>
        <v>0</v>
      </c>
      <c r="P6" s="234">
        <f>-(Balance!P9-Balance!O9)</f>
        <v>0</v>
      </c>
      <c r="Q6" s="234">
        <f>-(Balance!Q9-Balance!P9)</f>
        <v>0</v>
      </c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6" customFormat="1" x14ac:dyDescent="0.15">
      <c r="A7" s="82" t="s">
        <v>52</v>
      </c>
      <c r="B7" s="73"/>
      <c r="C7" s="73"/>
      <c r="D7" s="233">
        <f t="shared" ref="D7:M7" si="1">D5+D6</f>
        <v>0</v>
      </c>
      <c r="E7" s="233">
        <f t="shared" si="1"/>
        <v>0</v>
      </c>
      <c r="F7" s="233">
        <f t="shared" si="1"/>
        <v>12030.1</v>
      </c>
      <c r="G7" s="233">
        <f t="shared" si="1"/>
        <v>12030.1</v>
      </c>
      <c r="H7" s="233">
        <f t="shared" si="1"/>
        <v>12030.1</v>
      </c>
      <c r="I7" s="233">
        <f t="shared" si="1"/>
        <v>12030.1</v>
      </c>
      <c r="J7" s="233">
        <f t="shared" si="1"/>
        <v>12030.1</v>
      </c>
      <c r="K7" s="233">
        <f t="shared" si="1"/>
        <v>12030.1</v>
      </c>
      <c r="L7" s="233">
        <f t="shared" si="1"/>
        <v>12030.1</v>
      </c>
      <c r="M7" s="233">
        <f t="shared" si="1"/>
        <v>12030.1</v>
      </c>
      <c r="N7" s="233">
        <f>N5+N6</f>
        <v>12030.1</v>
      </c>
      <c r="O7" s="233">
        <f>O5+O6</f>
        <v>0</v>
      </c>
      <c r="P7" s="233">
        <f>P5+P6</f>
        <v>0</v>
      </c>
      <c r="Q7" s="233">
        <f>Q5+Q6</f>
        <v>0</v>
      </c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6" customFormat="1" x14ac:dyDescent="0.15">
      <c r="A8" s="73"/>
      <c r="B8" s="73"/>
      <c r="C8" s="7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6" customFormat="1" x14ac:dyDescent="0.15">
      <c r="A9" s="73" t="s">
        <v>53</v>
      </c>
      <c r="B9" s="73"/>
      <c r="C9" s="73"/>
      <c r="D9" s="233">
        <f>Income!D12</f>
        <v>0</v>
      </c>
      <c r="E9" s="233">
        <f>Income!F12</f>
        <v>0</v>
      </c>
      <c r="F9" s="233">
        <f>Income!H12</f>
        <v>6264.4339730000002</v>
      </c>
      <c r="G9" s="233">
        <f>Income!J12</f>
        <v>6264.4339730000002</v>
      </c>
      <c r="H9" s="233">
        <f>Income!L12</f>
        <v>6264.4339730000002</v>
      </c>
      <c r="I9" s="233">
        <f>Income!N12</f>
        <v>6264.4339730000002</v>
      </c>
      <c r="J9" s="233">
        <f>Income!P12</f>
        <v>6264.4339730000002</v>
      </c>
      <c r="K9" s="233">
        <f>Income!R12</f>
        <v>6264.4339730000002</v>
      </c>
      <c r="L9" s="233">
        <f>Income!T12</f>
        <v>6264.4339730000002</v>
      </c>
      <c r="M9" s="233">
        <f>Income!V12</f>
        <v>6264.4339730000002</v>
      </c>
      <c r="N9" s="233">
        <f>Income!X12</f>
        <v>6264.4339730000002</v>
      </c>
      <c r="O9" s="233">
        <f>Income!Z12</f>
        <v>0</v>
      </c>
      <c r="P9" s="233">
        <f>Income!AB12</f>
        <v>0</v>
      </c>
      <c r="Q9" s="233">
        <f>Income!AD12</f>
        <v>0</v>
      </c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6" customFormat="1" x14ac:dyDescent="0.15">
      <c r="A10" s="73" t="s">
        <v>54</v>
      </c>
      <c r="B10" s="73"/>
      <c r="C10" s="73"/>
      <c r="D10" s="232">
        <f>IF(ISBLANK(HistoricalData!$D$10)=TRUE,HistoricalData!D17-HistoricalData!C17,HistoricalData!D80-HistoricalData!C80-(HistoricalData!C17/HistoricalData!D10-HistoricalData!C17/HistoricalData!C10))</f>
        <v>0</v>
      </c>
      <c r="E10" s="233">
        <f>Balance!E10-Balance!D10</f>
        <v>0</v>
      </c>
      <c r="F10" s="233">
        <f>Balance!F10-Balance!E10</f>
        <v>0</v>
      </c>
      <c r="G10" s="233">
        <f>Balance!G10-Balance!F10</f>
        <v>0</v>
      </c>
      <c r="H10" s="233">
        <f>Balance!H10-Balance!G10</f>
        <v>0</v>
      </c>
      <c r="I10" s="233">
        <f>Balance!I10-Balance!H10</f>
        <v>0</v>
      </c>
      <c r="J10" s="233">
        <f>Balance!J10-Balance!I10</f>
        <v>0</v>
      </c>
      <c r="K10" s="233">
        <f>Balance!K10-Balance!J10</f>
        <v>0</v>
      </c>
      <c r="L10" s="233">
        <f>Balance!L10-Balance!K10</f>
        <v>0</v>
      </c>
      <c r="M10" s="233">
        <f>Balance!M10-Balance!L10</f>
        <v>0</v>
      </c>
      <c r="N10" s="233">
        <f>Balance!N10-Balance!M10</f>
        <v>0</v>
      </c>
      <c r="O10" s="233">
        <f>Balance!O10-Balance!N10</f>
        <v>0</v>
      </c>
      <c r="P10" s="233">
        <f>Balance!P10-Balance!O10</f>
        <v>0</v>
      </c>
      <c r="Q10" s="233">
        <f>Balance!Q10-Balance!P10</f>
        <v>0</v>
      </c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6" customFormat="1" x14ac:dyDescent="0.15">
      <c r="A11" s="104" t="s">
        <v>224</v>
      </c>
      <c r="B11" s="73"/>
      <c r="C11" s="73"/>
      <c r="D11" s="232">
        <f>-IF(ISBLANK(HistoricalData!$D$10)=TRUE,HistoricalData!D32-HistoricalData!C32,HistoricalData!D95-HistoricalData!C95-(HistoricalData!C32/HistoricalData!D10-HistoricalData!C32/HistoricalData!C10))</f>
        <v>0</v>
      </c>
      <c r="E11" s="233">
        <f>-(Balance!E36-Balance!D36)</f>
        <v>0</v>
      </c>
      <c r="F11" s="233">
        <f>-(Balance!F36-Balance!E36)</f>
        <v>0</v>
      </c>
      <c r="G11" s="233">
        <f>-(Balance!G36-Balance!F36)</f>
        <v>0</v>
      </c>
      <c r="H11" s="233">
        <f>-(Balance!H36-Balance!G36)</f>
        <v>0</v>
      </c>
      <c r="I11" s="233">
        <f>-(Balance!I36-Balance!H36)</f>
        <v>0</v>
      </c>
      <c r="J11" s="233">
        <f>-(Balance!J36-Balance!I36)</f>
        <v>0</v>
      </c>
      <c r="K11" s="233">
        <f>-(Balance!K36-Balance!J36)</f>
        <v>0</v>
      </c>
      <c r="L11" s="233">
        <f>-(Balance!L36-Balance!K36)</f>
        <v>0</v>
      </c>
      <c r="M11" s="233">
        <f>-(Balance!M36-Balance!L36)</f>
        <v>0</v>
      </c>
      <c r="N11" s="233">
        <f>-(Balance!N36-Balance!M36)</f>
        <v>0</v>
      </c>
      <c r="O11" s="233">
        <f>-(Balance!O36-Balance!N36)</f>
        <v>0</v>
      </c>
      <c r="P11" s="233">
        <f>-(Balance!P36-Balance!O36)</f>
        <v>0</v>
      </c>
      <c r="Q11" s="233">
        <f>-(Balance!Q36-Balance!P36)</f>
        <v>0</v>
      </c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6" customFormat="1" x14ac:dyDescent="0.15">
      <c r="A12" s="82" t="s">
        <v>55</v>
      </c>
      <c r="B12" s="73"/>
      <c r="C12" s="73"/>
      <c r="D12" s="233">
        <f t="shared" ref="D12:M12" si="2">SUM(D9:D11)</f>
        <v>0</v>
      </c>
      <c r="E12" s="233">
        <f t="shared" si="2"/>
        <v>0</v>
      </c>
      <c r="F12" s="233">
        <f t="shared" si="2"/>
        <v>6264.4339730000002</v>
      </c>
      <c r="G12" s="233">
        <f t="shared" si="2"/>
        <v>6264.4339730000002</v>
      </c>
      <c r="H12" s="233">
        <f t="shared" si="2"/>
        <v>6264.4339730000002</v>
      </c>
      <c r="I12" s="233">
        <f t="shared" si="2"/>
        <v>6264.4339730000002</v>
      </c>
      <c r="J12" s="233">
        <f t="shared" si="2"/>
        <v>6264.4339730000002</v>
      </c>
      <c r="K12" s="233">
        <f t="shared" si="2"/>
        <v>6264.4339730000002</v>
      </c>
      <c r="L12" s="233">
        <f t="shared" si="2"/>
        <v>6264.4339730000002</v>
      </c>
      <c r="M12" s="233">
        <f t="shared" si="2"/>
        <v>6264.4339730000002</v>
      </c>
      <c r="N12" s="233">
        <f>SUM(N9:N11)</f>
        <v>6264.4339730000002</v>
      </c>
      <c r="O12" s="233">
        <f>SUM(O9:O11)</f>
        <v>0</v>
      </c>
      <c r="P12" s="233">
        <f>SUM(P9:P11)</f>
        <v>0</v>
      </c>
      <c r="Q12" s="233">
        <f>SUM(Q9:Q11)</f>
        <v>0</v>
      </c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6" customFormat="1" x14ac:dyDescent="0.15">
      <c r="A13" s="73"/>
      <c r="B13" s="73"/>
      <c r="C13" s="7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6" customFormat="1" x14ac:dyDescent="0.15">
      <c r="A14" s="197" t="s">
        <v>56</v>
      </c>
      <c r="B14" s="73"/>
      <c r="C14" s="73"/>
      <c r="D14" s="233">
        <f t="shared" ref="D14:L14" si="3">D7-D12</f>
        <v>0</v>
      </c>
      <c r="E14" s="233">
        <f t="shared" si="3"/>
        <v>0</v>
      </c>
      <c r="F14" s="233">
        <f t="shared" si="3"/>
        <v>5765.6660270000002</v>
      </c>
      <c r="G14" s="233">
        <f t="shared" si="3"/>
        <v>5765.6660270000002</v>
      </c>
      <c r="H14" s="233">
        <f t="shared" si="3"/>
        <v>5765.6660270000002</v>
      </c>
      <c r="I14" s="233">
        <f t="shared" si="3"/>
        <v>5765.6660270000002</v>
      </c>
      <c r="J14" s="233">
        <f t="shared" si="3"/>
        <v>5765.6660270000002</v>
      </c>
      <c r="K14" s="233">
        <f t="shared" si="3"/>
        <v>5765.6660270000002</v>
      </c>
      <c r="L14" s="233">
        <f t="shared" si="3"/>
        <v>5765.6660270000002</v>
      </c>
      <c r="M14" s="233">
        <f>M7-M12</f>
        <v>5765.6660270000002</v>
      </c>
      <c r="N14" s="233">
        <f>N7-N12</f>
        <v>5765.6660270000002</v>
      </c>
      <c r="O14" s="233">
        <f>O7-O12</f>
        <v>0</v>
      </c>
      <c r="P14" s="233">
        <f>P7-P12</f>
        <v>0</v>
      </c>
      <c r="Q14" s="233">
        <f>Q7-Q12</f>
        <v>0</v>
      </c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6" customFormat="1" x14ac:dyDescent="0.15">
      <c r="A15" s="73"/>
      <c r="B15" s="73"/>
      <c r="C15" s="73"/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6" customFormat="1" x14ac:dyDescent="0.15">
      <c r="A16" s="82" t="s">
        <v>45</v>
      </c>
      <c r="B16" s="73"/>
      <c r="C16" s="73"/>
      <c r="D16" s="233">
        <f>Income!D25-IF(ISBLANK(HistoricalData!$D$10)=TRUE,HistoricalData!D55,HistoricalData!D117)</f>
        <v>0</v>
      </c>
      <c r="E16" s="233">
        <f>Income!F25</f>
        <v>0</v>
      </c>
      <c r="F16" s="233">
        <f>Income!H25</f>
        <v>1812.635</v>
      </c>
      <c r="G16" s="233">
        <f>Income!J25</f>
        <v>1812.635</v>
      </c>
      <c r="H16" s="233">
        <f>Income!L25</f>
        <v>1812.635</v>
      </c>
      <c r="I16" s="233">
        <f>Income!N25</f>
        <v>1812.635</v>
      </c>
      <c r="J16" s="233">
        <f>Income!P25</f>
        <v>1812.635</v>
      </c>
      <c r="K16" s="233">
        <f>Income!R25</f>
        <v>1812.635</v>
      </c>
      <c r="L16" s="233">
        <f>Income!T25</f>
        <v>1812.635</v>
      </c>
      <c r="M16" s="233">
        <f>Income!V25</f>
        <v>1812.635</v>
      </c>
      <c r="N16" s="233">
        <f>Income!X25</f>
        <v>1812.635</v>
      </c>
      <c r="O16" s="233">
        <f>Income!Z25</f>
        <v>0</v>
      </c>
      <c r="P16" s="233">
        <f>Income!AB25</f>
        <v>0</v>
      </c>
      <c r="Q16" s="233">
        <f>Income!AD25</f>
        <v>0</v>
      </c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6" customFormat="1" x14ac:dyDescent="0.15">
      <c r="A17" s="82"/>
      <c r="B17" s="73"/>
      <c r="C17" s="7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6" customFormat="1" x14ac:dyDescent="0.15">
      <c r="A18" s="82" t="s">
        <v>57</v>
      </c>
      <c r="B18" s="73"/>
      <c r="C18" s="73"/>
      <c r="D18" s="233">
        <f t="shared" ref="D18:L18" si="4">D14-D16</f>
        <v>0</v>
      </c>
      <c r="E18" s="233">
        <f t="shared" si="4"/>
        <v>0</v>
      </c>
      <c r="F18" s="233">
        <f t="shared" si="4"/>
        <v>3953.031027</v>
      </c>
      <c r="G18" s="233">
        <f t="shared" si="4"/>
        <v>3953.031027</v>
      </c>
      <c r="H18" s="233">
        <f t="shared" si="4"/>
        <v>3953.031027</v>
      </c>
      <c r="I18" s="233">
        <f t="shared" si="4"/>
        <v>3953.031027</v>
      </c>
      <c r="J18" s="233">
        <f t="shared" si="4"/>
        <v>3953.031027</v>
      </c>
      <c r="K18" s="233">
        <f t="shared" si="4"/>
        <v>3953.031027</v>
      </c>
      <c r="L18" s="233">
        <f t="shared" si="4"/>
        <v>3953.031027</v>
      </c>
      <c r="M18" s="233">
        <f>M14-M16</f>
        <v>3953.031027</v>
      </c>
      <c r="N18" s="233">
        <f>N14-N16</f>
        <v>3953.031027</v>
      </c>
      <c r="O18" s="233">
        <f>O14-O16</f>
        <v>0</v>
      </c>
      <c r="P18" s="233">
        <f>P14-P16</f>
        <v>0</v>
      </c>
      <c r="Q18" s="233">
        <f>Q14-Q16</f>
        <v>0</v>
      </c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6" customFormat="1" x14ac:dyDescent="0.15">
      <c r="A19" s="82"/>
      <c r="B19" s="73"/>
      <c r="C19" s="73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6" customFormat="1" x14ac:dyDescent="0.15">
      <c r="A20" s="82" t="s">
        <v>58</v>
      </c>
      <c r="B20" s="73"/>
      <c r="C20" s="73"/>
      <c r="D20" s="233">
        <f>Income!D35</f>
        <v>0</v>
      </c>
      <c r="E20" s="233">
        <f>Income!F35</f>
        <v>0</v>
      </c>
      <c r="F20" s="233">
        <f>Income!H35</f>
        <v>0</v>
      </c>
      <c r="G20" s="233">
        <f>Income!J35</f>
        <v>0</v>
      </c>
      <c r="H20" s="233">
        <f>Income!L35</f>
        <v>0</v>
      </c>
      <c r="I20" s="233">
        <f>Income!N35</f>
        <v>0</v>
      </c>
      <c r="J20" s="233">
        <f>Income!P35</f>
        <v>0</v>
      </c>
      <c r="K20" s="233">
        <f>Income!R35</f>
        <v>0</v>
      </c>
      <c r="L20" s="233">
        <f>Income!T35</f>
        <v>0</v>
      </c>
      <c r="M20" s="233">
        <f>Income!V35</f>
        <v>0</v>
      </c>
      <c r="N20" s="233">
        <f>Income!X35</f>
        <v>0</v>
      </c>
      <c r="O20" s="233">
        <f>Income!Z35</f>
        <v>0</v>
      </c>
      <c r="P20" s="233">
        <f>Income!AB35</f>
        <v>0</v>
      </c>
      <c r="Q20" s="233">
        <f>Income!AD35</f>
        <v>0</v>
      </c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6" customFormat="1" x14ac:dyDescent="0.15">
      <c r="A21" s="83"/>
      <c r="B21" s="73"/>
      <c r="C21" s="73"/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6" customFormat="1" ht="16" x14ac:dyDescent="0.2">
      <c r="A22" s="228" t="s">
        <v>59</v>
      </c>
      <c r="B22" s="198"/>
      <c r="C22" s="198"/>
      <c r="D22" s="235">
        <f t="shared" ref="D22:L22" si="5">D18-D20</f>
        <v>0</v>
      </c>
      <c r="E22" s="235">
        <f t="shared" si="5"/>
        <v>0</v>
      </c>
      <c r="F22" s="235">
        <f t="shared" si="5"/>
        <v>3953.031027</v>
      </c>
      <c r="G22" s="235">
        <f t="shared" si="5"/>
        <v>3953.031027</v>
      </c>
      <c r="H22" s="235">
        <f t="shared" si="5"/>
        <v>3953.031027</v>
      </c>
      <c r="I22" s="235">
        <f t="shared" si="5"/>
        <v>3953.031027</v>
      </c>
      <c r="J22" s="235">
        <f t="shared" si="5"/>
        <v>3953.031027</v>
      </c>
      <c r="K22" s="235">
        <f t="shared" si="5"/>
        <v>3953.031027</v>
      </c>
      <c r="L22" s="235">
        <f t="shared" si="5"/>
        <v>3953.031027</v>
      </c>
      <c r="M22" s="235">
        <f>M18-M20</f>
        <v>3953.031027</v>
      </c>
      <c r="N22" s="235">
        <f>N18-N20</f>
        <v>3953.031027</v>
      </c>
      <c r="O22" s="235">
        <f>O18-O20</f>
        <v>0</v>
      </c>
      <c r="P22" s="235">
        <f>P18-P20</f>
        <v>0</v>
      </c>
      <c r="Q22" s="235">
        <f>Q18-Q20</f>
        <v>0</v>
      </c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6" customFormat="1" x14ac:dyDescent="0.15">
      <c r="A23" s="83"/>
      <c r="B23" s="73"/>
      <c r="C23" s="73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6" customFormat="1" x14ac:dyDescent="0.15">
      <c r="A24" s="83" t="s">
        <v>3</v>
      </c>
      <c r="B24" s="73"/>
      <c r="C24" s="73"/>
      <c r="D24" s="232">
        <f>IF(ISBLANK(HistoricalData!$D$10)=TRUE,SUM(HistoricalData!D19:D26)-SUM(HistoricalData!C19:C26),SUM(HistoricalData!D82:D89)-SUM(HistoricalData!C82:C89)-(SUM(HistoricalData!C19:C26)/HistoricalData!D10-SUM(HistoricalData!C19:C26)/HistoricalData!C10))</f>
        <v>0</v>
      </c>
      <c r="E24" s="233">
        <f>Assumptions!D68</f>
        <v>9992.4750000000004</v>
      </c>
      <c r="F24" s="233">
        <f>Assumptions!E68</f>
        <v>0</v>
      </c>
      <c r="G24" s="233">
        <f>Assumptions!F68</f>
        <v>0</v>
      </c>
      <c r="H24" s="233">
        <f>Assumptions!G68</f>
        <v>0</v>
      </c>
      <c r="I24" s="233">
        <f>Assumptions!H68</f>
        <v>0</v>
      </c>
      <c r="J24" s="233">
        <f>Assumptions!I68</f>
        <v>0</v>
      </c>
      <c r="K24" s="233">
        <f>Assumptions!J68</f>
        <v>0</v>
      </c>
      <c r="L24" s="233">
        <f>Assumptions!K68</f>
        <v>0</v>
      </c>
      <c r="M24" s="233">
        <f>Assumptions!L68</f>
        <v>0</v>
      </c>
      <c r="N24" s="233">
        <f>Assumptions!M68</f>
        <v>0</v>
      </c>
      <c r="O24" s="233">
        <f>Assumptions!N68</f>
        <v>0</v>
      </c>
      <c r="P24" s="233">
        <f>Assumptions!O68</f>
        <v>0</v>
      </c>
      <c r="Q24" s="233">
        <f>Assumptions!P68</f>
        <v>0</v>
      </c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6" customFormat="1" hidden="1" x14ac:dyDescent="0.15">
      <c r="A25" s="196" t="s">
        <v>225</v>
      </c>
      <c r="B25" s="73"/>
      <c r="C25" s="73"/>
      <c r="D25" s="232">
        <f>IF(ISBLANK(HistoricalData!$D$10)=TRUE,HistoricalData!D59+HistoricalData!D61,HistoricalData!D121+HistoricalData!D123)</f>
        <v>0</v>
      </c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6" customFormat="1" x14ac:dyDescent="0.15">
      <c r="A26" s="83"/>
      <c r="B26" s="73"/>
      <c r="C26" s="73"/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6" customFormat="1" ht="16" x14ac:dyDescent="0.2">
      <c r="A27" s="228" t="s">
        <v>228</v>
      </c>
      <c r="B27" s="198"/>
      <c r="C27" s="198"/>
      <c r="D27" s="235">
        <f>D22-D24+D25</f>
        <v>0</v>
      </c>
      <c r="E27" s="235">
        <f t="shared" ref="E27:Q27" si="6">E22-E24+E25</f>
        <v>-9992.4750000000004</v>
      </c>
      <c r="F27" s="235">
        <f t="shared" si="6"/>
        <v>3953.031027</v>
      </c>
      <c r="G27" s="235">
        <f t="shared" si="6"/>
        <v>3953.031027</v>
      </c>
      <c r="H27" s="235">
        <f t="shared" si="6"/>
        <v>3953.031027</v>
      </c>
      <c r="I27" s="235">
        <f t="shared" si="6"/>
        <v>3953.031027</v>
      </c>
      <c r="J27" s="235">
        <f t="shared" si="6"/>
        <v>3953.031027</v>
      </c>
      <c r="K27" s="235">
        <f t="shared" si="6"/>
        <v>3953.031027</v>
      </c>
      <c r="L27" s="235">
        <f t="shared" si="6"/>
        <v>3953.031027</v>
      </c>
      <c r="M27" s="235">
        <f t="shared" si="6"/>
        <v>3953.031027</v>
      </c>
      <c r="N27" s="235">
        <f t="shared" si="6"/>
        <v>3953.031027</v>
      </c>
      <c r="O27" s="235">
        <f t="shared" si="6"/>
        <v>0</v>
      </c>
      <c r="P27" s="235">
        <f t="shared" si="6"/>
        <v>0</v>
      </c>
      <c r="Q27" s="235">
        <f t="shared" si="6"/>
        <v>0</v>
      </c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6" customFormat="1" x14ac:dyDescent="0.15">
      <c r="A28" s="83"/>
      <c r="B28" s="73"/>
      <c r="C28" s="73"/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6" customFormat="1" x14ac:dyDescent="0.15">
      <c r="A29" s="196" t="s">
        <v>226</v>
      </c>
      <c r="B29" s="73"/>
      <c r="C29" s="73"/>
      <c r="D29" s="233">
        <f>Income!D33</f>
        <v>0</v>
      </c>
      <c r="E29" s="233">
        <f>Income!F33</f>
        <v>0</v>
      </c>
      <c r="F29" s="233">
        <f>Income!H33</f>
        <v>-379.82747368421053</v>
      </c>
      <c r="G29" s="233">
        <f>Income!J33</f>
        <v>-337.62442105263153</v>
      </c>
      <c r="H29" s="233">
        <f>Income!L33</f>
        <v>-295.42136842105253</v>
      </c>
      <c r="I29" s="233">
        <f>Income!N33</f>
        <v>-253.21831578947359</v>
      </c>
      <c r="J29" s="233">
        <f>Income!P33</f>
        <v>-211.01526315789462</v>
      </c>
      <c r="K29" s="233">
        <f>Income!R33</f>
        <v>-168.81221052631568</v>
      </c>
      <c r="L29" s="233">
        <f>Income!T33</f>
        <v>-126.60915789473673</v>
      </c>
      <c r="M29" s="233">
        <f>Income!V33</f>
        <v>-84.406105263157784</v>
      </c>
      <c r="N29" s="233">
        <f>Income!X33</f>
        <v>-42.203052631578835</v>
      </c>
      <c r="O29" s="233">
        <f>Income!Z33</f>
        <v>-10.550763157894627</v>
      </c>
      <c r="P29" s="233">
        <f>Income!AB33</f>
        <v>1.0948042472591623E-13</v>
      </c>
      <c r="Q29" s="233">
        <f>Income!AD33</f>
        <v>1.0948042472591623E-13</v>
      </c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6" customFormat="1" x14ac:dyDescent="0.15">
      <c r="A30" s="83" t="s">
        <v>10</v>
      </c>
      <c r="B30" s="73"/>
      <c r="C30" s="73"/>
      <c r="D30" s="233">
        <f>Income!D41</f>
        <v>0</v>
      </c>
      <c r="E30" s="233">
        <f>Income!F41</f>
        <v>0</v>
      </c>
      <c r="F30" s="233">
        <f>Income!H41</f>
        <v>0</v>
      </c>
      <c r="G30" s="233">
        <f>Income!J41</f>
        <v>0</v>
      </c>
      <c r="H30" s="233">
        <f>Income!L41</f>
        <v>0</v>
      </c>
      <c r="I30" s="233">
        <f>Income!N41</f>
        <v>0</v>
      </c>
      <c r="J30" s="233">
        <f>Income!P41</f>
        <v>0</v>
      </c>
      <c r="K30" s="233">
        <f>Income!R41</f>
        <v>0</v>
      </c>
      <c r="L30" s="233">
        <f>Income!T41</f>
        <v>0</v>
      </c>
      <c r="M30" s="233">
        <f>Income!V41</f>
        <v>0</v>
      </c>
      <c r="N30" s="233">
        <f>Income!X41</f>
        <v>0</v>
      </c>
      <c r="O30" s="233">
        <f>Income!Z41</f>
        <v>0</v>
      </c>
      <c r="P30" s="233">
        <f>Income!AB41</f>
        <v>0</v>
      </c>
      <c r="Q30" s="233">
        <f>Income!AD41</f>
        <v>0</v>
      </c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6" customFormat="1" x14ac:dyDescent="0.15">
      <c r="A31" s="196" t="s">
        <v>230</v>
      </c>
      <c r="B31" s="73"/>
      <c r="C31" s="73"/>
      <c r="D31" s="232">
        <f>IF(ISBLANK(HistoricalData!$D$10)=TRUE,HistoricalData!D33-HistoricalData!C33,HistoricalData!D96-HistoricalData!C96-(HistoricalData!C33/HistoricalData!D10-HistoricalData!C33/HistoricalData!C10))</f>
        <v>0</v>
      </c>
      <c r="E31" s="233">
        <f>Balance!E37-Balance!D37</f>
        <v>0</v>
      </c>
      <c r="F31" s="233">
        <f>Balance!F37-Balance!E37</f>
        <v>0</v>
      </c>
      <c r="G31" s="233">
        <f>Balance!G37-Balance!F37</f>
        <v>0</v>
      </c>
      <c r="H31" s="233">
        <f>Balance!H37-Balance!G37</f>
        <v>0</v>
      </c>
      <c r="I31" s="233">
        <f>Balance!I37-Balance!H37</f>
        <v>0</v>
      </c>
      <c r="J31" s="233">
        <f>Balance!J37-Balance!I37</f>
        <v>0</v>
      </c>
      <c r="K31" s="233">
        <f>Balance!K37-Balance!J37</f>
        <v>0</v>
      </c>
      <c r="L31" s="233">
        <f>Balance!L37-Balance!K37</f>
        <v>0</v>
      </c>
      <c r="M31" s="233">
        <f>Balance!M37-Balance!L37</f>
        <v>0</v>
      </c>
      <c r="N31" s="233">
        <f>Balance!N37-Balance!M37</f>
        <v>0</v>
      </c>
      <c r="O31" s="233">
        <f>Balance!O37-Balance!N37</f>
        <v>0</v>
      </c>
      <c r="P31" s="233">
        <f>Balance!P37-Balance!O37</f>
        <v>0</v>
      </c>
      <c r="Q31" s="233">
        <f>Balance!Q37-Balance!P37</f>
        <v>0</v>
      </c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6" customFormat="1" x14ac:dyDescent="0.15">
      <c r="A32" s="196" t="s">
        <v>231</v>
      </c>
      <c r="B32" s="73"/>
      <c r="C32" s="73"/>
      <c r="D32" s="232">
        <f>IF(ISBLANK(HistoricalData!$D$10)=TRUE,(HistoricalData!D34+HistoricalData!D37)-(HistoricalData!C34+HistoricalData!C37),(HistoricalData!D97+HistoricalData!D100)-(HistoricalData!C97+HistoricalData!C100)-((HistoricalData!C34+HistoricalData!C37)/HistoricalData!D10-(HistoricalData!C34+HistoricalData!C37)/HistoricalData!C10))</f>
        <v>0</v>
      </c>
      <c r="E32" s="233">
        <f>Balance!E38+Balance!E42-Balance!D38-Balance!D42</f>
        <v>7494</v>
      </c>
      <c r="F32" s="233">
        <f>Balance!F38+Balance!F42-Balance!E38-Balance!E42</f>
        <v>-788.84210526315837</v>
      </c>
      <c r="G32" s="233">
        <f>Balance!G38+Balance!G42-Balance!F38-Balance!F42</f>
        <v>-788.84210526315837</v>
      </c>
      <c r="H32" s="233">
        <f>Balance!H38+Balance!H42-Balance!G38-Balance!G42</f>
        <v>-788.84210526315837</v>
      </c>
      <c r="I32" s="233">
        <f>Balance!I38+Balance!I42-Balance!H38-Balance!H42</f>
        <v>-788.84210526315792</v>
      </c>
      <c r="J32" s="233">
        <f>Balance!J38+Balance!J42-Balance!I38-Balance!I42</f>
        <v>-788.84210526315792</v>
      </c>
      <c r="K32" s="233">
        <f>Balance!K38+Balance!K42-Balance!J38-Balance!J42</f>
        <v>-788.84210526315792</v>
      </c>
      <c r="L32" s="233">
        <f>Balance!L38+Balance!L42-Balance!K38-Balance!K42</f>
        <v>-788.84210526315792</v>
      </c>
      <c r="M32" s="233">
        <f>Balance!M38+Balance!M42-Balance!L38-Balance!L42</f>
        <v>-788.84210526315792</v>
      </c>
      <c r="N32" s="233">
        <f>Balance!N38+Balance!N42-Balance!M38-Balance!M42</f>
        <v>-788.84210526315792</v>
      </c>
      <c r="O32" s="233">
        <f>Balance!O38+Balance!O42-Balance!N38-Balance!N42</f>
        <v>-394.42105263157896</v>
      </c>
      <c r="P32" s="233">
        <f>Balance!P38+Balance!P42-Balance!O38-Balance!O42</f>
        <v>0</v>
      </c>
      <c r="Q32" s="233">
        <f>Balance!Q38+Balance!Q42-Balance!P38-Balance!P42</f>
        <v>0</v>
      </c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6" customFormat="1" x14ac:dyDescent="0.15">
      <c r="A33" s="196" t="s">
        <v>232</v>
      </c>
      <c r="B33" s="73"/>
      <c r="C33" s="73"/>
      <c r="D33" s="232">
        <f>IF(ISBLANK(HistoricalData!$D$10)=TRUE,HistoricalData!D38-HistoricalData!C38,HistoricalData!D101-HistoricalData!C101-(HistoricalData!C38/HistoricalData!D10-HistoricalData!C38/HistoricalData!C10))</f>
        <v>0</v>
      </c>
      <c r="E33" s="233">
        <f>Balance!E43-Balance!D43</f>
        <v>0</v>
      </c>
      <c r="F33" s="233">
        <f>Balance!F43-Balance!E43</f>
        <v>0</v>
      </c>
      <c r="G33" s="233">
        <f>Balance!G43-Balance!F43</f>
        <v>0</v>
      </c>
      <c r="H33" s="233">
        <f>Balance!H43-Balance!G43</f>
        <v>0</v>
      </c>
      <c r="I33" s="233">
        <f>Balance!I43-Balance!H43</f>
        <v>0</v>
      </c>
      <c r="J33" s="233">
        <f>Balance!J43-Balance!I43</f>
        <v>0</v>
      </c>
      <c r="K33" s="233">
        <f>Balance!K43-Balance!J43</f>
        <v>0</v>
      </c>
      <c r="L33" s="233">
        <f>Balance!L43-Balance!K43</f>
        <v>0</v>
      </c>
      <c r="M33" s="233">
        <f>Balance!M43-Balance!L43</f>
        <v>0</v>
      </c>
      <c r="N33" s="233">
        <f>Balance!N43-Balance!M43</f>
        <v>0</v>
      </c>
      <c r="O33" s="233">
        <f>Balance!O43-Balance!N43</f>
        <v>0</v>
      </c>
      <c r="P33" s="233">
        <f>Balance!P43-Balance!O43</f>
        <v>0</v>
      </c>
      <c r="Q33" s="233">
        <f>Balance!Q43-Balance!P43</f>
        <v>0</v>
      </c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6" customFormat="1" hidden="1" x14ac:dyDescent="0.15">
      <c r="A34" s="196" t="s">
        <v>234</v>
      </c>
      <c r="B34" s="73"/>
      <c r="C34" s="73"/>
      <c r="D34" s="232">
        <f>IF(ISBLANK(HistoricalData!$D$10)=TRUE,HistoricalData!D39-HistoricalData!C39,HistoricalData!D102-HistoricalData!C102-(HistoricalData!C39/HistoricalData!D10-HistoricalData!C39/HistoricalData!C10))</f>
        <v>0</v>
      </c>
      <c r="E34" s="233">
        <f>Balance!E44-Balance!D44</f>
        <v>0</v>
      </c>
      <c r="F34" s="233">
        <f>Balance!F44-Balance!E44</f>
        <v>0</v>
      </c>
      <c r="G34" s="233">
        <f>Balance!G44-Balance!F44</f>
        <v>0</v>
      </c>
      <c r="H34" s="233">
        <f>Balance!H44-Balance!G44</f>
        <v>0</v>
      </c>
      <c r="I34" s="233">
        <f>Balance!I44-Balance!H44</f>
        <v>0</v>
      </c>
      <c r="J34" s="233">
        <f>Balance!J44-Balance!I44</f>
        <v>0</v>
      </c>
      <c r="K34" s="233">
        <f>Balance!K44-Balance!J44</f>
        <v>0</v>
      </c>
      <c r="L34" s="233">
        <f>Balance!L44-Balance!K44</f>
        <v>0</v>
      </c>
      <c r="M34" s="233">
        <f>Balance!M44-Balance!L44</f>
        <v>0</v>
      </c>
      <c r="N34" s="233">
        <f>Balance!N44-Balance!M44</f>
        <v>0</v>
      </c>
      <c r="O34" s="233">
        <f>Balance!O44-Balance!N44</f>
        <v>0</v>
      </c>
      <c r="P34" s="233">
        <f>Balance!P44-Balance!O44</f>
        <v>0</v>
      </c>
      <c r="Q34" s="233">
        <f>Balance!Q44-Balance!P44</f>
        <v>0</v>
      </c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6" customFormat="1" x14ac:dyDescent="0.15">
      <c r="A35" s="196" t="s">
        <v>233</v>
      </c>
      <c r="B35" s="73"/>
      <c r="C35" s="73"/>
      <c r="D35" s="232">
        <f>IF(ISBLANK(HistoricalData!$D$10)=TRUE,SUM(HistoricalData!D42:D43)-SUM(HistoricalData!C42:C43),SUM(HistoricalData!D105:D106)-SUM(HistoricalData!C105:C106)-(SUM(HistoricalData!C42:C43)/HistoricalData!D10-SUM(HistoricalData!C42:C43)/HistoricalData!C10))</f>
        <v>0</v>
      </c>
      <c r="E35" s="233">
        <f>Balance!E48-Balance!D48</f>
        <v>0</v>
      </c>
      <c r="F35" s="233">
        <f>Balance!F48-Balance!E48</f>
        <v>0</v>
      </c>
      <c r="G35" s="233">
        <f>Balance!G48-Balance!F48</f>
        <v>0</v>
      </c>
      <c r="H35" s="233">
        <f>Balance!H48-Balance!G48</f>
        <v>0</v>
      </c>
      <c r="I35" s="233">
        <f>Balance!I48-Balance!H48</f>
        <v>0</v>
      </c>
      <c r="J35" s="233">
        <f>Balance!J48-Balance!I48</f>
        <v>0</v>
      </c>
      <c r="K35" s="233">
        <f>Balance!K48-Balance!J48</f>
        <v>0</v>
      </c>
      <c r="L35" s="233">
        <f>Balance!L48-Balance!K48</f>
        <v>0</v>
      </c>
      <c r="M35" s="233">
        <f>Balance!M48-Balance!L48</f>
        <v>0</v>
      </c>
      <c r="N35" s="233">
        <f>Balance!N48-Balance!M48</f>
        <v>0</v>
      </c>
      <c r="O35" s="233">
        <f>Balance!O48-Balance!N48</f>
        <v>0</v>
      </c>
      <c r="P35" s="233">
        <f>Balance!P48-Balance!O48</f>
        <v>0</v>
      </c>
      <c r="Q35" s="233">
        <f>Balance!Q48-Balance!P48</f>
        <v>0</v>
      </c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6" customFormat="1" x14ac:dyDescent="0.15">
      <c r="A36" s="82"/>
      <c r="B36" s="73"/>
      <c r="C36" s="73"/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6" customFormat="1" ht="16" x14ac:dyDescent="0.2">
      <c r="A37" s="228" t="s">
        <v>239</v>
      </c>
      <c r="B37" s="198"/>
      <c r="C37" s="198"/>
      <c r="D37" s="235">
        <f>D27+D29-D30+SUM(D31:D35)</f>
        <v>0</v>
      </c>
      <c r="E37" s="235">
        <f>E27+E29-E30+SUM(E31:E35)</f>
        <v>-2498.4750000000004</v>
      </c>
      <c r="F37" s="235">
        <f t="shared" ref="F37:Q37" si="7">F27+F29-F30+SUM(F31:F35)</f>
        <v>2784.3614480526312</v>
      </c>
      <c r="G37" s="235">
        <f t="shared" si="7"/>
        <v>2826.5645006842101</v>
      </c>
      <c r="H37" s="235">
        <f t="shared" si="7"/>
        <v>2868.767553315789</v>
      </c>
      <c r="I37" s="235">
        <f t="shared" si="7"/>
        <v>2910.9706059473683</v>
      </c>
      <c r="J37" s="235">
        <f t="shared" si="7"/>
        <v>2953.1736585789477</v>
      </c>
      <c r="K37" s="235">
        <f t="shared" si="7"/>
        <v>2995.3767112105265</v>
      </c>
      <c r="L37" s="235">
        <f t="shared" si="7"/>
        <v>3037.5797638421054</v>
      </c>
      <c r="M37" s="235">
        <f t="shared" si="7"/>
        <v>3079.7828164736843</v>
      </c>
      <c r="N37" s="235">
        <f t="shared" si="7"/>
        <v>3121.9858691052632</v>
      </c>
      <c r="O37" s="235">
        <f t="shared" si="7"/>
        <v>-404.97181578947357</v>
      </c>
      <c r="P37" s="235">
        <f t="shared" si="7"/>
        <v>1.0948042472591623E-13</v>
      </c>
      <c r="Q37" s="235">
        <f t="shared" si="7"/>
        <v>1.0948042472591623E-13</v>
      </c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6" customFormat="1" x14ac:dyDescent="0.15">
      <c r="A38" s="82" t="s">
        <v>0</v>
      </c>
      <c r="B38" s="73"/>
      <c r="C38" s="7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6" customFormat="1" x14ac:dyDescent="0.15">
      <c r="A39" s="82" t="s">
        <v>61</v>
      </c>
      <c r="B39" s="73"/>
      <c r="C39" s="73"/>
      <c r="D39" s="232">
        <f>IF(ISBLANK(HistoricalData!$D$10)=TRUE,HistoricalData!C14,HistoricalData!C77+(HistoricalData!C14/HistoricalData!D10-HistoricalData!C14/HistoricalData!C10))</f>
        <v>0</v>
      </c>
      <c r="E39" s="233">
        <f>D42</f>
        <v>0</v>
      </c>
      <c r="F39" s="233">
        <f t="shared" ref="F39:M39" si="8">E42</f>
        <v>-2498.4750000000004</v>
      </c>
      <c r="G39" s="233">
        <f t="shared" si="8"/>
        <v>285.88644805263084</v>
      </c>
      <c r="H39" s="233">
        <f t="shared" si="8"/>
        <v>3112.4509487368409</v>
      </c>
      <c r="I39" s="233">
        <f t="shared" si="8"/>
        <v>5981.2185020526304</v>
      </c>
      <c r="J39" s="233">
        <f t="shared" si="8"/>
        <v>8892.1891079999987</v>
      </c>
      <c r="K39" s="233">
        <f t="shared" si="8"/>
        <v>11845.362766578946</v>
      </c>
      <c r="L39" s="233">
        <f t="shared" si="8"/>
        <v>14840.739477789473</v>
      </c>
      <c r="M39" s="233">
        <f t="shared" si="8"/>
        <v>17878.31924163158</v>
      </c>
      <c r="N39" s="233">
        <f>M42</f>
        <v>20958.102058105265</v>
      </c>
      <c r="O39" s="233">
        <f>N42</f>
        <v>24080.08792721053</v>
      </c>
      <c r="P39" s="233">
        <f>O42</f>
        <v>23675.116111421055</v>
      </c>
      <c r="Q39" s="233">
        <f>P42</f>
        <v>23675.116111421055</v>
      </c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6" customFormat="1" x14ac:dyDescent="0.15">
      <c r="A40" s="82" t="s">
        <v>60</v>
      </c>
      <c r="B40" s="73"/>
      <c r="C40" s="73"/>
      <c r="D40" s="233">
        <f>D37</f>
        <v>0</v>
      </c>
      <c r="E40" s="233">
        <f t="shared" ref="E40:L40" si="9">E37</f>
        <v>-2498.4750000000004</v>
      </c>
      <c r="F40" s="233">
        <f t="shared" si="9"/>
        <v>2784.3614480526312</v>
      </c>
      <c r="G40" s="233">
        <f t="shared" si="9"/>
        <v>2826.5645006842101</v>
      </c>
      <c r="H40" s="233">
        <f t="shared" si="9"/>
        <v>2868.767553315789</v>
      </c>
      <c r="I40" s="233">
        <f t="shared" si="9"/>
        <v>2910.9706059473683</v>
      </c>
      <c r="J40" s="233">
        <f t="shared" si="9"/>
        <v>2953.1736585789477</v>
      </c>
      <c r="K40" s="233">
        <f t="shared" si="9"/>
        <v>2995.3767112105265</v>
      </c>
      <c r="L40" s="233">
        <f t="shared" si="9"/>
        <v>3037.5797638421054</v>
      </c>
      <c r="M40" s="233">
        <f>M37</f>
        <v>3079.7828164736843</v>
      </c>
      <c r="N40" s="233">
        <f>N37</f>
        <v>3121.9858691052632</v>
      </c>
      <c r="O40" s="233">
        <f>O37</f>
        <v>-404.97181578947357</v>
      </c>
      <c r="P40" s="233">
        <f>P37</f>
        <v>1.0948042472591623E-13</v>
      </c>
      <c r="Q40" s="233">
        <f>Q37</f>
        <v>1.0948042472591623E-13</v>
      </c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6" customFormat="1" ht="14" x14ac:dyDescent="0.15">
      <c r="A41" s="84" t="s">
        <v>111</v>
      </c>
      <c r="B41" s="73"/>
      <c r="C41" s="73"/>
      <c r="D41" s="236"/>
      <c r="E41" s="233">
        <f>-((Assumptions!E96)/12)*Assumptions!D171</f>
        <v>0</v>
      </c>
      <c r="F41" s="233">
        <f>-((Assumptions!F96)/12)*Assumptions!E171-SUM($E$41:E41)</f>
        <v>0</v>
      </c>
      <c r="G41" s="233">
        <f>-((Assumptions!G96)/12)*Assumptions!F171-SUM($E$41:F41)</f>
        <v>0</v>
      </c>
      <c r="H41" s="233">
        <f>-((Assumptions!H96)/12)*Assumptions!G171-SUM($E$41:G41)</f>
        <v>0</v>
      </c>
      <c r="I41" s="233">
        <f>-((Assumptions!I96)/12)*Assumptions!H171-SUM($E$41:H41)</f>
        <v>0</v>
      </c>
      <c r="J41" s="233">
        <f>-((Assumptions!J96)/12)*Assumptions!I171-SUM($E$41:I41)</f>
        <v>0</v>
      </c>
      <c r="K41" s="233">
        <f>-((Assumptions!K96)/12)*Assumptions!J171-SUM($E$41:J41)</f>
        <v>0</v>
      </c>
      <c r="L41" s="233">
        <f>-((Assumptions!L96)/12)*Assumptions!K171-SUM($E$41:K41)</f>
        <v>0</v>
      </c>
      <c r="M41" s="233">
        <f>-((Assumptions!M96)/12)*Assumptions!L171-SUM($E$41:L41)</f>
        <v>0</v>
      </c>
      <c r="N41" s="233">
        <f>-((Assumptions!N96)/12)*Assumptions!M171-SUM($E$41:M41)</f>
        <v>0</v>
      </c>
      <c r="O41" s="233">
        <f>-((Assumptions!O96)/12)*Assumptions!N171-SUM($E$41:N41)</f>
        <v>0</v>
      </c>
      <c r="P41" s="233">
        <f>-((Assumptions!P96)/12)*Assumptions!O171-SUM($E$41:O41)</f>
        <v>0</v>
      </c>
      <c r="Q41" s="233">
        <f>-((Assumptions!Q96)/12)*Assumptions!P171-SUM($E$41:P41)</f>
        <v>0</v>
      </c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6" customFormat="1" x14ac:dyDescent="0.15">
      <c r="A42" s="82" t="s">
        <v>62</v>
      </c>
      <c r="B42" s="73"/>
      <c r="C42" s="73"/>
      <c r="D42" s="233">
        <f t="shared" ref="D42:M42" si="10">D39+D40+D41</f>
        <v>0</v>
      </c>
      <c r="E42" s="233">
        <f t="shared" si="10"/>
        <v>-2498.4750000000004</v>
      </c>
      <c r="F42" s="233">
        <f t="shared" si="10"/>
        <v>285.88644805263084</v>
      </c>
      <c r="G42" s="233">
        <f t="shared" si="10"/>
        <v>3112.4509487368409</v>
      </c>
      <c r="H42" s="233">
        <f t="shared" si="10"/>
        <v>5981.2185020526304</v>
      </c>
      <c r="I42" s="233">
        <f t="shared" si="10"/>
        <v>8892.1891079999987</v>
      </c>
      <c r="J42" s="233">
        <f t="shared" si="10"/>
        <v>11845.362766578946</v>
      </c>
      <c r="K42" s="233">
        <f t="shared" si="10"/>
        <v>14840.739477789473</v>
      </c>
      <c r="L42" s="233">
        <f t="shared" si="10"/>
        <v>17878.31924163158</v>
      </c>
      <c r="M42" s="233">
        <f t="shared" si="10"/>
        <v>20958.102058105265</v>
      </c>
      <c r="N42" s="233">
        <f>N39+N40+N41</f>
        <v>24080.08792721053</v>
      </c>
      <c r="O42" s="233">
        <f>O39+O40+O41</f>
        <v>23675.116111421055</v>
      </c>
      <c r="P42" s="233">
        <f>P39+P40+P41</f>
        <v>23675.116111421055</v>
      </c>
      <c r="Q42" s="233">
        <f>Q39+Q40+Q41</f>
        <v>23675.116111421055</v>
      </c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x14ac:dyDescent="0.15">
      <c r="A43" s="85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</row>
    <row r="44" spans="1:30" x14ac:dyDescent="0.15">
      <c r="A44" s="85"/>
      <c r="B44" s="18"/>
      <c r="C44" s="18"/>
      <c r="D44" s="18"/>
      <c r="E44" s="18"/>
      <c r="F44" s="18"/>
      <c r="G44" s="18"/>
      <c r="H44" s="18"/>
      <c r="I44" s="18"/>
      <c r="J44" s="18" t="s">
        <v>0</v>
      </c>
      <c r="K44" s="18"/>
      <c r="L44" s="18"/>
      <c r="M44" s="18"/>
      <c r="N44" s="18"/>
      <c r="O44" s="18"/>
      <c r="P44" s="18"/>
      <c r="Q44" s="18"/>
    </row>
    <row r="45" spans="1:30" ht="18" x14ac:dyDescent="0.2">
      <c r="A45" s="85"/>
      <c r="B45" s="18"/>
      <c r="C45" s="18"/>
      <c r="D45" s="18"/>
      <c r="E45" s="18"/>
      <c r="F45" s="18"/>
      <c r="G45" s="18"/>
      <c r="H45" s="321" t="str">
        <f>Assumptions!D2</f>
        <v>Serious Shea</v>
      </c>
      <c r="I45" s="321"/>
      <c r="J45" s="321"/>
      <c r="K45" s="321"/>
      <c r="L45" s="321"/>
      <c r="M45" s="18"/>
      <c r="N45" s="18"/>
      <c r="O45" s="18"/>
      <c r="P45" s="18"/>
      <c r="Q45" s="18"/>
    </row>
    <row r="46" spans="1:30" ht="20" x14ac:dyDescent="0.2">
      <c r="A46" s="200" t="s">
        <v>63</v>
      </c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</row>
    <row r="47" spans="1:30" s="14" customFormat="1" x14ac:dyDescent="0.15">
      <c r="A47" s="86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x14ac:dyDescent="0.15">
      <c r="A48" s="88" t="s">
        <v>72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</row>
    <row r="49" spans="1:30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</row>
    <row r="50" spans="1:30" x14ac:dyDescent="0.15">
      <c r="A50" s="88" t="s">
        <v>59</v>
      </c>
      <c r="B50" s="18"/>
      <c r="C50" s="18"/>
      <c r="D50" s="73">
        <f>D22</f>
        <v>0</v>
      </c>
      <c r="E50" s="73">
        <f>E22</f>
        <v>0</v>
      </c>
      <c r="F50" s="73">
        <f t="shared" ref="F50:L50" si="11">F22</f>
        <v>3953.031027</v>
      </c>
      <c r="G50" s="73">
        <f t="shared" si="11"/>
        <v>3953.031027</v>
      </c>
      <c r="H50" s="73">
        <f t="shared" si="11"/>
        <v>3953.031027</v>
      </c>
      <c r="I50" s="73">
        <f t="shared" si="11"/>
        <v>3953.031027</v>
      </c>
      <c r="J50" s="73">
        <f t="shared" si="11"/>
        <v>3953.031027</v>
      </c>
      <c r="K50" s="73">
        <f t="shared" si="11"/>
        <v>3953.031027</v>
      </c>
      <c r="L50" s="73">
        <f t="shared" si="11"/>
        <v>3953.031027</v>
      </c>
      <c r="M50" s="73">
        <f>M22</f>
        <v>3953.031027</v>
      </c>
      <c r="N50" s="73">
        <f>N22</f>
        <v>3953.031027</v>
      </c>
      <c r="O50" s="73">
        <f>O22</f>
        <v>0</v>
      </c>
      <c r="P50" s="73">
        <f>P22</f>
        <v>0</v>
      </c>
      <c r="Q50" s="73">
        <f>Q22</f>
        <v>0</v>
      </c>
    </row>
    <row r="51" spans="1:30" x14ac:dyDescent="0.15">
      <c r="A51" s="88" t="s">
        <v>75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</row>
    <row r="52" spans="1:30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</row>
    <row r="53" spans="1:30" x14ac:dyDescent="0.15">
      <c r="A53" s="71" t="s">
        <v>278</v>
      </c>
      <c r="B53" s="18"/>
      <c r="C53" s="18"/>
      <c r="D53" s="73">
        <f>IF(D29&lt;0,-D29,0)</f>
        <v>0</v>
      </c>
      <c r="E53" s="73">
        <f t="shared" ref="E53:Q53" si="12">IF(E29&lt;0,-E29,0)</f>
        <v>0</v>
      </c>
      <c r="F53" s="73">
        <f t="shared" si="12"/>
        <v>379.82747368421053</v>
      </c>
      <c r="G53" s="73">
        <f t="shared" si="12"/>
        <v>337.62442105263153</v>
      </c>
      <c r="H53" s="73">
        <f t="shared" si="12"/>
        <v>295.42136842105253</v>
      </c>
      <c r="I53" s="73">
        <f t="shared" si="12"/>
        <v>253.21831578947359</v>
      </c>
      <c r="J53" s="73">
        <f t="shared" si="12"/>
        <v>211.01526315789462</v>
      </c>
      <c r="K53" s="73">
        <f t="shared" si="12"/>
        <v>168.81221052631568</v>
      </c>
      <c r="L53" s="73">
        <f t="shared" si="12"/>
        <v>126.60915789473673</v>
      </c>
      <c r="M53" s="73">
        <f t="shared" si="12"/>
        <v>84.406105263157784</v>
      </c>
      <c r="N53" s="73">
        <f t="shared" si="12"/>
        <v>42.203052631578835</v>
      </c>
      <c r="O53" s="73">
        <f t="shared" si="12"/>
        <v>10.550763157894627</v>
      </c>
      <c r="P53" s="73">
        <f t="shared" si="12"/>
        <v>0</v>
      </c>
      <c r="Q53" s="73">
        <f t="shared" si="12"/>
        <v>0</v>
      </c>
    </row>
    <row r="54" spans="1:30" x14ac:dyDescent="0.15">
      <c r="A54" s="71" t="s">
        <v>240</v>
      </c>
      <c r="B54" s="18"/>
      <c r="C54" s="18"/>
      <c r="D54" s="73">
        <f>IF(SUM(D31:D33)&lt;0,-SUM(D31:D33),0)</f>
        <v>0</v>
      </c>
      <c r="E54" s="73">
        <f t="shared" ref="E54:Q54" si="13">IF(SUM(E31:E33)&lt;0,-SUM(E31:E33),0)</f>
        <v>0</v>
      </c>
      <c r="F54" s="73">
        <f t="shared" si="13"/>
        <v>788.84210526315837</v>
      </c>
      <c r="G54" s="73">
        <f t="shared" si="13"/>
        <v>788.84210526315837</v>
      </c>
      <c r="H54" s="73">
        <f t="shared" si="13"/>
        <v>788.84210526315837</v>
      </c>
      <c r="I54" s="73">
        <f t="shared" si="13"/>
        <v>788.84210526315792</v>
      </c>
      <c r="J54" s="73">
        <f t="shared" si="13"/>
        <v>788.84210526315792</v>
      </c>
      <c r="K54" s="73">
        <f t="shared" si="13"/>
        <v>788.84210526315792</v>
      </c>
      <c r="L54" s="73">
        <f t="shared" si="13"/>
        <v>788.84210526315792</v>
      </c>
      <c r="M54" s="73">
        <f t="shared" si="13"/>
        <v>788.84210526315792</v>
      </c>
      <c r="N54" s="73">
        <f t="shared" si="13"/>
        <v>788.84210526315792</v>
      </c>
      <c r="O54" s="73">
        <f t="shared" si="13"/>
        <v>394.42105263157896</v>
      </c>
      <c r="P54" s="73">
        <f t="shared" si="13"/>
        <v>0</v>
      </c>
      <c r="Q54" s="73">
        <f t="shared" si="13"/>
        <v>0</v>
      </c>
    </row>
    <row r="55" spans="1:30" x14ac:dyDescent="0.15">
      <c r="A55" s="89" t="s">
        <v>67</v>
      </c>
      <c r="B55" s="18"/>
      <c r="C55" s="18"/>
      <c r="D55" s="73">
        <f>SUM(D53:D54)</f>
        <v>0</v>
      </c>
      <c r="E55" s="73">
        <f>SUM(E53:E54)</f>
        <v>0</v>
      </c>
      <c r="F55" s="73">
        <f t="shared" ref="F55:M55" si="14">SUM(F53:F54)</f>
        <v>1168.6695789473688</v>
      </c>
      <c r="G55" s="73">
        <f t="shared" si="14"/>
        <v>1126.4665263157899</v>
      </c>
      <c r="H55" s="73">
        <f t="shared" si="14"/>
        <v>1084.263473684211</v>
      </c>
      <c r="I55" s="73">
        <f t="shared" si="14"/>
        <v>1042.0604210526315</v>
      </c>
      <c r="J55" s="73">
        <f t="shared" si="14"/>
        <v>999.85736842105257</v>
      </c>
      <c r="K55" s="73">
        <f t="shared" si="14"/>
        <v>957.65431578947357</v>
      </c>
      <c r="L55" s="73">
        <f t="shared" si="14"/>
        <v>915.45126315789469</v>
      </c>
      <c r="M55" s="73">
        <f t="shared" si="14"/>
        <v>873.24821052631569</v>
      </c>
      <c r="N55" s="73">
        <f>SUM(N53:N54)</f>
        <v>831.0451578947368</v>
      </c>
      <c r="O55" s="73">
        <f>SUM(O53:O54)</f>
        <v>404.97181578947357</v>
      </c>
      <c r="P55" s="73">
        <f>SUM(P53:P54)</f>
        <v>0</v>
      </c>
      <c r="Q55" s="73">
        <f>SUM(Q53:Q54)</f>
        <v>0</v>
      </c>
    </row>
    <row r="56" spans="1:30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</row>
    <row r="57" spans="1:30" x14ac:dyDescent="0.15">
      <c r="A57" s="88" t="s">
        <v>76</v>
      </c>
      <c r="B57" s="18"/>
      <c r="C57" s="18"/>
      <c r="D57" s="28" t="str">
        <f>IF(ISERROR(D50/D53),"N/A",D50/D53)</f>
        <v>N/A</v>
      </c>
      <c r="E57" s="28" t="str">
        <f t="shared" ref="E57:Q57" si="15">IF(ISERROR(E50/E53),"N/A",E50/E53)</f>
        <v>N/A</v>
      </c>
      <c r="F57" s="28">
        <f t="shared" si="15"/>
        <v>10.407438378948227</v>
      </c>
      <c r="G57" s="28">
        <f t="shared" si="15"/>
        <v>11.708368176316755</v>
      </c>
      <c r="H57" s="28">
        <f t="shared" si="15"/>
        <v>13.380992201504867</v>
      </c>
      <c r="I57" s="28">
        <f t="shared" si="15"/>
        <v>15.611157568422344</v>
      </c>
      <c r="J57" s="28">
        <f t="shared" si="15"/>
        <v>18.733389082106818</v>
      </c>
      <c r="K57" s="28">
        <f t="shared" si="15"/>
        <v>23.416736352633524</v>
      </c>
      <c r="L57" s="28">
        <f t="shared" si="15"/>
        <v>31.222315136844706</v>
      </c>
      <c r="M57" s="28">
        <f t="shared" si="15"/>
        <v>46.833472705267077</v>
      </c>
      <c r="N57" s="28">
        <f t="shared" si="15"/>
        <v>93.666945410534282</v>
      </c>
      <c r="O57" s="28">
        <f t="shared" si="15"/>
        <v>0</v>
      </c>
      <c r="P57" s="28" t="str">
        <f t="shared" si="15"/>
        <v>N/A</v>
      </c>
      <c r="Q57" s="28" t="str">
        <f t="shared" si="15"/>
        <v>N/A</v>
      </c>
    </row>
    <row r="58" spans="1:30" x14ac:dyDescent="0.15">
      <c r="A58" s="88" t="s">
        <v>77</v>
      </c>
      <c r="B58" s="18"/>
      <c r="C58" s="18"/>
      <c r="D58" s="28" t="str">
        <f>IF(ISERROR(D50/D54),"N/A",D50/D54)</f>
        <v>N/A</v>
      </c>
      <c r="E58" s="28" t="str">
        <f t="shared" ref="E58:Q58" si="16">IF(ISERROR(E50/E54),"N/A",E50/E54)</f>
        <v>N/A</v>
      </c>
      <c r="F58" s="28">
        <f t="shared" si="16"/>
        <v>5.0111815794635675</v>
      </c>
      <c r="G58" s="28">
        <f t="shared" si="16"/>
        <v>5.0111815794635675</v>
      </c>
      <c r="H58" s="28">
        <f t="shared" si="16"/>
        <v>5.0111815794635675</v>
      </c>
      <c r="I58" s="28">
        <f t="shared" si="16"/>
        <v>5.011181579463571</v>
      </c>
      <c r="J58" s="28">
        <f t="shared" si="16"/>
        <v>5.011181579463571</v>
      </c>
      <c r="K58" s="28">
        <f t="shared" si="16"/>
        <v>5.011181579463571</v>
      </c>
      <c r="L58" s="28">
        <f t="shared" si="16"/>
        <v>5.011181579463571</v>
      </c>
      <c r="M58" s="28">
        <f t="shared" si="16"/>
        <v>5.011181579463571</v>
      </c>
      <c r="N58" s="28">
        <f t="shared" si="16"/>
        <v>5.011181579463571</v>
      </c>
      <c r="O58" s="28">
        <f t="shared" si="16"/>
        <v>0</v>
      </c>
      <c r="P58" s="28" t="str">
        <f t="shared" si="16"/>
        <v>N/A</v>
      </c>
      <c r="Q58" s="28" t="str">
        <f t="shared" si="16"/>
        <v>N/A</v>
      </c>
    </row>
    <row r="59" spans="1:30" x14ac:dyDescent="0.15">
      <c r="A59" s="88" t="s">
        <v>78</v>
      </c>
      <c r="B59" s="18"/>
      <c r="C59" s="18"/>
      <c r="D59" s="28" t="str">
        <f>IF(ISERROR(D50/D55),"N/A",D50/D55)</f>
        <v>N/A</v>
      </c>
      <c r="E59" s="28" t="str">
        <f t="shared" ref="E59:Q59" si="17">IF(ISERROR(E50/E55),"N/A",E50/E55)</f>
        <v>N/A</v>
      </c>
      <c r="F59" s="28">
        <f t="shared" si="17"/>
        <v>3.3825052848218489</v>
      </c>
      <c r="G59" s="28">
        <f t="shared" si="17"/>
        <v>3.5092307979436757</v>
      </c>
      <c r="H59" s="28">
        <f t="shared" si="17"/>
        <v>3.6458214474089257</v>
      </c>
      <c r="I59" s="28">
        <f t="shared" si="17"/>
        <v>3.793475836081432</v>
      </c>
      <c r="J59" s="28">
        <f t="shared" si="17"/>
        <v>3.9535949344880246</v>
      </c>
      <c r="K59" s="28">
        <f t="shared" si="17"/>
        <v>4.1278266717162859</v>
      </c>
      <c r="L59" s="28">
        <f t="shared" si="17"/>
        <v>4.3181228603736068</v>
      </c>
      <c r="M59" s="28">
        <f t="shared" si="17"/>
        <v>4.5268126282417089</v>
      </c>
      <c r="N59" s="28">
        <f t="shared" si="17"/>
        <v>4.7566982244552172</v>
      </c>
      <c r="O59" s="28">
        <f t="shared" si="17"/>
        <v>0</v>
      </c>
      <c r="P59" s="28" t="str">
        <f t="shared" si="17"/>
        <v>N/A</v>
      </c>
      <c r="Q59" s="28" t="str">
        <f t="shared" si="17"/>
        <v>N/A</v>
      </c>
    </row>
    <row r="60" spans="1:30" x14ac:dyDescent="0.15">
      <c r="A60" s="88" t="s">
        <v>79</v>
      </c>
      <c r="B60" s="18"/>
      <c r="C60" s="18"/>
      <c r="D60" s="28"/>
      <c r="E60" s="28">
        <f>IF(ISERROR(AVERAGE(E59:Q59)),"N/A",AVERAGE(E59:Q59))</f>
        <v>3.6014088685530723</v>
      </c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</row>
    <row r="61" spans="1:30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</row>
    <row r="62" spans="1:30" x14ac:dyDescent="0.15">
      <c r="A62" s="88" t="s">
        <v>73</v>
      </c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</row>
    <row r="63" spans="1:30" s="6" customFormat="1" x14ac:dyDescent="0.15">
      <c r="A63" s="73" t="s">
        <v>64</v>
      </c>
      <c r="B63" s="73"/>
      <c r="C63" s="73"/>
      <c r="D63" s="233">
        <f>D37</f>
        <v>0</v>
      </c>
      <c r="E63" s="233">
        <f t="shared" ref="E63:L63" si="18">E37</f>
        <v>-2498.4750000000004</v>
      </c>
      <c r="F63" s="233">
        <f t="shared" si="18"/>
        <v>2784.3614480526312</v>
      </c>
      <c r="G63" s="233">
        <f t="shared" si="18"/>
        <v>2826.5645006842101</v>
      </c>
      <c r="H63" s="233">
        <f t="shared" si="18"/>
        <v>2868.767553315789</v>
      </c>
      <c r="I63" s="233">
        <f t="shared" si="18"/>
        <v>2910.9706059473683</v>
      </c>
      <c r="J63" s="233">
        <f t="shared" si="18"/>
        <v>2953.1736585789477</v>
      </c>
      <c r="K63" s="233">
        <f t="shared" si="18"/>
        <v>2995.3767112105265</v>
      </c>
      <c r="L63" s="233">
        <f t="shared" si="18"/>
        <v>3037.5797638421054</v>
      </c>
      <c r="M63" s="233">
        <f>M37</f>
        <v>3079.7828164736843</v>
      </c>
      <c r="N63" s="233">
        <f>N37</f>
        <v>3121.9858691052632</v>
      </c>
      <c r="O63" s="233">
        <f>O37</f>
        <v>-404.97181578947357</v>
      </c>
      <c r="P63" s="233">
        <f>P37</f>
        <v>1.0948042472591623E-13</v>
      </c>
      <c r="Q63" s="233">
        <f>Q37</f>
        <v>1.0948042472591623E-13</v>
      </c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6" customFormat="1" x14ac:dyDescent="0.15">
      <c r="A64" s="90" t="s">
        <v>65</v>
      </c>
      <c r="B64" s="73"/>
      <c r="C64" s="73"/>
      <c r="D64" s="73">
        <f>IF(D29&lt;0,-D29,0)</f>
        <v>0</v>
      </c>
      <c r="E64" s="73">
        <f t="shared" ref="E64:Q64" si="19">IF(E29&lt;0,-E29,0)</f>
        <v>0</v>
      </c>
      <c r="F64" s="73">
        <f t="shared" si="19"/>
        <v>379.82747368421053</v>
      </c>
      <c r="G64" s="73">
        <f t="shared" si="19"/>
        <v>337.62442105263153</v>
      </c>
      <c r="H64" s="73">
        <f t="shared" si="19"/>
        <v>295.42136842105253</v>
      </c>
      <c r="I64" s="73">
        <f t="shared" si="19"/>
        <v>253.21831578947359</v>
      </c>
      <c r="J64" s="73">
        <f t="shared" si="19"/>
        <v>211.01526315789462</v>
      </c>
      <c r="K64" s="73">
        <f t="shared" si="19"/>
        <v>168.81221052631568</v>
      </c>
      <c r="L64" s="73">
        <f t="shared" si="19"/>
        <v>126.60915789473673</v>
      </c>
      <c r="M64" s="73">
        <f t="shared" si="19"/>
        <v>84.406105263157784</v>
      </c>
      <c r="N64" s="73">
        <f t="shared" si="19"/>
        <v>42.203052631578835</v>
      </c>
      <c r="O64" s="73">
        <f t="shared" si="19"/>
        <v>10.550763157894627</v>
      </c>
      <c r="P64" s="73">
        <f t="shared" si="19"/>
        <v>0</v>
      </c>
      <c r="Q64" s="73">
        <f t="shared" si="19"/>
        <v>0</v>
      </c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6" customFormat="1" x14ac:dyDescent="0.15">
      <c r="A65" s="199" t="s">
        <v>241</v>
      </c>
      <c r="B65" s="73"/>
      <c r="C65" s="73"/>
      <c r="D65" s="73">
        <f>IF(SUM(D31:D33)&lt;0,-SUM(D31:D33),0)</f>
        <v>0</v>
      </c>
      <c r="E65" s="73">
        <f t="shared" ref="E65:Q65" si="20">IF(SUM(E31:E33)&lt;0,-SUM(E31:E33),0)</f>
        <v>0</v>
      </c>
      <c r="F65" s="73">
        <f t="shared" si="20"/>
        <v>788.84210526315837</v>
      </c>
      <c r="G65" s="73">
        <f t="shared" si="20"/>
        <v>788.84210526315837</v>
      </c>
      <c r="H65" s="73">
        <f t="shared" si="20"/>
        <v>788.84210526315837</v>
      </c>
      <c r="I65" s="73">
        <f t="shared" si="20"/>
        <v>788.84210526315792</v>
      </c>
      <c r="J65" s="73">
        <f t="shared" si="20"/>
        <v>788.84210526315792</v>
      </c>
      <c r="K65" s="73">
        <f t="shared" si="20"/>
        <v>788.84210526315792</v>
      </c>
      <c r="L65" s="73">
        <f t="shared" si="20"/>
        <v>788.84210526315792</v>
      </c>
      <c r="M65" s="73">
        <f t="shared" si="20"/>
        <v>788.84210526315792</v>
      </c>
      <c r="N65" s="73">
        <f t="shared" si="20"/>
        <v>788.84210526315792</v>
      </c>
      <c r="O65" s="73">
        <f t="shared" si="20"/>
        <v>394.42105263157896</v>
      </c>
      <c r="P65" s="73">
        <f t="shared" si="20"/>
        <v>0</v>
      </c>
      <c r="Q65" s="73">
        <f t="shared" si="20"/>
        <v>0</v>
      </c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6" customFormat="1" x14ac:dyDescent="0.15">
      <c r="A66" s="91" t="s">
        <v>66</v>
      </c>
      <c r="B66" s="73"/>
      <c r="C66" s="73"/>
      <c r="D66" s="73">
        <f>D30</f>
        <v>0</v>
      </c>
      <c r="E66" s="73">
        <f>E30</f>
        <v>0</v>
      </c>
      <c r="F66" s="73">
        <f t="shared" ref="F66:Q66" si="21">F30</f>
        <v>0</v>
      </c>
      <c r="G66" s="73">
        <f t="shared" si="21"/>
        <v>0</v>
      </c>
      <c r="H66" s="73">
        <f t="shared" si="21"/>
        <v>0</v>
      </c>
      <c r="I66" s="73">
        <f t="shared" si="21"/>
        <v>0</v>
      </c>
      <c r="J66" s="73">
        <f t="shared" si="21"/>
        <v>0</v>
      </c>
      <c r="K66" s="73">
        <f t="shared" si="21"/>
        <v>0</v>
      </c>
      <c r="L66" s="73">
        <f t="shared" si="21"/>
        <v>0</v>
      </c>
      <c r="M66" s="73">
        <f t="shared" si="21"/>
        <v>0</v>
      </c>
      <c r="N66" s="73">
        <f t="shared" si="21"/>
        <v>0</v>
      </c>
      <c r="O66" s="73">
        <f t="shared" si="21"/>
        <v>0</v>
      </c>
      <c r="P66" s="73">
        <f t="shared" si="21"/>
        <v>0</v>
      </c>
      <c r="Q66" s="73">
        <f t="shared" si="21"/>
        <v>0</v>
      </c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6" customFormat="1" x14ac:dyDescent="0.15">
      <c r="A67" s="76" t="s">
        <v>74</v>
      </c>
      <c r="B67" s="73"/>
      <c r="C67" s="73"/>
      <c r="D67" s="73">
        <f t="shared" ref="D67" si="22">SUM(D63:D66)</f>
        <v>0</v>
      </c>
      <c r="E67" s="73">
        <f t="shared" ref="E67:M67" si="23">SUM(E63:E66)</f>
        <v>-2498.4750000000004</v>
      </c>
      <c r="F67" s="73">
        <f t="shared" si="23"/>
        <v>3953.031027</v>
      </c>
      <c r="G67" s="73">
        <f t="shared" si="23"/>
        <v>3953.031027</v>
      </c>
      <c r="H67" s="73">
        <f t="shared" si="23"/>
        <v>3953.031027</v>
      </c>
      <c r="I67" s="73">
        <f t="shared" si="23"/>
        <v>3953.031027</v>
      </c>
      <c r="J67" s="73">
        <f t="shared" si="23"/>
        <v>3953.031027</v>
      </c>
      <c r="K67" s="73">
        <f t="shared" si="23"/>
        <v>3953.031027</v>
      </c>
      <c r="L67" s="73">
        <f t="shared" si="23"/>
        <v>3953.031027</v>
      </c>
      <c r="M67" s="73">
        <f t="shared" si="23"/>
        <v>3953.031027</v>
      </c>
      <c r="N67" s="73">
        <f>SUM(N63:N66)</f>
        <v>3953.031027</v>
      </c>
      <c r="O67" s="73">
        <f>SUM(O63:O66)</f>
        <v>0</v>
      </c>
      <c r="P67" s="73">
        <f>SUM(P63:P66)</f>
        <v>1.0948042472591623E-13</v>
      </c>
      <c r="Q67" s="73">
        <f>SUM(Q63:Q66)</f>
        <v>1.0948042472591623E-13</v>
      </c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6" customFormat="1" x14ac:dyDescent="0.15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6" customFormat="1" x14ac:dyDescent="0.15">
      <c r="A69" s="73" t="s">
        <v>48</v>
      </c>
      <c r="B69" s="73"/>
      <c r="C69" s="73"/>
      <c r="D69" s="73">
        <f t="shared" ref="D69" si="24">D64</f>
        <v>0</v>
      </c>
      <c r="E69" s="73">
        <f t="shared" ref="E69:L70" si="25">E64</f>
        <v>0</v>
      </c>
      <c r="F69" s="73">
        <f t="shared" si="25"/>
        <v>379.82747368421053</v>
      </c>
      <c r="G69" s="73">
        <f t="shared" si="25"/>
        <v>337.62442105263153</v>
      </c>
      <c r="H69" s="73">
        <f t="shared" si="25"/>
        <v>295.42136842105253</v>
      </c>
      <c r="I69" s="73">
        <f t="shared" si="25"/>
        <v>253.21831578947359</v>
      </c>
      <c r="J69" s="73">
        <f t="shared" si="25"/>
        <v>211.01526315789462</v>
      </c>
      <c r="K69" s="73">
        <f t="shared" si="25"/>
        <v>168.81221052631568</v>
      </c>
      <c r="L69" s="73">
        <f t="shared" si="25"/>
        <v>126.60915789473673</v>
      </c>
      <c r="M69" s="73">
        <f t="shared" ref="M69:O70" si="26">M64</f>
        <v>84.406105263157784</v>
      </c>
      <c r="N69" s="73">
        <f t="shared" si="26"/>
        <v>42.203052631578835</v>
      </c>
      <c r="O69" s="73">
        <f t="shared" si="26"/>
        <v>10.550763157894627</v>
      </c>
      <c r="P69" s="73">
        <f>P64</f>
        <v>0</v>
      </c>
      <c r="Q69" s="73">
        <f>Q64</f>
        <v>0</v>
      </c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6" customFormat="1" x14ac:dyDescent="0.15">
      <c r="A70" s="104" t="s">
        <v>242</v>
      </c>
      <c r="B70" s="73"/>
      <c r="C70" s="73"/>
      <c r="D70" s="73">
        <f t="shared" ref="D70" si="27">D65</f>
        <v>0</v>
      </c>
      <c r="E70" s="73">
        <f t="shared" si="25"/>
        <v>0</v>
      </c>
      <c r="F70" s="73">
        <f t="shared" si="25"/>
        <v>788.84210526315837</v>
      </c>
      <c r="G70" s="73">
        <f t="shared" si="25"/>
        <v>788.84210526315837</v>
      </c>
      <c r="H70" s="73">
        <f t="shared" si="25"/>
        <v>788.84210526315837</v>
      </c>
      <c r="I70" s="73">
        <f t="shared" si="25"/>
        <v>788.84210526315792</v>
      </c>
      <c r="J70" s="73">
        <f t="shared" si="25"/>
        <v>788.84210526315792</v>
      </c>
      <c r="K70" s="73">
        <f t="shared" si="25"/>
        <v>788.84210526315792</v>
      </c>
      <c r="L70" s="73">
        <f t="shared" si="25"/>
        <v>788.84210526315792</v>
      </c>
      <c r="M70" s="73">
        <f t="shared" si="26"/>
        <v>788.84210526315792</v>
      </c>
      <c r="N70" s="73">
        <f t="shared" si="26"/>
        <v>788.84210526315792</v>
      </c>
      <c r="O70" s="73">
        <f t="shared" si="26"/>
        <v>394.42105263157896</v>
      </c>
      <c r="P70" s="73">
        <f>P65</f>
        <v>0</v>
      </c>
      <c r="Q70" s="73">
        <f>Q65</f>
        <v>0</v>
      </c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6" customFormat="1" x14ac:dyDescent="0.15">
      <c r="A71" s="76" t="s">
        <v>67</v>
      </c>
      <c r="B71" s="73"/>
      <c r="C71" s="73"/>
      <c r="D71" s="73">
        <f t="shared" ref="D71" si="28">D69+D70</f>
        <v>0</v>
      </c>
      <c r="E71" s="73">
        <f t="shared" ref="E71:M71" si="29">E69+E70</f>
        <v>0</v>
      </c>
      <c r="F71" s="73">
        <f t="shared" si="29"/>
        <v>1168.6695789473688</v>
      </c>
      <c r="G71" s="73">
        <f t="shared" si="29"/>
        <v>1126.4665263157899</v>
      </c>
      <c r="H71" s="73">
        <f t="shared" si="29"/>
        <v>1084.263473684211</v>
      </c>
      <c r="I71" s="73">
        <f t="shared" si="29"/>
        <v>1042.0604210526315</v>
      </c>
      <c r="J71" s="73">
        <f t="shared" si="29"/>
        <v>999.85736842105257</v>
      </c>
      <c r="K71" s="73">
        <f t="shared" si="29"/>
        <v>957.65431578947357</v>
      </c>
      <c r="L71" s="73">
        <f t="shared" si="29"/>
        <v>915.45126315789469</v>
      </c>
      <c r="M71" s="73">
        <f t="shared" si="29"/>
        <v>873.24821052631569</v>
      </c>
      <c r="N71" s="73">
        <f>N69+N70</f>
        <v>831.0451578947368</v>
      </c>
      <c r="O71" s="73">
        <f>O69+O70</f>
        <v>404.97181578947357</v>
      </c>
      <c r="P71" s="73">
        <f>P69+P70</f>
        <v>0</v>
      </c>
      <c r="Q71" s="73">
        <f>Q69+Q70</f>
        <v>0</v>
      </c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x14ac:dyDescent="0.15">
      <c r="A72" s="18"/>
      <c r="B72" s="18"/>
      <c r="C72" s="18"/>
      <c r="D72" s="18"/>
      <c r="E72" s="18" t="s">
        <v>0</v>
      </c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</row>
    <row r="73" spans="1:30" s="7" customFormat="1" x14ac:dyDescent="0.15">
      <c r="A73" s="92" t="s">
        <v>107</v>
      </c>
      <c r="B73" s="93"/>
      <c r="C73" s="93"/>
      <c r="D73" s="28" t="str">
        <f>IF(ISERROR(D67/D69),"N/A",D67/D69)</f>
        <v>N/A</v>
      </c>
      <c r="E73" s="28" t="str">
        <f t="shared" ref="E73:Q73" si="30">IF(ISERROR(E67/E69),"N/A",E67/E69)</f>
        <v>N/A</v>
      </c>
      <c r="F73" s="28">
        <f t="shared" si="30"/>
        <v>10.407438378948227</v>
      </c>
      <c r="G73" s="28">
        <f t="shared" si="30"/>
        <v>11.708368176316755</v>
      </c>
      <c r="H73" s="28">
        <f t="shared" si="30"/>
        <v>13.380992201504867</v>
      </c>
      <c r="I73" s="28">
        <f t="shared" si="30"/>
        <v>15.611157568422344</v>
      </c>
      <c r="J73" s="28">
        <f t="shared" si="30"/>
        <v>18.733389082106818</v>
      </c>
      <c r="K73" s="28">
        <f t="shared" si="30"/>
        <v>23.416736352633524</v>
      </c>
      <c r="L73" s="28">
        <f t="shared" si="30"/>
        <v>31.222315136844706</v>
      </c>
      <c r="M73" s="28">
        <f t="shared" si="30"/>
        <v>46.833472705267077</v>
      </c>
      <c r="N73" s="28">
        <f t="shared" si="30"/>
        <v>93.666945410534282</v>
      </c>
      <c r="O73" s="28">
        <f t="shared" si="30"/>
        <v>0</v>
      </c>
      <c r="P73" s="28" t="str">
        <f t="shared" si="30"/>
        <v>N/A</v>
      </c>
      <c r="Q73" s="28" t="str">
        <f t="shared" si="30"/>
        <v>N/A</v>
      </c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7" customFormat="1" x14ac:dyDescent="0.15">
      <c r="A74" s="92" t="s">
        <v>108</v>
      </c>
      <c r="B74" s="93"/>
      <c r="C74" s="93"/>
      <c r="D74" s="28" t="str">
        <f>IF(ISERROR(D67/D70),"N/A",D67/D70)</f>
        <v>N/A</v>
      </c>
      <c r="E74" s="28" t="str">
        <f t="shared" ref="E74:Q74" si="31">IF(ISERROR(E67/E70),"N/A",E67/E70)</f>
        <v>N/A</v>
      </c>
      <c r="F74" s="28">
        <f t="shared" si="31"/>
        <v>5.0111815794635675</v>
      </c>
      <c r="G74" s="28">
        <f t="shared" si="31"/>
        <v>5.0111815794635675</v>
      </c>
      <c r="H74" s="28">
        <f t="shared" si="31"/>
        <v>5.0111815794635675</v>
      </c>
      <c r="I74" s="28">
        <f t="shared" si="31"/>
        <v>5.011181579463571</v>
      </c>
      <c r="J74" s="28">
        <f t="shared" si="31"/>
        <v>5.011181579463571</v>
      </c>
      <c r="K74" s="28">
        <f t="shared" si="31"/>
        <v>5.011181579463571</v>
      </c>
      <c r="L74" s="28">
        <f t="shared" si="31"/>
        <v>5.011181579463571</v>
      </c>
      <c r="M74" s="28">
        <f t="shared" si="31"/>
        <v>5.011181579463571</v>
      </c>
      <c r="N74" s="28">
        <f t="shared" si="31"/>
        <v>5.011181579463571</v>
      </c>
      <c r="O74" s="28">
        <f t="shared" si="31"/>
        <v>0</v>
      </c>
      <c r="P74" s="28" t="str">
        <f t="shared" si="31"/>
        <v>N/A</v>
      </c>
      <c r="Q74" s="28" t="str">
        <f t="shared" si="31"/>
        <v>N/A</v>
      </c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7" customFormat="1" x14ac:dyDescent="0.15">
      <c r="A75" s="92" t="s">
        <v>109</v>
      </c>
      <c r="B75" s="93"/>
      <c r="C75" s="93"/>
      <c r="D75" s="28" t="str">
        <f>IF(ISERROR(D67/D71),"N/A",D67/D71)</f>
        <v>N/A</v>
      </c>
      <c r="E75" s="28" t="str">
        <f t="shared" ref="E75:Q75" si="32">IF(ISERROR(E67/E71),"N/A",E67/E71)</f>
        <v>N/A</v>
      </c>
      <c r="F75" s="28">
        <f t="shared" si="32"/>
        <v>3.3825052848218489</v>
      </c>
      <c r="G75" s="28">
        <f t="shared" si="32"/>
        <v>3.5092307979436757</v>
      </c>
      <c r="H75" s="28">
        <f t="shared" si="32"/>
        <v>3.6458214474089257</v>
      </c>
      <c r="I75" s="28">
        <f t="shared" si="32"/>
        <v>3.793475836081432</v>
      </c>
      <c r="J75" s="28">
        <f t="shared" si="32"/>
        <v>3.9535949344880246</v>
      </c>
      <c r="K75" s="28">
        <f t="shared" si="32"/>
        <v>4.1278266717162859</v>
      </c>
      <c r="L75" s="28">
        <f t="shared" si="32"/>
        <v>4.3181228603736068</v>
      </c>
      <c r="M75" s="28">
        <f t="shared" si="32"/>
        <v>4.5268126282417089</v>
      </c>
      <c r="N75" s="28">
        <f t="shared" si="32"/>
        <v>4.7566982244552172</v>
      </c>
      <c r="O75" s="28">
        <f t="shared" si="32"/>
        <v>0</v>
      </c>
      <c r="P75" s="28" t="str">
        <f t="shared" si="32"/>
        <v>N/A</v>
      </c>
      <c r="Q75" s="28" t="str">
        <f t="shared" si="32"/>
        <v>N/A</v>
      </c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7" customFormat="1" x14ac:dyDescent="0.15">
      <c r="A76" s="92" t="s">
        <v>79</v>
      </c>
      <c r="B76" s="93"/>
      <c r="C76" s="93"/>
      <c r="D76" s="93"/>
      <c r="E76" s="93">
        <f>IF(ISERROR(AVERAGE(E75:Q75)),"N/A",AVERAGE(E75:Q75))</f>
        <v>3.6014088685530723</v>
      </c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/>
      <c r="S76"/>
      <c r="T76"/>
      <c r="U76"/>
      <c r="V76"/>
      <c r="W76"/>
      <c r="X76"/>
      <c r="Y76"/>
      <c r="Z76"/>
      <c r="AA76"/>
      <c r="AB76"/>
      <c r="AC76"/>
      <c r="AD76"/>
    </row>
    <row r="79" spans="1:30" ht="20" x14ac:dyDescent="0.2">
      <c r="A79" s="229" t="s">
        <v>146</v>
      </c>
    </row>
    <row r="81" spans="1:17" x14ac:dyDescent="0.15">
      <c r="A81" s="99" t="s">
        <v>147</v>
      </c>
    </row>
    <row r="82" spans="1:17" x14ac:dyDescent="0.15">
      <c r="A82" s="144" t="s">
        <v>152</v>
      </c>
      <c r="E82" s="237">
        <f>-(IF(E32&gt;0,E32,0)+IF(E33&gt;0,E33,0)+IF(E35&gt;0,E35,0))</f>
        <v>-7494</v>
      </c>
      <c r="F82" s="237">
        <f t="shared" ref="F82:Q82" si="33">-(IF(F32&gt;0,F32,0)+IF(F33&gt;0,F33,0)+IF(F35&gt;0,F35,0))</f>
        <v>0</v>
      </c>
      <c r="G82" s="237">
        <f t="shared" si="33"/>
        <v>0</v>
      </c>
      <c r="H82" s="237">
        <f t="shared" si="33"/>
        <v>0</v>
      </c>
      <c r="I82" s="237">
        <f t="shared" si="33"/>
        <v>0</v>
      </c>
      <c r="J82" s="237">
        <f t="shared" si="33"/>
        <v>0</v>
      </c>
      <c r="K82" s="237">
        <f t="shared" si="33"/>
        <v>0</v>
      </c>
      <c r="L82" s="237">
        <f t="shared" si="33"/>
        <v>0</v>
      </c>
      <c r="M82" s="237">
        <f t="shared" si="33"/>
        <v>0</v>
      </c>
      <c r="N82" s="237">
        <f t="shared" si="33"/>
        <v>0</v>
      </c>
      <c r="O82" s="237">
        <f t="shared" si="33"/>
        <v>0</v>
      </c>
      <c r="P82" s="237">
        <f t="shared" si="33"/>
        <v>0</v>
      </c>
      <c r="Q82" s="237">
        <f t="shared" si="33"/>
        <v>0</v>
      </c>
    </row>
    <row r="83" spans="1:17" x14ac:dyDescent="0.15">
      <c r="A83" s="142" t="s">
        <v>59</v>
      </c>
      <c r="E83" s="237">
        <f>E22</f>
        <v>0</v>
      </c>
      <c r="F83" s="237">
        <f t="shared" ref="F83:Q83" si="34">F22</f>
        <v>3953.031027</v>
      </c>
      <c r="G83" s="237">
        <f t="shared" si="34"/>
        <v>3953.031027</v>
      </c>
      <c r="H83" s="237">
        <f t="shared" si="34"/>
        <v>3953.031027</v>
      </c>
      <c r="I83" s="237">
        <f t="shared" si="34"/>
        <v>3953.031027</v>
      </c>
      <c r="J83" s="237">
        <f t="shared" si="34"/>
        <v>3953.031027</v>
      </c>
      <c r="K83" s="237">
        <f t="shared" si="34"/>
        <v>3953.031027</v>
      </c>
      <c r="L83" s="237">
        <f t="shared" si="34"/>
        <v>3953.031027</v>
      </c>
      <c r="M83" s="237">
        <f t="shared" si="34"/>
        <v>3953.031027</v>
      </c>
      <c r="N83" s="237">
        <f t="shared" si="34"/>
        <v>3953.031027</v>
      </c>
      <c r="O83" s="237">
        <f t="shared" si="34"/>
        <v>0</v>
      </c>
      <c r="P83" s="237">
        <f t="shared" si="34"/>
        <v>0</v>
      </c>
      <c r="Q83" s="237">
        <f t="shared" si="34"/>
        <v>0</v>
      </c>
    </row>
    <row r="84" spans="1:17" x14ac:dyDescent="0.15">
      <c r="A84" s="142" t="s">
        <v>153</v>
      </c>
      <c r="E84" s="237">
        <f>E82+E83</f>
        <v>-7494</v>
      </c>
      <c r="F84" s="237">
        <f t="shared" ref="F84:Q84" si="35">F82+F83</f>
        <v>3953.031027</v>
      </c>
      <c r="G84" s="237">
        <f t="shared" si="35"/>
        <v>3953.031027</v>
      </c>
      <c r="H84" s="237">
        <f t="shared" si="35"/>
        <v>3953.031027</v>
      </c>
      <c r="I84" s="237">
        <f t="shared" si="35"/>
        <v>3953.031027</v>
      </c>
      <c r="J84" s="237">
        <f t="shared" si="35"/>
        <v>3953.031027</v>
      </c>
      <c r="K84" s="237">
        <f t="shared" si="35"/>
        <v>3953.031027</v>
      </c>
      <c r="L84" s="237">
        <f t="shared" si="35"/>
        <v>3953.031027</v>
      </c>
      <c r="M84" s="237">
        <f t="shared" si="35"/>
        <v>3953.031027</v>
      </c>
      <c r="N84" s="237">
        <f t="shared" si="35"/>
        <v>3953.031027</v>
      </c>
      <c r="O84" s="237">
        <f t="shared" si="35"/>
        <v>0</v>
      </c>
      <c r="P84" s="237">
        <f t="shared" si="35"/>
        <v>0</v>
      </c>
      <c r="Q84" s="237">
        <f t="shared" si="35"/>
        <v>0</v>
      </c>
    </row>
    <row r="85" spans="1:17" x14ac:dyDescent="0.15">
      <c r="A85" s="126" t="s">
        <v>149</v>
      </c>
      <c r="E85" s="4">
        <f>Assumptions!B181</f>
        <v>5.3499999999999999E-2</v>
      </c>
    </row>
    <row r="86" spans="1:17" x14ac:dyDescent="0.15">
      <c r="A86" s="126" t="s">
        <v>150</v>
      </c>
      <c r="E86" s="143">
        <f>IRR(E84:Q84)</f>
        <v>0.51494258876692522</v>
      </c>
    </row>
    <row r="87" spans="1:17" x14ac:dyDescent="0.15">
      <c r="A87" s="126" t="s">
        <v>151</v>
      </c>
      <c r="E87" s="239">
        <f>E84+NPV(E85,F84:Q84)</f>
        <v>20170.637205069888</v>
      </c>
    </row>
    <row r="89" spans="1:17" x14ac:dyDescent="0.15">
      <c r="A89" s="99" t="s">
        <v>148</v>
      </c>
    </row>
    <row r="90" spans="1:17" x14ac:dyDescent="0.15">
      <c r="A90" s="144" t="s">
        <v>154</v>
      </c>
      <c r="E90" s="237">
        <f>-(IF(E35&gt;0,E35,0))</f>
        <v>0</v>
      </c>
      <c r="F90" s="237">
        <f t="shared" ref="F90:Q90" si="36">-F35</f>
        <v>0</v>
      </c>
      <c r="G90" s="237">
        <f t="shared" si="36"/>
        <v>0</v>
      </c>
      <c r="H90" s="237">
        <f t="shared" si="36"/>
        <v>0</v>
      </c>
      <c r="I90" s="237">
        <f t="shared" si="36"/>
        <v>0</v>
      </c>
      <c r="J90" s="237">
        <f t="shared" si="36"/>
        <v>0</v>
      </c>
      <c r="K90" s="237">
        <f t="shared" si="36"/>
        <v>0</v>
      </c>
      <c r="L90" s="237">
        <f t="shared" si="36"/>
        <v>0</v>
      </c>
      <c r="M90" s="237">
        <f t="shared" si="36"/>
        <v>0</v>
      </c>
      <c r="N90" s="237">
        <f t="shared" si="36"/>
        <v>0</v>
      </c>
      <c r="O90" s="237">
        <f t="shared" si="36"/>
        <v>0</v>
      </c>
      <c r="P90" s="237">
        <f t="shared" si="36"/>
        <v>0</v>
      </c>
      <c r="Q90" s="237">
        <f t="shared" si="36"/>
        <v>0</v>
      </c>
    </row>
    <row r="91" spans="1:17" x14ac:dyDescent="0.15">
      <c r="A91" s="144" t="s">
        <v>10</v>
      </c>
      <c r="E91" s="237">
        <f>E30</f>
        <v>0</v>
      </c>
      <c r="F91" s="237">
        <f t="shared" ref="F91:Q91" si="37">F30</f>
        <v>0</v>
      </c>
      <c r="G91" s="237">
        <f t="shared" si="37"/>
        <v>0</v>
      </c>
      <c r="H91" s="237">
        <f t="shared" si="37"/>
        <v>0</v>
      </c>
      <c r="I91" s="237">
        <f t="shared" si="37"/>
        <v>0</v>
      </c>
      <c r="J91" s="237">
        <f t="shared" si="37"/>
        <v>0</v>
      </c>
      <c r="K91" s="237">
        <f t="shared" si="37"/>
        <v>0</v>
      </c>
      <c r="L91" s="237">
        <f t="shared" si="37"/>
        <v>0</v>
      </c>
      <c r="M91" s="237">
        <f t="shared" si="37"/>
        <v>0</v>
      </c>
      <c r="N91" s="237">
        <f t="shared" si="37"/>
        <v>0</v>
      </c>
      <c r="O91" s="237">
        <f t="shared" si="37"/>
        <v>0</v>
      </c>
      <c r="P91" s="237">
        <f t="shared" si="37"/>
        <v>0</v>
      </c>
      <c r="Q91" s="237">
        <f t="shared" si="37"/>
        <v>0</v>
      </c>
    </row>
    <row r="92" spans="1:17" x14ac:dyDescent="0.15">
      <c r="A92" s="230" t="s">
        <v>155</v>
      </c>
      <c r="E92" s="238"/>
      <c r="F92" s="238"/>
      <c r="G92" s="238"/>
      <c r="H92" s="238"/>
      <c r="I92" s="238"/>
      <c r="J92" s="238"/>
      <c r="K92" s="238"/>
      <c r="L92" s="238"/>
      <c r="M92" s="238"/>
      <c r="N92" s="238"/>
      <c r="O92" s="238"/>
      <c r="P92" s="238"/>
      <c r="Q92" s="238"/>
    </row>
    <row r="93" spans="1:17" x14ac:dyDescent="0.15">
      <c r="A93" s="144" t="s">
        <v>156</v>
      </c>
      <c r="E93" s="237">
        <f>SUM(E90:E92)</f>
        <v>0</v>
      </c>
      <c r="F93" s="237">
        <f t="shared" ref="F93:Q93" si="38">SUM(F90:F92)</f>
        <v>0</v>
      </c>
      <c r="G93" s="237">
        <f t="shared" si="38"/>
        <v>0</v>
      </c>
      <c r="H93" s="237">
        <f t="shared" si="38"/>
        <v>0</v>
      </c>
      <c r="I93" s="237">
        <f t="shared" si="38"/>
        <v>0</v>
      </c>
      <c r="J93" s="237">
        <f t="shared" si="38"/>
        <v>0</v>
      </c>
      <c r="K93" s="237">
        <f t="shared" si="38"/>
        <v>0</v>
      </c>
      <c r="L93" s="237">
        <f t="shared" si="38"/>
        <v>0</v>
      </c>
      <c r="M93" s="237">
        <f t="shared" si="38"/>
        <v>0</v>
      </c>
      <c r="N93" s="237">
        <f t="shared" si="38"/>
        <v>0</v>
      </c>
      <c r="O93" s="237">
        <f t="shared" si="38"/>
        <v>0</v>
      </c>
      <c r="P93" s="237">
        <f t="shared" si="38"/>
        <v>0</v>
      </c>
      <c r="Q93" s="237">
        <f t="shared" si="38"/>
        <v>0</v>
      </c>
    </row>
    <row r="94" spans="1:17" x14ac:dyDescent="0.15">
      <c r="A94" s="145" t="s">
        <v>144</v>
      </c>
      <c r="E94" s="143">
        <f>Assumptions!B180</f>
        <v>0.2</v>
      </c>
    </row>
    <row r="95" spans="1:17" x14ac:dyDescent="0.15">
      <c r="A95" s="145" t="s">
        <v>150</v>
      </c>
      <c r="E95" s="143" t="e">
        <f>IRR(E93:Q93)</f>
        <v>#NUM!</v>
      </c>
    </row>
    <row r="96" spans="1:17" x14ac:dyDescent="0.15">
      <c r="A96" s="146" t="s">
        <v>151</v>
      </c>
      <c r="E96" s="240">
        <f>E93+NPV(E94,F93:Q93)</f>
        <v>0</v>
      </c>
    </row>
    <row r="98" spans="1:17" ht="20" x14ac:dyDescent="0.2">
      <c r="A98" s="229" t="s">
        <v>302</v>
      </c>
    </row>
    <row r="99" spans="1:17" x14ac:dyDescent="0.15">
      <c r="A99" s="126" t="s">
        <v>303</v>
      </c>
      <c r="D99" s="237">
        <f>-D6</f>
        <v>0</v>
      </c>
      <c r="E99" s="237">
        <f t="shared" ref="E99:Q99" si="39">-E6</f>
        <v>0</v>
      </c>
      <c r="F99" s="237">
        <f t="shared" si="39"/>
        <v>0</v>
      </c>
      <c r="G99" s="237">
        <f t="shared" si="39"/>
        <v>0</v>
      </c>
      <c r="H99" s="237">
        <f t="shared" si="39"/>
        <v>0</v>
      </c>
      <c r="I99" s="237">
        <f t="shared" si="39"/>
        <v>0</v>
      </c>
      <c r="J99" s="237">
        <f t="shared" si="39"/>
        <v>0</v>
      </c>
      <c r="K99" s="237">
        <f t="shared" si="39"/>
        <v>0</v>
      </c>
      <c r="L99" s="237">
        <f t="shared" si="39"/>
        <v>0</v>
      </c>
      <c r="M99" s="237">
        <f t="shared" si="39"/>
        <v>0</v>
      </c>
      <c r="N99" s="237">
        <f t="shared" si="39"/>
        <v>0</v>
      </c>
      <c r="O99" s="237">
        <f t="shared" si="39"/>
        <v>0</v>
      </c>
      <c r="P99" s="237">
        <f t="shared" si="39"/>
        <v>0</v>
      </c>
      <c r="Q99" s="237">
        <f t="shared" si="39"/>
        <v>0</v>
      </c>
    </row>
    <row r="100" spans="1:17" x14ac:dyDescent="0.15">
      <c r="A100" s="126" t="s">
        <v>304</v>
      </c>
      <c r="D100" s="272">
        <f>D10</f>
        <v>0</v>
      </c>
      <c r="E100" s="272">
        <f t="shared" ref="E100:Q100" si="40">E10</f>
        <v>0</v>
      </c>
      <c r="F100" s="272">
        <f t="shared" si="40"/>
        <v>0</v>
      </c>
      <c r="G100" s="272">
        <f t="shared" si="40"/>
        <v>0</v>
      </c>
      <c r="H100" s="272">
        <f t="shared" si="40"/>
        <v>0</v>
      </c>
      <c r="I100" s="272">
        <f t="shared" si="40"/>
        <v>0</v>
      </c>
      <c r="J100" s="272">
        <f t="shared" si="40"/>
        <v>0</v>
      </c>
      <c r="K100" s="272">
        <f t="shared" si="40"/>
        <v>0</v>
      </c>
      <c r="L100" s="272">
        <f t="shared" si="40"/>
        <v>0</v>
      </c>
      <c r="M100" s="272">
        <f t="shared" si="40"/>
        <v>0</v>
      </c>
      <c r="N100" s="272">
        <f t="shared" si="40"/>
        <v>0</v>
      </c>
      <c r="O100" s="272">
        <f t="shared" si="40"/>
        <v>0</v>
      </c>
      <c r="P100" s="272">
        <f t="shared" si="40"/>
        <v>0</v>
      </c>
      <c r="Q100" s="272">
        <f t="shared" si="40"/>
        <v>0</v>
      </c>
    </row>
    <row r="101" spans="1:17" x14ac:dyDescent="0.15">
      <c r="A101" s="271" t="s">
        <v>305</v>
      </c>
      <c r="B101" s="100"/>
      <c r="C101" s="100"/>
      <c r="D101" s="273">
        <f>D11</f>
        <v>0</v>
      </c>
      <c r="E101" s="273">
        <f t="shared" ref="E101:Q101" si="41">E11</f>
        <v>0</v>
      </c>
      <c r="F101" s="273">
        <f t="shared" si="41"/>
        <v>0</v>
      </c>
      <c r="G101" s="273">
        <f t="shared" si="41"/>
        <v>0</v>
      </c>
      <c r="H101" s="273">
        <f t="shared" si="41"/>
        <v>0</v>
      </c>
      <c r="I101" s="273">
        <f t="shared" si="41"/>
        <v>0</v>
      </c>
      <c r="J101" s="273">
        <f t="shared" si="41"/>
        <v>0</v>
      </c>
      <c r="K101" s="273">
        <f t="shared" si="41"/>
        <v>0</v>
      </c>
      <c r="L101" s="273">
        <f t="shared" si="41"/>
        <v>0</v>
      </c>
      <c r="M101" s="273">
        <f t="shared" si="41"/>
        <v>0</v>
      </c>
      <c r="N101" s="273">
        <f t="shared" si="41"/>
        <v>0</v>
      </c>
      <c r="O101" s="273">
        <f t="shared" si="41"/>
        <v>0</v>
      </c>
      <c r="P101" s="273">
        <f t="shared" si="41"/>
        <v>0</v>
      </c>
      <c r="Q101" s="273">
        <f t="shared" si="41"/>
        <v>0</v>
      </c>
    </row>
    <row r="102" spans="1:17" x14ac:dyDescent="0.15">
      <c r="A102" s="144" t="s">
        <v>306</v>
      </c>
      <c r="D102" s="237">
        <f>SUM(D99:D101)</f>
        <v>0</v>
      </c>
      <c r="E102" s="237">
        <f t="shared" ref="E102:Q102" si="42">SUM(E99:E101)</f>
        <v>0</v>
      </c>
      <c r="F102" s="237">
        <f t="shared" si="42"/>
        <v>0</v>
      </c>
      <c r="G102" s="237">
        <f t="shared" si="42"/>
        <v>0</v>
      </c>
      <c r="H102" s="237">
        <f t="shared" si="42"/>
        <v>0</v>
      </c>
      <c r="I102" s="237">
        <f t="shared" si="42"/>
        <v>0</v>
      </c>
      <c r="J102" s="237">
        <f t="shared" si="42"/>
        <v>0</v>
      </c>
      <c r="K102" s="237">
        <f t="shared" si="42"/>
        <v>0</v>
      </c>
      <c r="L102" s="237">
        <f t="shared" si="42"/>
        <v>0</v>
      </c>
      <c r="M102" s="237">
        <f t="shared" si="42"/>
        <v>0</v>
      </c>
      <c r="N102" s="237">
        <f t="shared" si="42"/>
        <v>0</v>
      </c>
      <c r="O102" s="237">
        <f t="shared" si="42"/>
        <v>0</v>
      </c>
      <c r="P102" s="237">
        <f t="shared" si="42"/>
        <v>0</v>
      </c>
      <c r="Q102" s="237">
        <f t="shared" si="42"/>
        <v>0</v>
      </c>
    </row>
  </sheetData>
  <mergeCells count="2">
    <mergeCell ref="H1:L1"/>
    <mergeCell ref="H45:L45"/>
  </mergeCells>
  <phoneticPr fontId="0" type="noConversion"/>
  <printOptions horizontalCentered="1" gridLines="1" gridLinesSet="0"/>
  <pageMargins left="0.2" right="0.25" top="0.66" bottom="0.55000000000000004" header="0.17" footer="0.25"/>
  <pageSetup scale="76" fitToHeight="2" orientation="landscape" r:id="rId1"/>
  <headerFooter alignWithMargins="0">
    <oddHeader>&amp;C&amp;"Times New Roman,Bold"&amp;16Cash Flow Statement</oddHeader>
    <oddFooter>&amp;L&amp;D &amp;T&amp;R&amp;F</oddFooter>
  </headerFooter>
  <rowBreaks count="1" manualBreakCount="1">
    <brk id="44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D55"/>
  <sheetViews>
    <sheetView zoomScaleNormal="100" workbookViewId="0">
      <pane ySplit="3" topLeftCell="A28" activePane="bottomLeft" state="frozen"/>
      <selection pane="bottomLeft" activeCell="H34" sqref="H34"/>
    </sheetView>
  </sheetViews>
  <sheetFormatPr baseColWidth="10" defaultColWidth="8.83203125" defaultRowHeight="13" x14ac:dyDescent="0.15"/>
  <cols>
    <col min="1" max="1" width="30.6640625" customWidth="1"/>
    <col min="2" max="3" width="4.6640625" customWidth="1"/>
    <col min="4" max="4" width="9.1640625" hidden="1" customWidth="1"/>
    <col min="6" max="6" width="9.1640625" customWidth="1"/>
  </cols>
  <sheetData>
    <row r="1" spans="1:30" ht="33.75" customHeight="1" thickBot="1" x14ac:dyDescent="0.25">
      <c r="A1" s="18"/>
      <c r="B1" s="18"/>
      <c r="C1" s="18"/>
      <c r="D1" s="18"/>
      <c r="E1" s="18"/>
      <c r="F1" s="18"/>
      <c r="G1" s="18"/>
      <c r="H1" s="319" t="str">
        <f>Start!C6</f>
        <v>Serious Shea</v>
      </c>
      <c r="I1" s="319"/>
      <c r="J1" s="319"/>
      <c r="K1" s="319"/>
      <c r="L1" s="319"/>
      <c r="M1" s="18"/>
      <c r="N1" s="18"/>
      <c r="O1" s="18"/>
      <c r="P1" s="18"/>
      <c r="Q1" s="18"/>
    </row>
    <row r="2" spans="1:30" s="2" customFormat="1" ht="14" thickTop="1" x14ac:dyDescent="0.15">
      <c r="A2" s="34" t="s">
        <v>1</v>
      </c>
      <c r="B2" s="35"/>
      <c r="C2" s="35"/>
      <c r="D2" s="177">
        <f>HistoricalData!D6</f>
        <v>2021</v>
      </c>
      <c r="E2" s="35">
        <f>Assumptions!D1</f>
        <v>2022</v>
      </c>
      <c r="F2" s="35">
        <f t="shared" ref="F2:L2" si="0">E2+1</f>
        <v>2023</v>
      </c>
      <c r="G2" s="35">
        <f t="shared" si="0"/>
        <v>2024</v>
      </c>
      <c r="H2" s="35">
        <f t="shared" si="0"/>
        <v>2025</v>
      </c>
      <c r="I2" s="35">
        <f t="shared" si="0"/>
        <v>2026</v>
      </c>
      <c r="J2" s="35">
        <f t="shared" si="0"/>
        <v>2027</v>
      </c>
      <c r="K2" s="35">
        <f t="shared" si="0"/>
        <v>2028</v>
      </c>
      <c r="L2" s="35">
        <f t="shared" si="0"/>
        <v>2029</v>
      </c>
      <c r="M2" s="35">
        <f>L2+1</f>
        <v>2030</v>
      </c>
      <c r="N2" s="35">
        <f>M2+1</f>
        <v>2031</v>
      </c>
      <c r="O2" s="35">
        <f>N2+1</f>
        <v>2032</v>
      </c>
      <c r="P2" s="35">
        <f>O2+1</f>
        <v>2033</v>
      </c>
      <c r="Q2" s="35">
        <f>P2+1</f>
        <v>2034</v>
      </c>
      <c r="R2"/>
      <c r="S2"/>
      <c r="T2"/>
      <c r="U2"/>
      <c r="V2"/>
      <c r="W2"/>
      <c r="X2"/>
      <c r="Y2"/>
      <c r="Z2"/>
      <c r="AA2"/>
      <c r="AB2"/>
      <c r="AC2"/>
      <c r="AD2"/>
    </row>
    <row r="3" spans="1:30" x14ac:dyDescent="0.15">
      <c r="A3" s="18"/>
      <c r="B3" s="18"/>
      <c r="C3" s="18"/>
      <c r="D3" s="71" t="s">
        <v>219</v>
      </c>
      <c r="E3" s="71" t="s">
        <v>207</v>
      </c>
      <c r="F3" s="71" t="s">
        <v>207</v>
      </c>
      <c r="G3" s="71" t="s">
        <v>207</v>
      </c>
      <c r="H3" s="71" t="s">
        <v>207</v>
      </c>
      <c r="I3" s="71" t="s">
        <v>207</v>
      </c>
      <c r="J3" s="71" t="s">
        <v>207</v>
      </c>
      <c r="K3" s="71" t="s">
        <v>207</v>
      </c>
      <c r="L3" s="71" t="s">
        <v>207</v>
      </c>
      <c r="M3" s="71" t="s">
        <v>207</v>
      </c>
      <c r="N3" s="71" t="s">
        <v>207</v>
      </c>
      <c r="O3" s="71" t="s">
        <v>207</v>
      </c>
      <c r="P3" s="71" t="s">
        <v>207</v>
      </c>
      <c r="Q3" s="71" t="s">
        <v>207</v>
      </c>
    </row>
    <row r="4" spans="1:30" ht="16" x14ac:dyDescent="0.2">
      <c r="A4" s="25" t="s">
        <v>21</v>
      </c>
      <c r="B4" s="18"/>
      <c r="C4" s="18"/>
      <c r="D4" s="18"/>
      <c r="E4" s="151" t="str">
        <f>IF(OR(E7&lt;0,F7&lt;0,G7&lt;0,H7&lt;0,I7&lt;0,J7&lt;0,K7&lt;0,L7&lt;0,M7&lt;0,N7&lt;0,O7&lt;0,P7&lt;0,Q7&lt;0),"WARNING:  CASH BALANCE IS NEGATIVE IN ONE OR MORE PERIODS","   ")</f>
        <v>WARNING:  CASH BALANCE IS NEGATIVE IN ONE OR MORE PERIODS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</row>
    <row r="5" spans="1:30" s="6" customFormat="1" x14ac:dyDescent="0.1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6" customFormat="1" x14ac:dyDescent="0.15">
      <c r="A6" s="75" t="s">
        <v>22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6" customFormat="1" x14ac:dyDescent="0.15">
      <c r="A7" s="73" t="s">
        <v>23</v>
      </c>
      <c r="B7" s="73"/>
      <c r="C7" s="73"/>
      <c r="D7" s="232">
        <f>CashFlow!D42</f>
        <v>0</v>
      </c>
      <c r="E7" s="233">
        <f>CashFlow!E42</f>
        <v>-2498.4750000000004</v>
      </c>
      <c r="F7" s="233">
        <f>CashFlow!F42</f>
        <v>285.88644805263084</v>
      </c>
      <c r="G7" s="233">
        <f>CashFlow!G42</f>
        <v>3112.4509487368409</v>
      </c>
      <c r="H7" s="233">
        <f>CashFlow!H42</f>
        <v>5981.2185020526304</v>
      </c>
      <c r="I7" s="233">
        <f>CashFlow!I42</f>
        <v>8892.1891079999987</v>
      </c>
      <c r="J7" s="233">
        <f>CashFlow!J42</f>
        <v>11845.362766578946</v>
      </c>
      <c r="K7" s="233">
        <f>CashFlow!K42</f>
        <v>14840.739477789473</v>
      </c>
      <c r="L7" s="233">
        <f>CashFlow!L42</f>
        <v>17878.31924163158</v>
      </c>
      <c r="M7" s="233">
        <f>CashFlow!M42</f>
        <v>20958.102058105265</v>
      </c>
      <c r="N7" s="233">
        <f>CashFlow!N42</f>
        <v>24080.08792721053</v>
      </c>
      <c r="O7" s="233">
        <f>CashFlow!O42</f>
        <v>23675.116111421055</v>
      </c>
      <c r="P7" s="233">
        <f>CashFlow!P42</f>
        <v>23675.116111421055</v>
      </c>
      <c r="Q7" s="233">
        <f>CashFlow!Q42</f>
        <v>23675.116111421055</v>
      </c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6" customFormat="1" x14ac:dyDescent="0.15">
      <c r="A8" s="73" t="s">
        <v>24</v>
      </c>
      <c r="B8" s="73"/>
      <c r="C8" s="73"/>
      <c r="D8" s="236"/>
      <c r="E8" s="233">
        <f>-CashFlow!E41</f>
        <v>0</v>
      </c>
      <c r="F8" s="233">
        <f>E8-CashFlow!F41</f>
        <v>0</v>
      </c>
      <c r="G8" s="233">
        <f>F8-CashFlow!G41</f>
        <v>0</v>
      </c>
      <c r="H8" s="233">
        <f>G8-CashFlow!H41</f>
        <v>0</v>
      </c>
      <c r="I8" s="233">
        <f>H8-CashFlow!I41</f>
        <v>0</v>
      </c>
      <c r="J8" s="233">
        <f>I8-CashFlow!J41</f>
        <v>0</v>
      </c>
      <c r="K8" s="233">
        <f>J8-CashFlow!K41</f>
        <v>0</v>
      </c>
      <c r="L8" s="233">
        <f>K8-CashFlow!L41</f>
        <v>0</v>
      </c>
      <c r="M8" s="233">
        <f>L8-CashFlow!M41</f>
        <v>0</v>
      </c>
      <c r="N8" s="233">
        <f>M8-CashFlow!N41</f>
        <v>0</v>
      </c>
      <c r="O8" s="233">
        <f>N8-CashFlow!O41</f>
        <v>0</v>
      </c>
      <c r="P8" s="233">
        <f>O8-CashFlow!P41</f>
        <v>0</v>
      </c>
      <c r="Q8" s="233">
        <f>P8-CashFlow!Q41</f>
        <v>0</v>
      </c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6" customFormat="1" x14ac:dyDescent="0.15">
      <c r="A9" s="73" t="s">
        <v>25</v>
      </c>
      <c r="B9" s="73"/>
      <c r="C9" s="73"/>
      <c r="D9" s="232">
        <f>IF(ISBLANK(HistoricalData!$D$10)=TRUE,SUM(HistoricalData!D15:D16),SUM(HistoricalData!D78:D79))</f>
        <v>0</v>
      </c>
      <c r="E9" s="233">
        <f>(Income!F10/360)*Assumptions!D168</f>
        <v>0</v>
      </c>
      <c r="F9" s="233">
        <f>(Income!H10/360)*Assumptions!E168</f>
        <v>0</v>
      </c>
      <c r="G9" s="233">
        <f>(Income!J10/360)*Assumptions!F168</f>
        <v>0</v>
      </c>
      <c r="H9" s="233">
        <f>(Income!L10/360)*Assumptions!G168</f>
        <v>0</v>
      </c>
      <c r="I9" s="233">
        <f>(Income!N10/360)*Assumptions!H168</f>
        <v>0</v>
      </c>
      <c r="J9" s="233">
        <f>(Income!P10/360)*Assumptions!I168</f>
        <v>0</v>
      </c>
      <c r="K9" s="233">
        <f>(Income!R10/360)*Assumptions!J168</f>
        <v>0</v>
      </c>
      <c r="L9" s="233">
        <f>(Income!T10/360)*Assumptions!K168</f>
        <v>0</v>
      </c>
      <c r="M9" s="233">
        <f>(Income!V10/360)*Assumptions!L168</f>
        <v>0</v>
      </c>
      <c r="N9" s="233">
        <f>(Income!X10/360)*Assumptions!M168</f>
        <v>0</v>
      </c>
      <c r="O9" s="233">
        <f>(Income!Z10/360)*Assumptions!N168</f>
        <v>0</v>
      </c>
      <c r="P9" s="233">
        <f>(Income!AB10/360)*Assumptions!O168</f>
        <v>0</v>
      </c>
      <c r="Q9" s="233">
        <f>(Income!AD10/360)*Assumptions!P168</f>
        <v>0</v>
      </c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6" customFormat="1" x14ac:dyDescent="0.15">
      <c r="A10" s="73" t="s">
        <v>26</v>
      </c>
      <c r="B10" s="73"/>
      <c r="C10" s="73"/>
      <c r="D10" s="232">
        <f>IF(ISBLANK(HistoricalData!$D$10)=TRUE,HistoricalData!D17,HistoricalData!D80)</f>
        <v>0</v>
      </c>
      <c r="E10" s="233">
        <f>(Income!F12/360)*Assumptions!D169</f>
        <v>0</v>
      </c>
      <c r="F10" s="233">
        <f>(Income!H12/360)*Assumptions!E169</f>
        <v>0</v>
      </c>
      <c r="G10" s="233">
        <f>(Income!J12/360)*Assumptions!F169</f>
        <v>0</v>
      </c>
      <c r="H10" s="233">
        <f>(Income!L12/360)*Assumptions!G169</f>
        <v>0</v>
      </c>
      <c r="I10" s="233">
        <f>(Income!N12/360)*Assumptions!H169</f>
        <v>0</v>
      </c>
      <c r="J10" s="233">
        <f>(Income!P12/360)*Assumptions!I169</f>
        <v>0</v>
      </c>
      <c r="K10" s="233">
        <f>(Income!R12/360)*Assumptions!J169</f>
        <v>0</v>
      </c>
      <c r="L10" s="233">
        <f>(Income!T12/360)*Assumptions!K169</f>
        <v>0</v>
      </c>
      <c r="M10" s="233">
        <f>(Income!V12/360)*Assumptions!L169</f>
        <v>0</v>
      </c>
      <c r="N10" s="233">
        <f>(Income!X12/360)*Assumptions!M169</f>
        <v>0</v>
      </c>
      <c r="O10" s="233">
        <f>(Income!Z12/360)*Assumptions!N169</f>
        <v>0</v>
      </c>
      <c r="P10" s="233">
        <f>(Income!AB12/360)*Assumptions!O169</f>
        <v>0</v>
      </c>
      <c r="Q10" s="233">
        <f>(Income!AD12/360)*Assumptions!P169</f>
        <v>0</v>
      </c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6" customFormat="1" x14ac:dyDescent="0.15">
      <c r="A11" s="73"/>
      <c r="B11" s="73"/>
      <c r="C11" s="7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6" customFormat="1" x14ac:dyDescent="0.15">
      <c r="A12" s="73"/>
      <c r="B12" s="73"/>
      <c r="C12" s="73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6" customFormat="1" x14ac:dyDescent="0.15">
      <c r="A13" s="76" t="s">
        <v>27</v>
      </c>
      <c r="B13" s="73"/>
      <c r="C13" s="73"/>
      <c r="D13" s="233">
        <f t="shared" ref="D13:M13" si="1">SUM(D7:D12)</f>
        <v>0</v>
      </c>
      <c r="E13" s="233">
        <f t="shared" si="1"/>
        <v>-2498.4750000000004</v>
      </c>
      <c r="F13" s="233">
        <f t="shared" si="1"/>
        <v>285.88644805263084</v>
      </c>
      <c r="G13" s="233">
        <f t="shared" si="1"/>
        <v>3112.4509487368409</v>
      </c>
      <c r="H13" s="233">
        <f t="shared" si="1"/>
        <v>5981.2185020526304</v>
      </c>
      <c r="I13" s="233">
        <f t="shared" si="1"/>
        <v>8892.1891079999987</v>
      </c>
      <c r="J13" s="233">
        <f t="shared" si="1"/>
        <v>11845.362766578946</v>
      </c>
      <c r="K13" s="233">
        <f t="shared" si="1"/>
        <v>14840.739477789473</v>
      </c>
      <c r="L13" s="233">
        <f t="shared" si="1"/>
        <v>17878.31924163158</v>
      </c>
      <c r="M13" s="233">
        <f t="shared" si="1"/>
        <v>20958.102058105265</v>
      </c>
      <c r="N13" s="233">
        <f>SUM(N7:N12)</f>
        <v>24080.08792721053</v>
      </c>
      <c r="O13" s="233">
        <f>SUM(O7:O12)</f>
        <v>23675.116111421055</v>
      </c>
      <c r="P13" s="233">
        <f>SUM(P7:P12)</f>
        <v>23675.116111421055</v>
      </c>
      <c r="Q13" s="233">
        <f>SUM(Q7:Q12)</f>
        <v>23675.116111421055</v>
      </c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6" customFormat="1" x14ac:dyDescent="0.15">
      <c r="A14" s="73"/>
      <c r="B14" s="73"/>
      <c r="C14" s="7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6" customFormat="1" x14ac:dyDescent="0.15">
      <c r="A15" s="75" t="s">
        <v>28</v>
      </c>
      <c r="B15" s="73"/>
      <c r="C15" s="73"/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185" customFormat="1" hidden="1" x14ac:dyDescent="0.15">
      <c r="A16" s="223" t="s">
        <v>222</v>
      </c>
      <c r="B16" s="102"/>
      <c r="C16" s="102"/>
      <c r="D16" s="241">
        <f>IF(ISBLANK(HistoricalData!$D$10)=TRUE,SUM(HistoricalData!D19:D26),SUM(HistoricalData!D82:D89))</f>
        <v>0</v>
      </c>
      <c r="E16" s="234">
        <f>D16</f>
        <v>0</v>
      </c>
      <c r="F16" s="234">
        <f t="shared" ref="F16:Q16" si="2">E16</f>
        <v>0</v>
      </c>
      <c r="G16" s="234">
        <f t="shared" si="2"/>
        <v>0</v>
      </c>
      <c r="H16" s="234">
        <f t="shared" si="2"/>
        <v>0</v>
      </c>
      <c r="I16" s="234">
        <f t="shared" si="2"/>
        <v>0</v>
      </c>
      <c r="J16" s="234">
        <f t="shared" si="2"/>
        <v>0</v>
      </c>
      <c r="K16" s="234">
        <f t="shared" si="2"/>
        <v>0</v>
      </c>
      <c r="L16" s="234">
        <f t="shared" si="2"/>
        <v>0</v>
      </c>
      <c r="M16" s="234">
        <f t="shared" si="2"/>
        <v>0</v>
      </c>
      <c r="N16" s="234">
        <f t="shared" si="2"/>
        <v>0</v>
      </c>
      <c r="O16" s="234">
        <f t="shared" si="2"/>
        <v>0</v>
      </c>
      <c r="P16" s="234">
        <f t="shared" si="2"/>
        <v>0</v>
      </c>
      <c r="Q16" s="234">
        <f t="shared" si="2"/>
        <v>0</v>
      </c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s="6" customFormat="1" x14ac:dyDescent="0.15">
      <c r="A17" s="73" t="str">
        <f>Assumptions!A58</f>
        <v>Building&amp;Equipment Costs of Collection Centers</v>
      </c>
      <c r="B17" s="73"/>
      <c r="C17" s="73"/>
      <c r="D17" s="236"/>
      <c r="E17" s="233">
        <f>Assumptions!D58</f>
        <v>6054.6840000000002</v>
      </c>
      <c r="F17" s="233">
        <v>0</v>
      </c>
      <c r="G17" s="233">
        <f>F17+Assumptions!F58</f>
        <v>0</v>
      </c>
      <c r="H17" s="233">
        <f>G17+Assumptions!G58</f>
        <v>0</v>
      </c>
      <c r="I17" s="233">
        <f>H17+Assumptions!H58</f>
        <v>0</v>
      </c>
      <c r="J17" s="233">
        <f>I17+Assumptions!I58</f>
        <v>0</v>
      </c>
      <c r="K17" s="233">
        <f>J17+Assumptions!J58</f>
        <v>0</v>
      </c>
      <c r="L17" s="233">
        <f>K17+Assumptions!K58</f>
        <v>0</v>
      </c>
      <c r="M17" s="233">
        <f>L17+Assumptions!L58</f>
        <v>0</v>
      </c>
      <c r="N17" s="233">
        <f>M17+Assumptions!M58</f>
        <v>0</v>
      </c>
      <c r="O17" s="233">
        <f>N17+Assumptions!N58</f>
        <v>0</v>
      </c>
      <c r="P17" s="233">
        <f>O17+Assumptions!O58</f>
        <v>0</v>
      </c>
      <c r="Q17" s="233">
        <f>P17+Assumptions!P58</f>
        <v>0</v>
      </c>
      <c r="R17" s="283"/>
      <c r="S17"/>
      <c r="T17"/>
      <c r="U17"/>
      <c r="V17"/>
      <c r="W17"/>
      <c r="X17"/>
      <c r="Y17"/>
      <c r="Z17"/>
      <c r="AA17"/>
      <c r="AB17"/>
      <c r="AC17"/>
      <c r="AD17"/>
    </row>
    <row r="18" spans="1:30" s="6" customFormat="1" x14ac:dyDescent="0.15">
      <c r="A18" s="73" t="str">
        <f>Assumptions!A59</f>
        <v>Building&amp;Equipment Costs of Processing Centers</v>
      </c>
      <c r="B18" s="73"/>
      <c r="C18" s="73"/>
      <c r="D18" s="236"/>
      <c r="E18" s="233">
        <f>Assumptions!D59</f>
        <v>2035.7190000000001</v>
      </c>
      <c r="F18" s="233">
        <v>0</v>
      </c>
      <c r="G18" s="233">
        <f>F18+Assumptions!F59</f>
        <v>0</v>
      </c>
      <c r="H18" s="233">
        <f>G18+Assumptions!G59</f>
        <v>0</v>
      </c>
      <c r="I18" s="233">
        <f>H18+Assumptions!H59</f>
        <v>0</v>
      </c>
      <c r="J18" s="233">
        <f>I18+Assumptions!I59</f>
        <v>0</v>
      </c>
      <c r="K18" s="233">
        <f>J18+Assumptions!J59</f>
        <v>0</v>
      </c>
      <c r="L18" s="233">
        <f>K18+Assumptions!K59</f>
        <v>0</v>
      </c>
      <c r="M18" s="233">
        <f>L18+Assumptions!L59</f>
        <v>0</v>
      </c>
      <c r="N18" s="233">
        <f>M18+Assumptions!M59</f>
        <v>0</v>
      </c>
      <c r="O18" s="233">
        <f>N18+Assumptions!N59</f>
        <v>0</v>
      </c>
      <c r="P18" s="233">
        <f>O18+Assumptions!O59</f>
        <v>0</v>
      </c>
      <c r="Q18" s="233">
        <f>P18+Assumptions!P59</f>
        <v>0</v>
      </c>
      <c r="R18" s="284"/>
      <c r="S18"/>
      <c r="T18"/>
      <c r="U18"/>
      <c r="V18"/>
      <c r="W18"/>
      <c r="X18"/>
      <c r="Y18"/>
      <c r="Z18"/>
      <c r="AA18"/>
      <c r="AB18"/>
      <c r="AC18"/>
      <c r="AD18"/>
    </row>
    <row r="19" spans="1:30" s="6" customFormat="1" x14ac:dyDescent="0.15">
      <c r="A19" s="73" t="str">
        <f>Assumptions!A60</f>
        <v>Environmental Impact Study Cost</v>
      </c>
      <c r="B19" s="73"/>
      <c r="C19" s="73"/>
      <c r="D19" s="236"/>
      <c r="E19" s="233">
        <f>Assumptions!D60</f>
        <v>1.8</v>
      </c>
      <c r="F19" s="233">
        <v>0</v>
      </c>
      <c r="G19" s="233">
        <f>F19+Assumptions!F60</f>
        <v>0</v>
      </c>
      <c r="H19" s="233">
        <f>G19+Assumptions!G60</f>
        <v>0</v>
      </c>
      <c r="I19" s="233">
        <f>H19+Assumptions!H60</f>
        <v>0</v>
      </c>
      <c r="J19" s="233">
        <f>I19+Assumptions!I60</f>
        <v>0</v>
      </c>
      <c r="K19" s="233">
        <f>J19+Assumptions!J60</f>
        <v>0</v>
      </c>
      <c r="L19" s="233">
        <f>K19+Assumptions!K60</f>
        <v>0</v>
      </c>
      <c r="M19" s="233">
        <f>L19+Assumptions!L60</f>
        <v>0</v>
      </c>
      <c r="N19" s="233">
        <f>M19+Assumptions!M60</f>
        <v>0</v>
      </c>
      <c r="O19" s="233">
        <f>N19+Assumptions!N60</f>
        <v>0</v>
      </c>
      <c r="P19" s="233">
        <f>O19+Assumptions!O60</f>
        <v>0</v>
      </c>
      <c r="Q19" s="233">
        <f>P19+Assumptions!P60</f>
        <v>0</v>
      </c>
      <c r="R19" s="284"/>
      <c r="S19"/>
      <c r="T19"/>
      <c r="U19"/>
      <c r="V19"/>
      <c r="W19"/>
      <c r="X19"/>
      <c r="Y19"/>
      <c r="Z19"/>
      <c r="AA19"/>
      <c r="AB19"/>
      <c r="AC19"/>
      <c r="AD19"/>
    </row>
    <row r="20" spans="1:30" s="6" customFormat="1" x14ac:dyDescent="0.15">
      <c r="A20" s="73" t="str">
        <f>Assumptions!A61</f>
        <v>Development of the constitution and bylaws of texts training, registration cost of the COOP-CA cooperative society</v>
      </c>
      <c r="B20" s="73"/>
      <c r="C20" s="73"/>
      <c r="D20" s="236"/>
      <c r="E20" s="233">
        <f>Assumptions!D61</f>
        <v>2.7</v>
      </c>
      <c r="F20" s="233">
        <v>0</v>
      </c>
      <c r="G20" s="233">
        <f>F20+Assumptions!F61</f>
        <v>0</v>
      </c>
      <c r="H20" s="233">
        <f>G20+Assumptions!G61</f>
        <v>0</v>
      </c>
      <c r="I20" s="233">
        <f>H20+Assumptions!H61</f>
        <v>0</v>
      </c>
      <c r="J20" s="233">
        <f>I20+Assumptions!I61</f>
        <v>0</v>
      </c>
      <c r="K20" s="233">
        <f>J20+Assumptions!J61</f>
        <v>0</v>
      </c>
      <c r="L20" s="233">
        <f>K20+Assumptions!K61</f>
        <v>0</v>
      </c>
      <c r="M20" s="233">
        <f>L20+Assumptions!L61</f>
        <v>0</v>
      </c>
      <c r="N20" s="233">
        <f>M20+Assumptions!M61</f>
        <v>0</v>
      </c>
      <c r="O20" s="233">
        <f>N20+Assumptions!N61</f>
        <v>0</v>
      </c>
      <c r="P20" s="233">
        <f>O20+Assumptions!O61</f>
        <v>0</v>
      </c>
      <c r="Q20" s="233">
        <f>P20+Assumptions!P61</f>
        <v>0</v>
      </c>
      <c r="R20" s="284"/>
      <c r="S20"/>
      <c r="T20"/>
      <c r="U20"/>
      <c r="V20"/>
      <c r="W20"/>
      <c r="X20"/>
      <c r="Y20"/>
      <c r="Z20"/>
      <c r="AA20"/>
      <c r="AB20"/>
      <c r="AC20"/>
      <c r="AD20"/>
    </row>
    <row r="21" spans="1:30" s="6" customFormat="1" x14ac:dyDescent="0.15">
      <c r="A21" s="73" t="str">
        <f>Assumptions!A62</f>
        <v>Office equipment and furniture</v>
      </c>
      <c r="B21" s="73"/>
      <c r="C21" s="73"/>
      <c r="D21" s="236"/>
      <c r="E21" s="233">
        <f>Assumptions!D62</f>
        <v>81</v>
      </c>
      <c r="F21" s="233">
        <v>0</v>
      </c>
      <c r="G21" s="233">
        <f>F21+Assumptions!F62</f>
        <v>0</v>
      </c>
      <c r="H21" s="233">
        <f>G21+Assumptions!G62</f>
        <v>0</v>
      </c>
      <c r="I21" s="233">
        <f>H21+Assumptions!H62</f>
        <v>0</v>
      </c>
      <c r="J21" s="233">
        <f>I21+Assumptions!I62</f>
        <v>0</v>
      </c>
      <c r="K21" s="233">
        <f>J21+Assumptions!J62</f>
        <v>0</v>
      </c>
      <c r="L21" s="233">
        <f>K21+Assumptions!K62</f>
        <v>0</v>
      </c>
      <c r="M21" s="233">
        <f>L21+Assumptions!L62</f>
        <v>0</v>
      </c>
      <c r="N21" s="233">
        <f>M21+Assumptions!M62</f>
        <v>0</v>
      </c>
      <c r="O21" s="233">
        <f>N21+Assumptions!N62</f>
        <v>0</v>
      </c>
      <c r="P21" s="233">
        <f>O21+Assumptions!O62</f>
        <v>0</v>
      </c>
      <c r="Q21" s="233">
        <f>P21+Assumptions!P62</f>
        <v>0</v>
      </c>
      <c r="R21" s="284"/>
      <c r="S21"/>
      <c r="T21"/>
      <c r="U21"/>
      <c r="V21"/>
      <c r="W21"/>
      <c r="X21"/>
      <c r="Y21"/>
      <c r="Z21"/>
      <c r="AA21"/>
      <c r="AB21"/>
      <c r="AC21"/>
      <c r="AD21"/>
    </row>
    <row r="22" spans="1:30" s="6" customFormat="1" x14ac:dyDescent="0.15">
      <c r="A22" s="73" t="str">
        <f>Assumptions!A63</f>
        <v>Computer equipment and accessories (printer, internet key) + facilities</v>
      </c>
      <c r="B22" s="73"/>
      <c r="C22" s="73"/>
      <c r="D22" s="236"/>
      <c r="E22" s="233">
        <f>Assumptions!D63</f>
        <v>18.899999999999999</v>
      </c>
      <c r="F22" s="233">
        <v>0</v>
      </c>
      <c r="G22" s="233">
        <f>F22+Assumptions!F63</f>
        <v>0</v>
      </c>
      <c r="H22" s="233">
        <f>G22+Assumptions!G63</f>
        <v>0</v>
      </c>
      <c r="I22" s="233">
        <f>H22+Assumptions!H63</f>
        <v>0</v>
      </c>
      <c r="J22" s="233">
        <f>I22+Assumptions!I63</f>
        <v>0</v>
      </c>
      <c r="K22" s="233">
        <f>J22+Assumptions!J63</f>
        <v>0</v>
      </c>
      <c r="L22" s="233">
        <f>K22+Assumptions!K63</f>
        <v>0</v>
      </c>
      <c r="M22" s="233">
        <f>L22+Assumptions!L63</f>
        <v>0</v>
      </c>
      <c r="N22" s="233">
        <f>M22+Assumptions!M63</f>
        <v>0</v>
      </c>
      <c r="O22" s="233">
        <f>N22+Assumptions!N63</f>
        <v>0</v>
      </c>
      <c r="P22" s="233">
        <f>O22+Assumptions!O63</f>
        <v>0</v>
      </c>
      <c r="Q22" s="233">
        <f>P22+Assumptions!P63</f>
        <v>0</v>
      </c>
      <c r="R22" s="284"/>
      <c r="S22"/>
      <c r="T22"/>
      <c r="U22"/>
      <c r="V22"/>
      <c r="W22"/>
      <c r="X22"/>
      <c r="Y22"/>
      <c r="Z22"/>
      <c r="AA22"/>
      <c r="AB22"/>
      <c r="AC22"/>
      <c r="AD22"/>
    </row>
    <row r="23" spans="1:30" s="6" customFormat="1" x14ac:dyDescent="0.15">
      <c r="A23" s="73" t="str">
        <f>Assumptions!A64</f>
        <v>Start-up costs</v>
      </c>
      <c r="B23" s="73"/>
      <c r="C23" s="73"/>
      <c r="D23" s="236"/>
      <c r="E23" s="233">
        <f>Assumptions!D64</f>
        <v>500</v>
      </c>
      <c r="F23" s="233">
        <v>0</v>
      </c>
      <c r="G23" s="233">
        <f>F23+Assumptions!F64</f>
        <v>0</v>
      </c>
      <c r="H23" s="233">
        <f>G23+Assumptions!G64</f>
        <v>0</v>
      </c>
      <c r="I23" s="233">
        <f>H23+Assumptions!H64</f>
        <v>0</v>
      </c>
      <c r="J23" s="233">
        <f>I23+Assumptions!I64</f>
        <v>0</v>
      </c>
      <c r="K23" s="233">
        <f>J23+Assumptions!J64</f>
        <v>0</v>
      </c>
      <c r="L23" s="233">
        <f>K23+Assumptions!K64</f>
        <v>0</v>
      </c>
      <c r="M23" s="233">
        <f>L23+Assumptions!L64</f>
        <v>0</v>
      </c>
      <c r="N23" s="233">
        <f>M23+Assumptions!M64</f>
        <v>0</v>
      </c>
      <c r="O23" s="233">
        <f>N23+Assumptions!N64</f>
        <v>0</v>
      </c>
      <c r="P23" s="233">
        <f>O23+Assumptions!O64</f>
        <v>0</v>
      </c>
      <c r="Q23" s="233">
        <f>P23+Assumptions!P64</f>
        <v>0</v>
      </c>
      <c r="R23" s="284"/>
      <c r="S23"/>
      <c r="T23"/>
      <c r="U23"/>
      <c r="V23"/>
      <c r="W23"/>
      <c r="X23"/>
      <c r="Y23"/>
      <c r="Z23"/>
      <c r="AA23"/>
      <c r="AB23"/>
      <c r="AC23"/>
      <c r="AD23"/>
    </row>
    <row r="24" spans="1:30" s="6" customFormat="1" x14ac:dyDescent="0.15">
      <c r="A24" s="73" t="str">
        <f>Assumptions!A65</f>
        <v>Initial procurement (to be deducted from 1st year)</v>
      </c>
      <c r="B24" s="73"/>
      <c r="C24" s="73"/>
      <c r="D24" s="236"/>
      <c r="E24" s="233">
        <f>Assumptions!D65</f>
        <v>800</v>
      </c>
      <c r="F24" s="233">
        <v>0</v>
      </c>
      <c r="G24" s="233">
        <f>F24+Assumptions!F65</f>
        <v>0</v>
      </c>
      <c r="H24" s="233">
        <f>G24+Assumptions!G65</f>
        <v>0</v>
      </c>
      <c r="I24" s="233">
        <f>H24+Assumptions!H65</f>
        <v>0</v>
      </c>
      <c r="J24" s="233">
        <f>I24+Assumptions!I65</f>
        <v>0</v>
      </c>
      <c r="K24" s="233">
        <f>J24+Assumptions!J65</f>
        <v>0</v>
      </c>
      <c r="L24" s="233">
        <f>K24+Assumptions!K65</f>
        <v>0</v>
      </c>
      <c r="M24" s="233">
        <f>L24+Assumptions!L65</f>
        <v>0</v>
      </c>
      <c r="N24" s="233">
        <f>M24+Assumptions!M65</f>
        <v>0</v>
      </c>
      <c r="O24" s="233">
        <f>N24+Assumptions!N65</f>
        <v>0</v>
      </c>
      <c r="P24" s="233">
        <f>O24+Assumptions!O65</f>
        <v>0</v>
      </c>
      <c r="Q24" s="233">
        <f>P24+Assumptions!P65</f>
        <v>0</v>
      </c>
      <c r="R24" s="28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6" customFormat="1" x14ac:dyDescent="0.15">
      <c r="A25" s="73" t="str">
        <f>Assumptions!A66</f>
        <v>Software and Training</v>
      </c>
      <c r="B25" s="73"/>
      <c r="C25" s="73"/>
      <c r="D25" s="236"/>
      <c r="E25" s="233">
        <f>Assumptions!D66</f>
        <v>350</v>
      </c>
      <c r="F25" s="233">
        <v>0</v>
      </c>
      <c r="G25" s="233">
        <f>F25+Assumptions!F66</f>
        <v>0</v>
      </c>
      <c r="H25" s="233">
        <f>G25+Assumptions!G66</f>
        <v>0</v>
      </c>
      <c r="I25" s="233">
        <f>H25+Assumptions!H66</f>
        <v>0</v>
      </c>
      <c r="J25" s="233">
        <f>I25+Assumptions!I66</f>
        <v>0</v>
      </c>
      <c r="K25" s="233">
        <f>J25+Assumptions!J66</f>
        <v>0</v>
      </c>
      <c r="L25" s="233">
        <f>K25+Assumptions!K66</f>
        <v>0</v>
      </c>
      <c r="M25" s="233">
        <f>L25+Assumptions!L66</f>
        <v>0</v>
      </c>
      <c r="N25" s="233">
        <f>M25+Assumptions!M66</f>
        <v>0</v>
      </c>
      <c r="O25" s="233">
        <f>N25+Assumptions!N66</f>
        <v>0</v>
      </c>
      <c r="P25" s="233">
        <f>O25+Assumptions!O66</f>
        <v>0</v>
      </c>
      <c r="Q25" s="233">
        <f>P25+Assumptions!P66</f>
        <v>0</v>
      </c>
      <c r="R25" s="284"/>
      <c r="S25"/>
      <c r="T25"/>
      <c r="U25"/>
      <c r="V25"/>
      <c r="W25"/>
      <c r="X25"/>
      <c r="Y25"/>
      <c r="Z25"/>
      <c r="AA25"/>
      <c r="AB25"/>
      <c r="AC25"/>
      <c r="AD25"/>
    </row>
    <row r="26" spans="1:30" s="6" customFormat="1" x14ac:dyDescent="0.15">
      <c r="A26" s="73" t="str">
        <f>Assumptions!A67</f>
        <v>Loan Proccesing Fee</v>
      </c>
      <c r="B26" s="73"/>
      <c r="C26" s="73"/>
      <c r="D26" s="236"/>
      <c r="E26" s="233">
        <f>Assumptions!D67</f>
        <v>147.672</v>
      </c>
      <c r="F26" s="233">
        <v>0</v>
      </c>
      <c r="G26" s="233">
        <f>F26+Assumptions!F67</f>
        <v>0</v>
      </c>
      <c r="H26" s="233">
        <f>G26+Assumptions!G67</f>
        <v>0</v>
      </c>
      <c r="I26" s="233">
        <f>H26+Assumptions!H67</f>
        <v>0</v>
      </c>
      <c r="J26" s="233">
        <f>I26+Assumptions!I67</f>
        <v>0</v>
      </c>
      <c r="K26" s="233">
        <f>J26+Assumptions!J67</f>
        <v>0</v>
      </c>
      <c r="L26" s="233">
        <f>K26+Assumptions!K67</f>
        <v>0</v>
      </c>
      <c r="M26" s="233">
        <f>L26+Assumptions!L67</f>
        <v>0</v>
      </c>
      <c r="N26" s="233">
        <f>M26+Assumptions!M67</f>
        <v>0</v>
      </c>
      <c r="O26" s="233">
        <f>N26+Assumptions!N67</f>
        <v>0</v>
      </c>
      <c r="P26" s="233">
        <f>O26+Assumptions!O67</f>
        <v>0</v>
      </c>
      <c r="Q26" s="233">
        <f>P26+Assumptions!P67</f>
        <v>0</v>
      </c>
      <c r="R26" s="284"/>
      <c r="S26"/>
      <c r="T26"/>
      <c r="U26"/>
      <c r="V26"/>
      <c r="W26"/>
      <c r="X26"/>
      <c r="Y26"/>
      <c r="Z26"/>
      <c r="AA26"/>
      <c r="AB26"/>
      <c r="AC26"/>
      <c r="AD26"/>
    </row>
    <row r="27" spans="1:30" s="6" customFormat="1" x14ac:dyDescent="0.15">
      <c r="A27" s="73" t="s">
        <v>29</v>
      </c>
      <c r="B27" s="73"/>
      <c r="C27" s="73"/>
      <c r="D27" s="232">
        <f>IF(ISBLANK(HistoricalData!$D$10)=TRUE,HistoricalData!D27,HistoricalData!D90)</f>
        <v>0</v>
      </c>
      <c r="E27" s="234">
        <f>D27-Assumptions!D165</f>
        <v>0</v>
      </c>
      <c r="F27" s="234">
        <f>E27-Assumptions!E165</f>
        <v>-819.03030000000001</v>
      </c>
      <c r="G27" s="234">
        <f>F27-Assumptions!F165</f>
        <v>-1638.0606</v>
      </c>
      <c r="H27" s="234">
        <f>G27-Assumptions!G165</f>
        <v>-2457.0909000000001</v>
      </c>
      <c r="I27" s="234">
        <f>H27-Assumptions!H165</f>
        <v>-3276.1212</v>
      </c>
      <c r="J27" s="234">
        <f>I27-Assumptions!I165</f>
        <v>-4095.1514999999999</v>
      </c>
      <c r="K27" s="234">
        <f>J27-Assumptions!J165</f>
        <v>-4914.1818000000003</v>
      </c>
      <c r="L27" s="234">
        <f>K27-Assumptions!K165</f>
        <v>-5733.2121000000006</v>
      </c>
      <c r="M27" s="234">
        <f>L27-Assumptions!L165</f>
        <v>-6552.242400000001</v>
      </c>
      <c r="N27" s="234">
        <f>M27-Assumptions!M165</f>
        <v>-7371.2727000000014</v>
      </c>
      <c r="O27" s="234">
        <v>0</v>
      </c>
      <c r="P27" s="234">
        <v>0</v>
      </c>
      <c r="Q27" s="234">
        <f>P27-Assumptions!P165</f>
        <v>0</v>
      </c>
      <c r="R27" s="12"/>
      <c r="S27"/>
      <c r="T27"/>
      <c r="U27"/>
      <c r="V27"/>
      <c r="W27"/>
      <c r="X27"/>
      <c r="Y27"/>
      <c r="Z27"/>
      <c r="AA27"/>
      <c r="AB27"/>
      <c r="AC27"/>
      <c r="AD27"/>
    </row>
    <row r="28" spans="1:30" s="6" customFormat="1" x14ac:dyDescent="0.15">
      <c r="A28" s="76" t="s">
        <v>30</v>
      </c>
      <c r="B28" s="73"/>
      <c r="C28" s="73"/>
      <c r="D28" s="233">
        <f>SUM(D16:D27)</f>
        <v>0</v>
      </c>
      <c r="E28" s="233">
        <f t="shared" ref="E28:Q28" si="3">SUM(E16:E27)</f>
        <v>9992.4750000000004</v>
      </c>
      <c r="F28" s="233">
        <f t="shared" si="3"/>
        <v>-819.03030000000001</v>
      </c>
      <c r="G28" s="233">
        <f t="shared" si="3"/>
        <v>-1638.0606</v>
      </c>
      <c r="H28" s="233">
        <f t="shared" si="3"/>
        <v>-2457.0909000000001</v>
      </c>
      <c r="I28" s="233">
        <f t="shared" si="3"/>
        <v>-3276.1212</v>
      </c>
      <c r="J28" s="233">
        <f t="shared" si="3"/>
        <v>-4095.1514999999999</v>
      </c>
      <c r="K28" s="233">
        <f t="shared" si="3"/>
        <v>-4914.1818000000003</v>
      </c>
      <c r="L28" s="233">
        <f t="shared" si="3"/>
        <v>-5733.2121000000006</v>
      </c>
      <c r="M28" s="233">
        <f t="shared" si="3"/>
        <v>-6552.242400000001</v>
      </c>
      <c r="N28" s="233">
        <f t="shared" si="3"/>
        <v>-7371.2727000000014</v>
      </c>
      <c r="O28" s="233">
        <v>0</v>
      </c>
      <c r="P28" s="233">
        <v>0</v>
      </c>
      <c r="Q28" s="233">
        <f t="shared" si="3"/>
        <v>0</v>
      </c>
      <c r="R28" s="12"/>
      <c r="S28"/>
      <c r="T28"/>
      <c r="U28"/>
      <c r="V28"/>
      <c r="W28"/>
      <c r="X28"/>
      <c r="Y28"/>
      <c r="Z28"/>
      <c r="AA28"/>
      <c r="AB28"/>
      <c r="AC28"/>
      <c r="AD28"/>
    </row>
    <row r="29" spans="1:30" s="6" customFormat="1" x14ac:dyDescent="0.15">
      <c r="A29" s="76"/>
      <c r="B29" s="73"/>
      <c r="C29" s="73"/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12"/>
      <c r="S29"/>
      <c r="T29"/>
      <c r="U29"/>
      <c r="V29"/>
      <c r="W29"/>
      <c r="X29"/>
      <c r="Y29"/>
      <c r="Z29"/>
      <c r="AA29"/>
      <c r="AB29"/>
      <c r="AC29"/>
      <c r="AD29"/>
    </row>
    <row r="30" spans="1:30" s="6" customFormat="1" x14ac:dyDescent="0.15">
      <c r="A30" s="76" t="s">
        <v>31</v>
      </c>
      <c r="B30" s="73"/>
      <c r="C30" s="73"/>
      <c r="D30" s="233">
        <f t="shared" ref="D30:L30" si="4">D13+D28</f>
        <v>0</v>
      </c>
      <c r="E30" s="233">
        <f t="shared" si="4"/>
        <v>7494</v>
      </c>
      <c r="F30" s="233">
        <f t="shared" si="4"/>
        <v>-533.14385194736917</v>
      </c>
      <c r="G30" s="233">
        <f t="shared" si="4"/>
        <v>1474.3903487368409</v>
      </c>
      <c r="H30" s="233">
        <f t="shared" si="4"/>
        <v>3524.1276020526302</v>
      </c>
      <c r="I30" s="233">
        <f t="shared" si="4"/>
        <v>5616.0679079999991</v>
      </c>
      <c r="J30" s="233">
        <f t="shared" si="4"/>
        <v>7750.2112665789464</v>
      </c>
      <c r="K30" s="233">
        <f t="shared" si="4"/>
        <v>9926.557677789473</v>
      </c>
      <c r="L30" s="233">
        <f t="shared" si="4"/>
        <v>12145.107141631579</v>
      </c>
      <c r="M30" s="233">
        <f>M13+M28</f>
        <v>14405.859658105264</v>
      </c>
      <c r="N30" s="233">
        <f>N13+N28</f>
        <v>16708.815227210529</v>
      </c>
      <c r="O30" s="233">
        <f>O13+O28</f>
        <v>23675.116111421055</v>
      </c>
      <c r="P30" s="233">
        <f>P13+P28</f>
        <v>23675.116111421055</v>
      </c>
      <c r="Q30" s="233">
        <f>Q13+Q28</f>
        <v>23675.116111421055</v>
      </c>
      <c r="R30" s="12"/>
      <c r="S30"/>
      <c r="T30"/>
      <c r="U30"/>
      <c r="V30"/>
      <c r="W30"/>
      <c r="X30"/>
      <c r="Y30"/>
      <c r="Z30"/>
      <c r="AA30"/>
      <c r="AB30"/>
      <c r="AC30"/>
      <c r="AD30"/>
    </row>
    <row r="31" spans="1:30" s="6" customFormat="1" x14ac:dyDescent="0.15">
      <c r="A31" s="73"/>
      <c r="B31" s="73"/>
      <c r="C31" s="73"/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6" customFormat="1" x14ac:dyDescent="0.15">
      <c r="A32" s="73"/>
      <c r="B32" s="73"/>
      <c r="C32" s="73"/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6" customFormat="1" ht="16" x14ac:dyDescent="0.2">
      <c r="A33" s="77" t="s">
        <v>32</v>
      </c>
      <c r="B33" s="73"/>
      <c r="C33" s="7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6" customFormat="1" x14ac:dyDescent="0.15">
      <c r="A34" s="73"/>
      <c r="B34" s="73"/>
      <c r="C34" s="73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6" customFormat="1" x14ac:dyDescent="0.15">
      <c r="A35" s="75" t="s">
        <v>33</v>
      </c>
      <c r="B35" s="73"/>
      <c r="C35" s="7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6" customFormat="1" x14ac:dyDescent="0.15">
      <c r="A36" s="105" t="s">
        <v>86</v>
      </c>
      <c r="B36" s="73"/>
      <c r="C36" s="73"/>
      <c r="D36" s="232">
        <f>IF(ISBLANK(HistoricalData!$D$10)=TRUE,HistoricalData!D32,HistoricalData!D95)</f>
        <v>0</v>
      </c>
      <c r="E36" s="233">
        <f>((Income!F12+Income!F25)/360)*Assumptions!D170</f>
        <v>0</v>
      </c>
      <c r="F36" s="233">
        <f>((Income!H12+Income!H25)/360)*Assumptions!E170</f>
        <v>0</v>
      </c>
      <c r="G36" s="233">
        <f>((Income!J12+Income!J25)/360)*Assumptions!F170</f>
        <v>0</v>
      </c>
      <c r="H36" s="233">
        <f>((Income!L12+Income!L25)/360)*Assumptions!G170</f>
        <v>0</v>
      </c>
      <c r="I36" s="233">
        <f>((Income!N12+Income!N25)/360)*Assumptions!H170</f>
        <v>0</v>
      </c>
      <c r="J36" s="233">
        <f>((Income!P12+Income!P25)/360)*Assumptions!I170</f>
        <v>0</v>
      </c>
      <c r="K36" s="233">
        <f>((Income!R12+Income!R25)/360)*Assumptions!J170</f>
        <v>0</v>
      </c>
      <c r="L36" s="233">
        <f>((Income!T12+Income!T25)/360)*Assumptions!K170</f>
        <v>0</v>
      </c>
      <c r="M36" s="233">
        <f>((Income!V12+Income!V25)/360)*Assumptions!L170</f>
        <v>0</v>
      </c>
      <c r="N36" s="233">
        <f>((Income!X12+Income!X25)/360)*Assumptions!M170</f>
        <v>0</v>
      </c>
      <c r="O36" s="233">
        <f>((Income!Z12+Income!Z25)/360)*Assumptions!N170</f>
        <v>0</v>
      </c>
      <c r="P36" s="233">
        <f>((Income!AB12+Income!AB25)/360)*Assumptions!O170</f>
        <v>0</v>
      </c>
      <c r="Q36" s="233">
        <f>((Income!AD12+Income!AD25)/360)*Assumptions!P170</f>
        <v>0</v>
      </c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6" customFormat="1" x14ac:dyDescent="0.15">
      <c r="A37" s="105" t="s">
        <v>181</v>
      </c>
      <c r="B37" s="73"/>
      <c r="C37" s="73"/>
      <c r="D37" s="232">
        <f>IF(ISBLANK(HistoricalData!$D$10)=TRUE,HistoricalData!D33,HistoricalData!D96)</f>
        <v>0</v>
      </c>
      <c r="E37" s="234">
        <f>Assumptions!D121</f>
        <v>0</v>
      </c>
      <c r="F37" s="234">
        <f>Assumptions!E121</f>
        <v>0</v>
      </c>
      <c r="G37" s="234">
        <f>Assumptions!F121</f>
        <v>0</v>
      </c>
      <c r="H37" s="234">
        <f>Assumptions!G121</f>
        <v>0</v>
      </c>
      <c r="I37" s="234">
        <f>Assumptions!H121</f>
        <v>0</v>
      </c>
      <c r="J37" s="234">
        <f>Assumptions!I121</f>
        <v>0</v>
      </c>
      <c r="K37" s="234">
        <f>Assumptions!J121</f>
        <v>0</v>
      </c>
      <c r="L37" s="234">
        <f>Assumptions!K121</f>
        <v>0</v>
      </c>
      <c r="M37" s="234">
        <f>Assumptions!L121</f>
        <v>0</v>
      </c>
      <c r="N37" s="234">
        <f>Assumptions!M121</f>
        <v>0</v>
      </c>
      <c r="O37" s="234">
        <f>Assumptions!N121</f>
        <v>0</v>
      </c>
      <c r="P37" s="234">
        <f>Assumptions!O121</f>
        <v>0</v>
      </c>
      <c r="Q37" s="234">
        <f>Assumptions!P121</f>
        <v>0</v>
      </c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6" customFormat="1" x14ac:dyDescent="0.15">
      <c r="A38" s="105" t="s">
        <v>235</v>
      </c>
      <c r="B38" s="73"/>
      <c r="C38" s="73"/>
      <c r="D38" s="232">
        <f>IF(ISBLANK(HistoricalData!$D$10)=TRUE,HistoricalData!D34,HistoricalData!D97)</f>
        <v>0</v>
      </c>
      <c r="E38" s="234">
        <f>Assumptions!E95+Assumptions!E107</f>
        <v>788.84210526315792</v>
      </c>
      <c r="F38" s="234">
        <f>Assumptions!F95+Assumptions!F107</f>
        <v>788.84210526315792</v>
      </c>
      <c r="G38" s="234">
        <f>Assumptions!G95+Assumptions!G107</f>
        <v>788.84210526315792</v>
      </c>
      <c r="H38" s="234">
        <f>Assumptions!H95+Assumptions!H107</f>
        <v>788.84210526315792</v>
      </c>
      <c r="I38" s="234">
        <f>Assumptions!I95+Assumptions!I107</f>
        <v>788.84210526315792</v>
      </c>
      <c r="J38" s="234">
        <f>Assumptions!J95+Assumptions!J107</f>
        <v>788.84210526315792</v>
      </c>
      <c r="K38" s="234">
        <f>Assumptions!K95+Assumptions!K107</f>
        <v>788.84210526315792</v>
      </c>
      <c r="L38" s="234">
        <f>Assumptions!L95+Assumptions!L107</f>
        <v>788.84210526315792</v>
      </c>
      <c r="M38" s="234">
        <f>Assumptions!M95+Assumptions!M107</f>
        <v>788.84210526315792</v>
      </c>
      <c r="N38" s="234">
        <f>Assumptions!N95+Assumptions!N107</f>
        <v>394.42105263157896</v>
      </c>
      <c r="O38" s="234">
        <f>Assumptions!O95+Assumptions!O107</f>
        <v>0</v>
      </c>
      <c r="P38" s="234">
        <f>Assumptions!P95+Assumptions!P107</f>
        <v>0</v>
      </c>
      <c r="Q38" s="234">
        <f>Assumptions!Q95+Assumptions!Q107</f>
        <v>0</v>
      </c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6" customFormat="1" x14ac:dyDescent="0.15">
      <c r="A39" s="76" t="s">
        <v>34</v>
      </c>
      <c r="B39" s="73"/>
      <c r="C39" s="73"/>
      <c r="D39" s="233">
        <f>SUM(D36:D38)</f>
        <v>0</v>
      </c>
      <c r="E39" s="233">
        <f t="shared" ref="E39:Q39" si="5">SUM(E36:E38)</f>
        <v>788.84210526315792</v>
      </c>
      <c r="F39" s="233">
        <f t="shared" si="5"/>
        <v>788.84210526315792</v>
      </c>
      <c r="G39" s="233">
        <f t="shared" si="5"/>
        <v>788.84210526315792</v>
      </c>
      <c r="H39" s="233">
        <f t="shared" si="5"/>
        <v>788.84210526315792</v>
      </c>
      <c r="I39" s="233">
        <f t="shared" si="5"/>
        <v>788.84210526315792</v>
      </c>
      <c r="J39" s="233">
        <f t="shared" si="5"/>
        <v>788.84210526315792</v>
      </c>
      <c r="K39" s="233">
        <f t="shared" si="5"/>
        <v>788.84210526315792</v>
      </c>
      <c r="L39" s="233">
        <f t="shared" si="5"/>
        <v>788.84210526315792</v>
      </c>
      <c r="M39" s="233">
        <f t="shared" si="5"/>
        <v>788.84210526315792</v>
      </c>
      <c r="N39" s="233">
        <f t="shared" si="5"/>
        <v>394.42105263157896</v>
      </c>
      <c r="O39" s="233">
        <f t="shared" si="5"/>
        <v>0</v>
      </c>
      <c r="P39" s="233">
        <f t="shared" si="5"/>
        <v>0</v>
      </c>
      <c r="Q39" s="233">
        <f t="shared" si="5"/>
        <v>0</v>
      </c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6" customFormat="1" x14ac:dyDescent="0.15">
      <c r="A40" s="76"/>
      <c r="B40" s="73"/>
      <c r="C40" s="7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6" customFormat="1" x14ac:dyDescent="0.15">
      <c r="A41" s="75" t="s">
        <v>35</v>
      </c>
      <c r="B41" s="73"/>
      <c r="C41" s="73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6" customFormat="1" x14ac:dyDescent="0.15">
      <c r="A42" s="105" t="s">
        <v>236</v>
      </c>
      <c r="B42" s="73"/>
      <c r="C42" s="73"/>
      <c r="D42" s="232">
        <f>IF(ISBLANK(HistoricalData!$D$10)=TRUE,HistoricalData!D37,HistoricalData!D100)</f>
        <v>0</v>
      </c>
      <c r="E42" s="234">
        <f>Assumptions!D97+Assumptions!D109-E38</f>
        <v>6705.1578947368416</v>
      </c>
      <c r="F42" s="234">
        <f>Assumptions!E97+Assumptions!E109-F38</f>
        <v>5916.3157894736833</v>
      </c>
      <c r="G42" s="234">
        <f>Assumptions!F97+Assumptions!F109-G38</f>
        <v>5127.4736842105249</v>
      </c>
      <c r="H42" s="234">
        <f>Assumptions!G97+Assumptions!G109-H38</f>
        <v>4338.6315789473665</v>
      </c>
      <c r="I42" s="234">
        <f>Assumptions!H97+Assumptions!H109-I38</f>
        <v>3549.7894736842086</v>
      </c>
      <c r="J42" s="234">
        <f>Assumptions!I97+Assumptions!I109-J38</f>
        <v>2760.9473684210507</v>
      </c>
      <c r="K42" s="234">
        <f>Assumptions!J97+Assumptions!J109-K38</f>
        <v>1972.1052631578928</v>
      </c>
      <c r="L42" s="234">
        <f>Assumptions!K97+Assumptions!K109-L38</f>
        <v>1183.2631578947348</v>
      </c>
      <c r="M42" s="234">
        <f>Assumptions!L97+Assumptions!L109-M38</f>
        <v>394.42105263157691</v>
      </c>
      <c r="N42" s="234">
        <f>Assumptions!M97+Assumptions!M109-N38</f>
        <v>-2.0463630789890885E-12</v>
      </c>
      <c r="O42" s="234">
        <f>Assumptions!N97+Assumptions!N109-O38</f>
        <v>-2.0463630789890885E-12</v>
      </c>
      <c r="P42" s="234">
        <f>Assumptions!O97+Assumptions!O109-P38</f>
        <v>-2.0463630789890885E-12</v>
      </c>
      <c r="Q42" s="234">
        <f>Assumptions!P97+Assumptions!P109-Q38</f>
        <v>-2.0463630789890885E-12</v>
      </c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6" customFormat="1" x14ac:dyDescent="0.15">
      <c r="A43" s="105" t="s">
        <v>185</v>
      </c>
      <c r="B43" s="73"/>
      <c r="C43" s="73"/>
      <c r="D43" s="232">
        <f>IF(ISBLANK(HistoricalData!$D$10)=TRUE,HistoricalData!D38,HistoricalData!D101)</f>
        <v>0</v>
      </c>
      <c r="E43" s="234">
        <f>Assumptions!D132</f>
        <v>0</v>
      </c>
      <c r="F43" s="234">
        <f>Assumptions!E132</f>
        <v>0</v>
      </c>
      <c r="G43" s="234">
        <f>Assumptions!F132</f>
        <v>0</v>
      </c>
      <c r="H43" s="234">
        <f>Assumptions!G132</f>
        <v>0</v>
      </c>
      <c r="I43" s="234">
        <f>Assumptions!H132</f>
        <v>0</v>
      </c>
      <c r="J43" s="234">
        <f>Assumptions!I132</f>
        <v>0</v>
      </c>
      <c r="K43" s="234">
        <f>Assumptions!J132</f>
        <v>0</v>
      </c>
      <c r="L43" s="234">
        <f>Assumptions!K132</f>
        <v>0</v>
      </c>
      <c r="M43" s="234">
        <f>Assumptions!L132</f>
        <v>0</v>
      </c>
      <c r="N43" s="234">
        <f>Assumptions!M132</f>
        <v>0</v>
      </c>
      <c r="O43" s="234">
        <f>Assumptions!N132</f>
        <v>0</v>
      </c>
      <c r="P43" s="234">
        <f>Assumptions!O132</f>
        <v>0</v>
      </c>
      <c r="Q43" s="234">
        <f>Assumptions!P132</f>
        <v>0</v>
      </c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185" customFormat="1" hidden="1" x14ac:dyDescent="0.15">
      <c r="A44" s="224" t="s">
        <v>237</v>
      </c>
      <c r="B44" s="102"/>
      <c r="C44" s="102"/>
      <c r="D44" s="241">
        <f>IF(ISBLANK(HistoricalData!$D$10)=TRUE,HistoricalData!D39,HistoricalData!D102)</f>
        <v>0</v>
      </c>
      <c r="E44" s="234">
        <f>D44</f>
        <v>0</v>
      </c>
      <c r="F44" s="234">
        <f t="shared" ref="F44:Q44" si="6">E44</f>
        <v>0</v>
      </c>
      <c r="G44" s="234">
        <f t="shared" si="6"/>
        <v>0</v>
      </c>
      <c r="H44" s="234">
        <f t="shared" si="6"/>
        <v>0</v>
      </c>
      <c r="I44" s="234">
        <f t="shared" si="6"/>
        <v>0</v>
      </c>
      <c r="J44" s="234">
        <f t="shared" si="6"/>
        <v>0</v>
      </c>
      <c r="K44" s="234">
        <f t="shared" si="6"/>
        <v>0</v>
      </c>
      <c r="L44" s="234">
        <f t="shared" si="6"/>
        <v>0</v>
      </c>
      <c r="M44" s="234">
        <f t="shared" si="6"/>
        <v>0</v>
      </c>
      <c r="N44" s="234">
        <f t="shared" si="6"/>
        <v>0</v>
      </c>
      <c r="O44" s="234">
        <f t="shared" si="6"/>
        <v>0</v>
      </c>
      <c r="P44" s="234">
        <f t="shared" si="6"/>
        <v>0</v>
      </c>
      <c r="Q44" s="234">
        <f t="shared" si="6"/>
        <v>0</v>
      </c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s="6" customFormat="1" x14ac:dyDescent="0.15">
      <c r="A45" s="76" t="s">
        <v>36</v>
      </c>
      <c r="B45" s="73"/>
      <c r="C45" s="73"/>
      <c r="D45" s="233">
        <f>SUM(D42:D44)</f>
        <v>0</v>
      </c>
      <c r="E45" s="233">
        <f t="shared" ref="E45:Q45" si="7">SUM(E42:E44)</f>
        <v>6705.1578947368416</v>
      </c>
      <c r="F45" s="233">
        <f t="shared" si="7"/>
        <v>5916.3157894736833</v>
      </c>
      <c r="G45" s="233">
        <f t="shared" si="7"/>
        <v>5127.4736842105249</v>
      </c>
      <c r="H45" s="233">
        <f t="shared" si="7"/>
        <v>4338.6315789473665</v>
      </c>
      <c r="I45" s="233">
        <f t="shared" si="7"/>
        <v>3549.7894736842086</v>
      </c>
      <c r="J45" s="233">
        <f t="shared" si="7"/>
        <v>2760.9473684210507</v>
      </c>
      <c r="K45" s="233">
        <f t="shared" si="7"/>
        <v>1972.1052631578928</v>
      </c>
      <c r="L45" s="233">
        <f t="shared" si="7"/>
        <v>1183.2631578947348</v>
      </c>
      <c r="M45" s="233">
        <f t="shared" si="7"/>
        <v>394.42105263157691</v>
      </c>
      <c r="N45" s="233">
        <f t="shared" si="7"/>
        <v>-2.0463630789890885E-12</v>
      </c>
      <c r="O45" s="233">
        <f t="shared" si="7"/>
        <v>-2.0463630789890885E-12</v>
      </c>
      <c r="P45" s="233">
        <f t="shared" si="7"/>
        <v>-2.0463630789890885E-12</v>
      </c>
      <c r="Q45" s="233">
        <f t="shared" si="7"/>
        <v>-2.0463630789890885E-12</v>
      </c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6" customFormat="1" x14ac:dyDescent="0.15">
      <c r="A46" s="76"/>
      <c r="B46" s="73"/>
      <c r="C46" s="73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6" customFormat="1" x14ac:dyDescent="0.15">
      <c r="A47" s="75" t="s">
        <v>37</v>
      </c>
      <c r="B47" s="73"/>
      <c r="C47" s="7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6" customFormat="1" x14ac:dyDescent="0.15">
      <c r="A48" s="105" t="s">
        <v>238</v>
      </c>
      <c r="B48" s="73"/>
      <c r="C48" s="73"/>
      <c r="D48" s="232">
        <f>IF(ISBLANK(HistoricalData!$D$10)=TRUE,SUM(HistoricalData!D42:D43),SUM(HistoricalData!D105:D106))</f>
        <v>0</v>
      </c>
      <c r="E48" s="233">
        <f>Assumptions!D138</f>
        <v>0</v>
      </c>
      <c r="F48" s="233">
        <f>Assumptions!E138</f>
        <v>0</v>
      </c>
      <c r="G48" s="233">
        <f>Assumptions!F138</f>
        <v>0</v>
      </c>
      <c r="H48" s="233">
        <f>Assumptions!G138</f>
        <v>0</v>
      </c>
      <c r="I48" s="233">
        <f>Assumptions!H138</f>
        <v>0</v>
      </c>
      <c r="J48" s="233">
        <f>Assumptions!I138</f>
        <v>0</v>
      </c>
      <c r="K48" s="233">
        <f>Assumptions!J138</f>
        <v>0</v>
      </c>
      <c r="L48" s="233">
        <f>Assumptions!K138</f>
        <v>0</v>
      </c>
      <c r="M48" s="233">
        <f>Assumptions!L138</f>
        <v>0</v>
      </c>
      <c r="N48" s="233">
        <f>Assumptions!M138</f>
        <v>0</v>
      </c>
      <c r="O48" s="233">
        <f>Assumptions!N138</f>
        <v>0</v>
      </c>
      <c r="P48" s="233">
        <f>Assumptions!O138</f>
        <v>0</v>
      </c>
      <c r="Q48" s="233">
        <f>Assumptions!P138</f>
        <v>0</v>
      </c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6" customFormat="1" x14ac:dyDescent="0.15">
      <c r="A49" s="78" t="s">
        <v>38</v>
      </c>
      <c r="B49" s="73"/>
      <c r="C49" s="73" t="s">
        <v>0</v>
      </c>
      <c r="D49" s="232">
        <f>IF(ISBLANK(HistoricalData!$D$10)=TRUE,HistoricalData!D44,HistoricalData!D107)</f>
        <v>0</v>
      </c>
      <c r="E49" s="233">
        <f>D49+Income!F43</f>
        <v>0</v>
      </c>
      <c r="F49" s="233">
        <f>E49+Income!H43</f>
        <v>2754.1732533157897</v>
      </c>
      <c r="G49" s="233">
        <f>F49+Income!J43</f>
        <v>5550.5495592631578</v>
      </c>
      <c r="H49" s="233">
        <f>G49+Income!L43</f>
        <v>8389.1289178421048</v>
      </c>
      <c r="I49" s="233">
        <f>H49+Income!N43</f>
        <v>11269.911329052631</v>
      </c>
      <c r="J49" s="233">
        <f>I49+Income!P43</f>
        <v>14192.896792894737</v>
      </c>
      <c r="K49" s="233">
        <f>J49+Income!R43</f>
        <v>17158.08530936842</v>
      </c>
      <c r="L49" s="233">
        <f>K49+Income!T43</f>
        <v>20165.476878473684</v>
      </c>
      <c r="M49" s="233">
        <f>L49+Income!V43</f>
        <v>23215.071500210528</v>
      </c>
      <c r="N49" s="233">
        <f>M49+Income!X43</f>
        <v>26306.869174578947</v>
      </c>
      <c r="O49" s="233">
        <f>N49+Income!Z43</f>
        <v>26306.869174578947</v>
      </c>
      <c r="P49" s="233">
        <f>O49+Income!AB43</f>
        <v>26306.869174578947</v>
      </c>
      <c r="Q49" s="233">
        <f>P49+Income!AD43</f>
        <v>26306.869174578947</v>
      </c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6" customFormat="1" x14ac:dyDescent="0.15">
      <c r="A50" s="76" t="s">
        <v>39</v>
      </c>
      <c r="B50" s="73"/>
      <c r="C50" s="73"/>
      <c r="D50" s="233">
        <f t="shared" ref="D50:M50" si="8">SUM(D48:D49)</f>
        <v>0</v>
      </c>
      <c r="E50" s="233">
        <f t="shared" si="8"/>
        <v>0</v>
      </c>
      <c r="F50" s="233">
        <f t="shared" si="8"/>
        <v>2754.1732533157897</v>
      </c>
      <c r="G50" s="233">
        <f t="shared" si="8"/>
        <v>5550.5495592631578</v>
      </c>
      <c r="H50" s="233">
        <f t="shared" si="8"/>
        <v>8389.1289178421048</v>
      </c>
      <c r="I50" s="233">
        <f t="shared" si="8"/>
        <v>11269.911329052631</v>
      </c>
      <c r="J50" s="233">
        <f t="shared" si="8"/>
        <v>14192.896792894737</v>
      </c>
      <c r="K50" s="233">
        <f t="shared" si="8"/>
        <v>17158.08530936842</v>
      </c>
      <c r="L50" s="233">
        <f t="shared" si="8"/>
        <v>20165.476878473684</v>
      </c>
      <c r="M50" s="233">
        <f t="shared" si="8"/>
        <v>23215.071500210528</v>
      </c>
      <c r="N50" s="233">
        <f>SUM(N48:N49)</f>
        <v>26306.869174578947</v>
      </c>
      <c r="O50" s="233">
        <f>SUM(O48:O49)</f>
        <v>26306.869174578947</v>
      </c>
      <c r="P50" s="233">
        <f>SUM(P48:P49)</f>
        <v>26306.869174578947</v>
      </c>
      <c r="Q50" s="233">
        <f>SUM(Q48:Q49)</f>
        <v>26306.869174578947</v>
      </c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6" customFormat="1" x14ac:dyDescent="0.15">
      <c r="A51" s="73"/>
      <c r="B51" s="73"/>
      <c r="C51" s="73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6" customFormat="1" x14ac:dyDescent="0.15">
      <c r="A52" s="76" t="s">
        <v>40</v>
      </c>
      <c r="B52" s="73"/>
      <c r="C52" s="73"/>
      <c r="D52" s="233">
        <f t="shared" ref="D52:L52" si="9">D39+D45+D50</f>
        <v>0</v>
      </c>
      <c r="E52" s="233">
        <f t="shared" si="9"/>
        <v>7494</v>
      </c>
      <c r="F52" s="233">
        <f t="shared" si="9"/>
        <v>9459.3311480526318</v>
      </c>
      <c r="G52" s="233">
        <f t="shared" si="9"/>
        <v>11466.865348736841</v>
      </c>
      <c r="H52" s="233">
        <f t="shared" si="9"/>
        <v>13516.60260205263</v>
      </c>
      <c r="I52" s="233">
        <f t="shared" si="9"/>
        <v>15608.542907999998</v>
      </c>
      <c r="J52" s="233">
        <f t="shared" si="9"/>
        <v>17742.686266578945</v>
      </c>
      <c r="K52" s="233">
        <f t="shared" si="9"/>
        <v>19919.03267778947</v>
      </c>
      <c r="L52" s="233">
        <f t="shared" si="9"/>
        <v>22137.582141631578</v>
      </c>
      <c r="M52" s="233">
        <f>M39+M45+M50</f>
        <v>24398.334658105261</v>
      </c>
      <c r="N52" s="233">
        <f>N39+N45+N50</f>
        <v>26701.290227210524</v>
      </c>
      <c r="O52" s="233">
        <f>O39+O45+O50</f>
        <v>26306.869174578944</v>
      </c>
      <c r="P52" s="233">
        <f>P39+P45+P50</f>
        <v>26306.869174578944</v>
      </c>
      <c r="Q52" s="233">
        <f>Q39+Q45+Q50</f>
        <v>26306.869174578944</v>
      </c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6" customFormat="1" x14ac:dyDescent="0.15">
      <c r="A53" s="73"/>
      <c r="B53" s="73"/>
      <c r="C53" s="73"/>
      <c r="D53" s="233"/>
      <c r="E53" s="233"/>
      <c r="F53" s="233"/>
      <c r="G53" s="233"/>
      <c r="H53" s="233"/>
      <c r="I53" s="233"/>
      <c r="J53" s="233"/>
      <c r="K53" s="233"/>
      <c r="L53" s="233"/>
      <c r="M53" s="233"/>
      <c r="N53" s="233"/>
      <c r="O53" s="233"/>
      <c r="P53" s="233"/>
      <c r="Q53" s="23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6" customFormat="1" x14ac:dyDescent="0.15">
      <c r="A54" s="73"/>
      <c r="B54" s="73"/>
      <c r="C54" s="73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  <c r="P54" s="233"/>
      <c r="Q54" s="233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6" customFormat="1" x14ac:dyDescent="0.15">
      <c r="A55" s="79" t="s">
        <v>41</v>
      </c>
      <c r="B55" s="73"/>
      <c r="C55" s="73"/>
      <c r="D55" s="233">
        <f t="shared" ref="D55:Q55" si="10">D30-D52</f>
        <v>0</v>
      </c>
      <c r="E55" s="233">
        <f t="shared" si="10"/>
        <v>0</v>
      </c>
      <c r="F55" s="233">
        <f t="shared" si="10"/>
        <v>-9992.4750000000004</v>
      </c>
      <c r="G55" s="233">
        <f t="shared" si="10"/>
        <v>-9992.4750000000004</v>
      </c>
      <c r="H55" s="233">
        <f t="shared" si="10"/>
        <v>-9992.4749999999985</v>
      </c>
      <c r="I55" s="233">
        <f t="shared" si="10"/>
        <v>-9992.4749999999985</v>
      </c>
      <c r="J55" s="233">
        <f t="shared" si="10"/>
        <v>-9992.4749999999985</v>
      </c>
      <c r="K55" s="233">
        <f t="shared" si="10"/>
        <v>-9992.4749999999967</v>
      </c>
      <c r="L55" s="233">
        <f t="shared" si="10"/>
        <v>-9992.4749999999985</v>
      </c>
      <c r="M55" s="233">
        <f t="shared" si="10"/>
        <v>-9992.4749999999967</v>
      </c>
      <c r="N55" s="233">
        <f t="shared" si="10"/>
        <v>-9992.4749999999949</v>
      </c>
      <c r="O55" s="233">
        <f t="shared" si="10"/>
        <v>-2631.7530631578884</v>
      </c>
      <c r="P55" s="233">
        <f t="shared" si="10"/>
        <v>-2631.7530631578884</v>
      </c>
      <c r="Q55" s="233">
        <f t="shared" si="10"/>
        <v>-2631.7530631578884</v>
      </c>
      <c r="R55"/>
      <c r="S55"/>
      <c r="T55"/>
      <c r="U55"/>
      <c r="V55"/>
      <c r="W55"/>
      <c r="X55"/>
      <c r="Y55"/>
      <c r="Z55"/>
      <c r="AA55"/>
      <c r="AB55"/>
      <c r="AC55"/>
      <c r="AD55"/>
    </row>
  </sheetData>
  <mergeCells count="1">
    <mergeCell ref="H1:L1"/>
  </mergeCells>
  <phoneticPr fontId="0" type="noConversion"/>
  <printOptions horizontalCentered="1" gridLines="1" gridLinesSet="0"/>
  <pageMargins left="0.25" right="0.25" top="0.48" bottom="0.53" header="0.3" footer="0.3"/>
  <pageSetup scale="76" orientation="landscape" horizontalDpi="300" verticalDpi="300" r:id="rId1"/>
  <headerFooter alignWithMargins="0">
    <oddHeader>&amp;C&amp;"Times New Roman,Bold"&amp;16Balance Sheet</oddHeader>
    <oddFooter>&amp;L&amp;D &amp;T&amp;R&amp;F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C31"/>
  <sheetViews>
    <sheetView workbookViewId="0">
      <selection activeCell="I34" sqref="I34"/>
    </sheetView>
  </sheetViews>
  <sheetFormatPr baseColWidth="10" defaultColWidth="8.83203125" defaultRowHeight="13" x14ac:dyDescent="0.15"/>
  <cols>
    <col min="1" max="1" width="28.6640625" customWidth="1"/>
    <col min="2" max="2" width="1.6640625" customWidth="1"/>
    <col min="3" max="3" width="2" customWidth="1"/>
  </cols>
  <sheetData>
    <row r="1" spans="1:29" ht="19" thickBot="1" x14ac:dyDescent="0.25">
      <c r="G1" s="320" t="str">
        <f>Start!C6</f>
        <v>Serious Shea</v>
      </c>
      <c r="H1" s="320"/>
      <c r="I1" s="320"/>
      <c r="J1" s="320"/>
      <c r="K1" s="320"/>
    </row>
    <row r="2" spans="1:29" s="2" customFormat="1" ht="14" thickTop="1" x14ac:dyDescent="0.15">
      <c r="A2" s="34" t="s">
        <v>1</v>
      </c>
      <c r="B2" s="35"/>
      <c r="C2" s="35"/>
      <c r="D2" s="35">
        <f>Assumptions!D1</f>
        <v>2022</v>
      </c>
      <c r="E2" s="35">
        <f t="shared" ref="E2:N2" si="0">D2+1</f>
        <v>2023</v>
      </c>
      <c r="F2" s="35">
        <f t="shared" si="0"/>
        <v>2024</v>
      </c>
      <c r="G2" s="35">
        <f t="shared" si="0"/>
        <v>2025</v>
      </c>
      <c r="H2" s="35">
        <f t="shared" si="0"/>
        <v>2026</v>
      </c>
      <c r="I2" s="35">
        <f t="shared" si="0"/>
        <v>2027</v>
      </c>
      <c r="J2" s="35">
        <f t="shared" si="0"/>
        <v>2028</v>
      </c>
      <c r="K2" s="35">
        <f t="shared" si="0"/>
        <v>2029</v>
      </c>
      <c r="L2" s="35">
        <f t="shared" si="0"/>
        <v>2030</v>
      </c>
      <c r="M2" s="35">
        <f t="shared" si="0"/>
        <v>2031</v>
      </c>
      <c r="N2" s="35">
        <f t="shared" si="0"/>
        <v>2032</v>
      </c>
      <c r="O2" s="35">
        <f>N2+1</f>
        <v>2033</v>
      </c>
      <c r="P2" s="35">
        <f>O2+1</f>
        <v>2034</v>
      </c>
      <c r="Q2"/>
      <c r="R2"/>
      <c r="S2"/>
      <c r="T2"/>
      <c r="U2"/>
      <c r="V2"/>
      <c r="W2"/>
      <c r="X2"/>
      <c r="Y2"/>
      <c r="Z2"/>
      <c r="AA2"/>
      <c r="AB2"/>
      <c r="AC2"/>
    </row>
    <row r="3" spans="1:29" s="191" customFormat="1" x14ac:dyDescent="0.15">
      <c r="A3" s="189"/>
      <c r="B3" s="190"/>
      <c r="C3" s="190"/>
      <c r="D3" s="190" t="s">
        <v>207</v>
      </c>
      <c r="E3" s="190" t="s">
        <v>207</v>
      </c>
      <c r="F3" s="190" t="s">
        <v>207</v>
      </c>
      <c r="G3" s="190" t="s">
        <v>207</v>
      </c>
      <c r="H3" s="190" t="s">
        <v>207</v>
      </c>
      <c r="I3" s="190" t="s">
        <v>207</v>
      </c>
      <c r="J3" s="190" t="s">
        <v>207</v>
      </c>
      <c r="K3" s="190" t="s">
        <v>207</v>
      </c>
      <c r="L3" s="190" t="s">
        <v>207</v>
      </c>
      <c r="M3" s="190" t="s">
        <v>207</v>
      </c>
      <c r="N3" s="190" t="s">
        <v>207</v>
      </c>
      <c r="O3" s="190" t="s">
        <v>207</v>
      </c>
      <c r="P3" s="190" t="s">
        <v>207</v>
      </c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</row>
    <row r="4" spans="1:29" s="14" customFormat="1" x14ac:dyDescent="0.15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s="14" customFormat="1" x14ac:dyDescent="0.15">
      <c r="A5" s="86" t="s">
        <v>116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/>
      <c r="R5"/>
      <c r="S5"/>
      <c r="T5"/>
      <c r="U5"/>
      <c r="V5"/>
      <c r="W5"/>
      <c r="X5"/>
      <c r="Y5"/>
      <c r="Z5"/>
      <c r="AA5"/>
      <c r="AB5"/>
      <c r="AC5"/>
    </row>
    <row r="6" spans="1:29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  <row r="7" spans="1:29" x14ac:dyDescent="0.15">
      <c r="A7" s="73" t="str">
        <f>Assumptions!A58</f>
        <v>Building&amp;Equipment Costs of Collection Centers</v>
      </c>
      <c r="B7" s="18"/>
      <c r="C7" s="18"/>
      <c r="D7" s="73">
        <f>Assumptions!D58</f>
        <v>6054.6840000000002</v>
      </c>
      <c r="E7" s="73">
        <f>Assumptions!E58</f>
        <v>0</v>
      </c>
      <c r="F7" s="73">
        <f>Assumptions!F58</f>
        <v>0</v>
      </c>
      <c r="G7" s="73">
        <f>Assumptions!G58</f>
        <v>0</v>
      </c>
      <c r="H7" s="73">
        <f>Assumptions!H58</f>
        <v>0</v>
      </c>
      <c r="I7" s="73">
        <f>Assumptions!I58</f>
        <v>0</v>
      </c>
      <c r="J7" s="73">
        <f>Assumptions!J58</f>
        <v>0</v>
      </c>
      <c r="K7" s="73">
        <f>Assumptions!K58</f>
        <v>0</v>
      </c>
      <c r="L7" s="73">
        <f>Assumptions!L58</f>
        <v>0</v>
      </c>
      <c r="M7" s="73">
        <f>Assumptions!M58</f>
        <v>0</v>
      </c>
      <c r="N7" s="73">
        <f>Assumptions!N58</f>
        <v>0</v>
      </c>
      <c r="O7" s="73">
        <f>Assumptions!O58</f>
        <v>0</v>
      </c>
      <c r="P7" s="73">
        <f>Assumptions!P58</f>
        <v>0</v>
      </c>
    </row>
    <row r="8" spans="1:29" x14ac:dyDescent="0.15">
      <c r="A8" s="73" t="str">
        <f>Assumptions!A59</f>
        <v>Building&amp;Equipment Costs of Processing Centers</v>
      </c>
      <c r="B8" s="18"/>
      <c r="C8" s="18"/>
      <c r="D8" s="73">
        <f>Assumptions!D59</f>
        <v>2035.7190000000001</v>
      </c>
      <c r="E8" s="73">
        <f>Assumptions!E59</f>
        <v>0</v>
      </c>
      <c r="F8" s="73">
        <f>Assumptions!F59</f>
        <v>0</v>
      </c>
      <c r="G8" s="73">
        <f>Assumptions!G59</f>
        <v>0</v>
      </c>
      <c r="H8" s="73">
        <f>Assumptions!H59</f>
        <v>0</v>
      </c>
      <c r="I8" s="73">
        <f>Assumptions!I59</f>
        <v>0</v>
      </c>
      <c r="J8" s="73">
        <f>Assumptions!J59</f>
        <v>0</v>
      </c>
      <c r="K8" s="73">
        <f>Assumptions!K59</f>
        <v>0</v>
      </c>
      <c r="L8" s="73">
        <f>Assumptions!L59</f>
        <v>0</v>
      </c>
      <c r="M8" s="73">
        <f>Assumptions!M59</f>
        <v>0</v>
      </c>
      <c r="N8" s="73">
        <f>Assumptions!N59</f>
        <v>0</v>
      </c>
      <c r="O8" s="73">
        <f>Assumptions!O59</f>
        <v>0</v>
      </c>
      <c r="P8" s="73">
        <f>Assumptions!P59</f>
        <v>0</v>
      </c>
    </row>
    <row r="9" spans="1:29" x14ac:dyDescent="0.15">
      <c r="A9" s="73" t="str">
        <f>Assumptions!A60</f>
        <v>Environmental Impact Study Cost</v>
      </c>
      <c r="B9" s="18"/>
      <c r="C9" s="18"/>
      <c r="D9" s="73">
        <f>Assumptions!D60</f>
        <v>1.8</v>
      </c>
      <c r="E9" s="73">
        <f>Assumptions!E60</f>
        <v>0</v>
      </c>
      <c r="F9" s="73">
        <f>Assumptions!F60</f>
        <v>0</v>
      </c>
      <c r="G9" s="73">
        <f>Assumptions!G60</f>
        <v>0</v>
      </c>
      <c r="H9" s="73">
        <f>Assumptions!H60</f>
        <v>0</v>
      </c>
      <c r="I9" s="73">
        <f>Assumptions!I60</f>
        <v>0</v>
      </c>
      <c r="J9" s="73">
        <f>Assumptions!J60</f>
        <v>0</v>
      </c>
      <c r="K9" s="73">
        <f>Assumptions!K60</f>
        <v>0</v>
      </c>
      <c r="L9" s="73">
        <f>Assumptions!L60</f>
        <v>0</v>
      </c>
      <c r="M9" s="73">
        <f>Assumptions!M60</f>
        <v>0</v>
      </c>
      <c r="N9" s="73">
        <f>Assumptions!N60</f>
        <v>0</v>
      </c>
      <c r="O9" s="73">
        <f>Assumptions!O60</f>
        <v>0</v>
      </c>
      <c r="P9" s="73">
        <f>Assumptions!P60</f>
        <v>0</v>
      </c>
    </row>
    <row r="10" spans="1:29" x14ac:dyDescent="0.15">
      <c r="A10" s="73" t="str">
        <f>Assumptions!A61</f>
        <v>Development of the constitution and bylaws of texts training, registration cost of the COOP-CA cooperative society</v>
      </c>
      <c r="B10" s="18"/>
      <c r="C10" s="18"/>
      <c r="D10" s="73">
        <f>Assumptions!D61</f>
        <v>2.7</v>
      </c>
      <c r="E10" s="73">
        <f>Assumptions!E61</f>
        <v>0</v>
      </c>
      <c r="F10" s="73">
        <f>Assumptions!F61</f>
        <v>0</v>
      </c>
      <c r="G10" s="73">
        <f>Assumptions!G61</f>
        <v>0</v>
      </c>
      <c r="H10" s="73">
        <f>Assumptions!H61</f>
        <v>0</v>
      </c>
      <c r="I10" s="73">
        <f>Assumptions!I61</f>
        <v>0</v>
      </c>
      <c r="J10" s="73">
        <f>Assumptions!J61</f>
        <v>0</v>
      </c>
      <c r="K10" s="73">
        <f>Assumptions!K61</f>
        <v>0</v>
      </c>
      <c r="L10" s="73">
        <f>Assumptions!L61</f>
        <v>0</v>
      </c>
      <c r="M10" s="73">
        <f>Assumptions!M61</f>
        <v>0</v>
      </c>
      <c r="N10" s="73">
        <f>Assumptions!N61</f>
        <v>0</v>
      </c>
      <c r="O10" s="73">
        <f>Assumptions!O61</f>
        <v>0</v>
      </c>
      <c r="P10" s="73">
        <f>Assumptions!P61</f>
        <v>0</v>
      </c>
    </row>
    <row r="11" spans="1:29" x14ac:dyDescent="0.15">
      <c r="A11" s="73" t="str">
        <f>Assumptions!A62</f>
        <v>Office equipment and furniture</v>
      </c>
      <c r="B11" s="18"/>
      <c r="C11" s="18"/>
      <c r="D11" s="73">
        <f>Assumptions!D62</f>
        <v>81</v>
      </c>
      <c r="E11" s="73">
        <f>Assumptions!E62</f>
        <v>0</v>
      </c>
      <c r="F11" s="73">
        <f>Assumptions!F62</f>
        <v>0</v>
      </c>
      <c r="G11" s="73">
        <f>Assumptions!G62</f>
        <v>0</v>
      </c>
      <c r="H11" s="73">
        <f>Assumptions!H62</f>
        <v>0</v>
      </c>
      <c r="I11" s="73">
        <f>Assumptions!I62</f>
        <v>0</v>
      </c>
      <c r="J11" s="73">
        <f>Assumptions!J62</f>
        <v>0</v>
      </c>
      <c r="K11" s="73">
        <f>Assumptions!K62</f>
        <v>0</v>
      </c>
      <c r="L11" s="73">
        <f>Assumptions!L62</f>
        <v>0</v>
      </c>
      <c r="M11" s="73">
        <f>Assumptions!M62</f>
        <v>0</v>
      </c>
      <c r="N11" s="73">
        <f>Assumptions!N62</f>
        <v>0</v>
      </c>
      <c r="O11" s="73">
        <f>Assumptions!O62</f>
        <v>0</v>
      </c>
      <c r="P11" s="73">
        <f>Assumptions!P62</f>
        <v>0</v>
      </c>
    </row>
    <row r="12" spans="1:29" x14ac:dyDescent="0.15">
      <c r="A12" s="73" t="str">
        <f>Assumptions!A63</f>
        <v>Computer equipment and accessories (printer, internet key) + facilities</v>
      </c>
      <c r="B12" s="18"/>
      <c r="C12" s="18"/>
      <c r="D12" s="73">
        <f>Assumptions!D63</f>
        <v>18.899999999999999</v>
      </c>
      <c r="E12" s="73">
        <f>Assumptions!E63</f>
        <v>0</v>
      </c>
      <c r="F12" s="73">
        <f>Assumptions!F63</f>
        <v>0</v>
      </c>
      <c r="G12" s="73">
        <f>Assumptions!G63</f>
        <v>0</v>
      </c>
      <c r="H12" s="73">
        <f>Assumptions!H63</f>
        <v>0</v>
      </c>
      <c r="I12" s="73">
        <f>Assumptions!I63</f>
        <v>0</v>
      </c>
      <c r="J12" s="73">
        <f>Assumptions!J63</f>
        <v>0</v>
      </c>
      <c r="K12" s="73">
        <f>Assumptions!K63</f>
        <v>0</v>
      </c>
      <c r="L12" s="73">
        <f>Assumptions!L63</f>
        <v>0</v>
      </c>
      <c r="M12" s="73">
        <f>Assumptions!M63</f>
        <v>0</v>
      </c>
      <c r="N12" s="73">
        <f>Assumptions!N63</f>
        <v>0</v>
      </c>
      <c r="O12" s="73">
        <f>Assumptions!O63</f>
        <v>0</v>
      </c>
      <c r="P12" s="73">
        <f>Assumptions!P63</f>
        <v>0</v>
      </c>
    </row>
    <row r="13" spans="1:29" x14ac:dyDescent="0.15">
      <c r="A13" s="73" t="str">
        <f>Assumptions!A64</f>
        <v>Start-up costs</v>
      </c>
      <c r="B13" s="18"/>
      <c r="C13" s="18"/>
      <c r="D13" s="73">
        <f>Assumptions!D64</f>
        <v>500</v>
      </c>
      <c r="E13" s="73">
        <f>Assumptions!E64</f>
        <v>0</v>
      </c>
      <c r="F13" s="73">
        <f>Assumptions!F64</f>
        <v>0</v>
      </c>
      <c r="G13" s="73">
        <f>Assumptions!G64</f>
        <v>0</v>
      </c>
      <c r="H13" s="73">
        <f>Assumptions!H64</f>
        <v>0</v>
      </c>
      <c r="I13" s="73">
        <f>Assumptions!I64</f>
        <v>0</v>
      </c>
      <c r="J13" s="73">
        <f>Assumptions!J64</f>
        <v>0</v>
      </c>
      <c r="K13" s="73">
        <f>Assumptions!K64</f>
        <v>0</v>
      </c>
      <c r="L13" s="73">
        <f>Assumptions!L64</f>
        <v>0</v>
      </c>
      <c r="M13" s="73">
        <f>Assumptions!M64</f>
        <v>0</v>
      </c>
      <c r="N13" s="73">
        <f>Assumptions!N64</f>
        <v>0</v>
      </c>
      <c r="O13" s="73">
        <f>Assumptions!O64</f>
        <v>0</v>
      </c>
      <c r="P13" s="73">
        <f>Assumptions!P64</f>
        <v>0</v>
      </c>
    </row>
    <row r="14" spans="1:29" x14ac:dyDescent="0.15">
      <c r="A14" s="73" t="str">
        <f>Assumptions!A65</f>
        <v>Initial procurement (to be deducted from 1st year)</v>
      </c>
      <c r="B14" s="18"/>
      <c r="C14" s="18"/>
      <c r="D14" s="73">
        <f>Assumptions!D65</f>
        <v>800</v>
      </c>
      <c r="E14" s="73">
        <f>Assumptions!E65</f>
        <v>0</v>
      </c>
      <c r="F14" s="73">
        <f>Assumptions!F65</f>
        <v>0</v>
      </c>
      <c r="G14" s="73">
        <f>Assumptions!G65</f>
        <v>0</v>
      </c>
      <c r="H14" s="73">
        <f>Assumptions!H65</f>
        <v>0</v>
      </c>
      <c r="I14" s="73">
        <f>Assumptions!I65</f>
        <v>0</v>
      </c>
      <c r="J14" s="73">
        <f>Assumptions!J65</f>
        <v>0</v>
      </c>
      <c r="K14" s="73">
        <f>Assumptions!K65</f>
        <v>0</v>
      </c>
      <c r="L14" s="73">
        <f>Assumptions!L65</f>
        <v>0</v>
      </c>
      <c r="M14" s="73">
        <f>Assumptions!M65</f>
        <v>0</v>
      </c>
      <c r="N14" s="73">
        <f>Assumptions!N65</f>
        <v>0</v>
      </c>
      <c r="O14" s="73">
        <f>Assumptions!O65</f>
        <v>0</v>
      </c>
      <c r="P14" s="73">
        <f>Assumptions!P65</f>
        <v>0</v>
      </c>
    </row>
    <row r="15" spans="1:29" x14ac:dyDescent="0.15">
      <c r="A15" s="73" t="str">
        <f>Assumptions!A66</f>
        <v>Software and Training</v>
      </c>
      <c r="B15" s="18"/>
      <c r="C15" s="18"/>
      <c r="D15" s="73">
        <f>Assumptions!D66</f>
        <v>350</v>
      </c>
      <c r="E15" s="73">
        <f>Assumptions!E66</f>
        <v>0</v>
      </c>
      <c r="F15" s="73">
        <f>Assumptions!F66</f>
        <v>0</v>
      </c>
      <c r="G15" s="73">
        <f>Assumptions!G66</f>
        <v>0</v>
      </c>
      <c r="H15" s="73">
        <f>Assumptions!H66</f>
        <v>0</v>
      </c>
      <c r="I15" s="73">
        <f>Assumptions!I66</f>
        <v>0</v>
      </c>
      <c r="J15" s="73">
        <f>Assumptions!J66</f>
        <v>0</v>
      </c>
      <c r="K15" s="73">
        <f>Assumptions!K66</f>
        <v>0</v>
      </c>
      <c r="L15" s="73">
        <f>Assumptions!L66</f>
        <v>0</v>
      </c>
      <c r="M15" s="73">
        <f>Assumptions!M66</f>
        <v>0</v>
      </c>
      <c r="N15" s="73">
        <f>Assumptions!N66</f>
        <v>0</v>
      </c>
      <c r="O15" s="73">
        <f>Assumptions!O66</f>
        <v>0</v>
      </c>
      <c r="P15" s="73">
        <f>Assumptions!P66</f>
        <v>0</v>
      </c>
    </row>
    <row r="16" spans="1:29" x14ac:dyDescent="0.15">
      <c r="A16" s="73" t="str">
        <f>Assumptions!A67</f>
        <v>Loan Proccesing Fee</v>
      </c>
      <c r="B16" s="18"/>
      <c r="C16" s="18"/>
      <c r="D16" s="73">
        <f>Assumptions!D67</f>
        <v>147.672</v>
      </c>
      <c r="E16" s="73">
        <f>Assumptions!E67</f>
        <v>0</v>
      </c>
      <c r="F16" s="73">
        <f>Assumptions!F67</f>
        <v>0</v>
      </c>
      <c r="G16" s="73">
        <f>Assumptions!G67</f>
        <v>0</v>
      </c>
      <c r="H16" s="73">
        <f>Assumptions!H67</f>
        <v>0</v>
      </c>
      <c r="I16" s="73">
        <f>Assumptions!I67</f>
        <v>0</v>
      </c>
      <c r="J16" s="73">
        <f>Assumptions!J67</f>
        <v>0</v>
      </c>
      <c r="K16" s="73">
        <f>Assumptions!K67</f>
        <v>0</v>
      </c>
      <c r="L16" s="73">
        <f>Assumptions!L67</f>
        <v>0</v>
      </c>
      <c r="M16" s="73">
        <f>Assumptions!M67</f>
        <v>0</v>
      </c>
      <c r="N16" s="73">
        <f>Assumptions!N67</f>
        <v>0</v>
      </c>
      <c r="O16" s="73">
        <f>Assumptions!O67</f>
        <v>0</v>
      </c>
      <c r="P16" s="73">
        <f>Assumptions!P67</f>
        <v>0</v>
      </c>
    </row>
    <row r="17" spans="1:16" x14ac:dyDescent="0.15">
      <c r="A17" s="71" t="s">
        <v>280</v>
      </c>
      <c r="B17" s="18"/>
      <c r="C17" s="18"/>
      <c r="D17" s="13">
        <f>IF(HLOOKUP(D2,CashFlow!$E$2:$Q$102,101)=MAX(CashFlow!$E$102:$Q$102),MAX(CashFlow!$E$102:$Q$102),0)</f>
        <v>0</v>
      </c>
      <c r="E17" s="13">
        <f>IF(HLOOKUP(E2,CashFlow!$E$2:$Q$102,101)=MAX(CashFlow!$E$102:$Q$102),MAX(CashFlow!$E$102:$Q$102),0)</f>
        <v>0</v>
      </c>
      <c r="F17" s="13">
        <f>IF(HLOOKUP(F2,CashFlow!$E$2:$Q$102,101)=MAX(CashFlow!$E$102:$Q$102),MAX(CashFlow!$E$102:$Q$102),0)</f>
        <v>0</v>
      </c>
      <c r="G17" s="13">
        <f>IF(HLOOKUP(G2,CashFlow!$E$2:$Q$102,101)=MAX(CashFlow!$E$102:$Q$102),MAX(CashFlow!$E$102:$Q$102),0)</f>
        <v>0</v>
      </c>
      <c r="H17" s="13">
        <f>IF(HLOOKUP(H2,CashFlow!$E$2:$Q$102,101)=MAX(CashFlow!$E$102:$Q$102),MAX(CashFlow!$E$102:$Q$102),0)</f>
        <v>0</v>
      </c>
      <c r="I17" s="13">
        <f>IF(HLOOKUP(I2,CashFlow!$E$2:$Q$102,101)=MAX(CashFlow!$E$102:$Q$102),MAX(CashFlow!$E$102:$Q$102),0)</f>
        <v>0</v>
      </c>
      <c r="J17" s="13">
        <f>IF(HLOOKUP(J2,CashFlow!$E$2:$Q$102,101)=MAX(CashFlow!$E$102:$Q$102),MAX(CashFlow!$E$102:$Q$102),0)</f>
        <v>0</v>
      </c>
      <c r="K17" s="13">
        <f>IF(HLOOKUP(K2,CashFlow!$E$2:$Q$102,101)=MAX(CashFlow!$E$102:$Q$102),MAX(CashFlow!$E$102:$Q$102),0)</f>
        <v>0</v>
      </c>
      <c r="L17" s="13">
        <f>IF(HLOOKUP(L2,CashFlow!$E$2:$Q$102,101)=MAX(CashFlow!$E$102:$Q$102),MAX(CashFlow!$E$102:$Q$102),0)</f>
        <v>0</v>
      </c>
      <c r="M17" s="13">
        <f>IF(HLOOKUP(M2,CashFlow!$E$2:$Q$102,101)=MAX(CashFlow!$E$102:$Q$102),MAX(CashFlow!$E$102:$Q$102),0)</f>
        <v>0</v>
      </c>
      <c r="N17" s="13">
        <f>IF(HLOOKUP(N2,CashFlow!$E$2:$Q$102,101)=MAX(CashFlow!$E$102:$Q$102),MAX(CashFlow!$E$102:$Q$102),0)</f>
        <v>0</v>
      </c>
      <c r="O17" s="13">
        <f>IF(HLOOKUP(O2,CashFlow!$E$2:$Q$102,101)=MAX(CashFlow!$E$102:$Q$102),MAX(CashFlow!$E$102:$Q$102),0)</f>
        <v>0</v>
      </c>
      <c r="P17" s="13">
        <f>IF(HLOOKUP(P2,CashFlow!$E$2:$Q$102,101)=MAX(CashFlow!$E$102:$Q$102),MAX(CashFlow!$E$102:$Q$102),0)</f>
        <v>0</v>
      </c>
    </row>
    <row r="18" spans="1:16" x14ac:dyDescent="0.15">
      <c r="A18" s="71" t="s">
        <v>281</v>
      </c>
      <c r="B18" s="18"/>
      <c r="C18" s="18"/>
      <c r="D18" s="13">
        <f>IF(HLOOKUP(D2,Balance!$E$2:$Q$8,7)=MAX(Balance!$E$8:'Balance'!$Q$8),MAX(Balance!$E$8:'Balance'!$Q$8),0)</f>
        <v>0</v>
      </c>
      <c r="E18" s="13">
        <f>IF(HLOOKUP(E2,Balance!$E$2:$Q$8,7)=MAX(Balance!$E$8:'Balance'!$Q$8),MAX(Balance!$E$8:'Balance'!$Q$8),0)</f>
        <v>0</v>
      </c>
      <c r="F18" s="13">
        <f>IF(HLOOKUP(F2,Balance!$E$2:$Q$8,7)=MAX(Balance!$E$8:'Balance'!$Q$8),MAX(Balance!$E$8:'Balance'!$Q$8),0)</f>
        <v>0</v>
      </c>
      <c r="G18" s="13">
        <f>IF(HLOOKUP(G2,Balance!$E$2:$Q$8,7)=MAX(Balance!$E$8:'Balance'!$Q$8),MAX(Balance!$E$8:'Balance'!$Q$8),0)</f>
        <v>0</v>
      </c>
      <c r="H18" s="13">
        <f>IF(HLOOKUP(H2,Balance!$E$2:$Q$8,7)=MAX(Balance!$E$8:'Balance'!$Q$8),MAX(Balance!$E$8:'Balance'!$Q$8),0)</f>
        <v>0</v>
      </c>
      <c r="I18" s="13">
        <f>IF(HLOOKUP(I2,Balance!$E$2:$Q$8,7)=MAX(Balance!$E$8:'Balance'!$Q$8),MAX(Balance!$E$8:'Balance'!$Q$8),0)</f>
        <v>0</v>
      </c>
      <c r="J18" s="13">
        <f>IF(HLOOKUP(J2,Balance!$E$2:$Q$8,7)=MAX(Balance!$E$8:'Balance'!$Q$8),MAX(Balance!$E$8:'Balance'!$Q$8),0)</f>
        <v>0</v>
      </c>
      <c r="K18" s="13">
        <f>IF(HLOOKUP(K2,Balance!$E$2:$Q$8,7)=MAX(Balance!$E$8:'Balance'!$Q$8),MAX(Balance!$E$8:'Balance'!$Q$8),0)</f>
        <v>0</v>
      </c>
      <c r="L18" s="13">
        <f>IF(HLOOKUP(L2,Balance!$E$2:$Q$8,7)=MAX(Balance!$E$8:'Balance'!$Q$8),MAX(Balance!$E$8:'Balance'!$Q$8),0)</f>
        <v>0</v>
      </c>
      <c r="M18" s="13">
        <f>IF(HLOOKUP(M2,Balance!$E$2:$Q$8,7)=MAX(Balance!$E$8:'Balance'!$Q$8),MAX(Balance!$E$8:'Balance'!$Q$8),0)</f>
        <v>0</v>
      </c>
      <c r="N18" s="13">
        <f>IF(HLOOKUP(N2,Balance!$E$2:$Q$8,7)=MAX(Balance!$E$8:'Balance'!$Q$8),MAX(Balance!$E$8:'Balance'!$Q$8),0)</f>
        <v>0</v>
      </c>
      <c r="O18" s="13">
        <f>IF(HLOOKUP(O2,Balance!$E$2:$Q$8,7)=MAX(Balance!$E$8:'Balance'!$Q$8),MAX(Balance!$E$8:'Balance'!$Q$8),0)</f>
        <v>0</v>
      </c>
      <c r="P18" s="13">
        <f>IF(HLOOKUP(P2,Balance!$E$2:$Q$8,7)=MAX(Balance!$E$8:'Balance'!$Q$8),MAX(Balance!$E$8:'Balance'!$Q$8),0)</f>
        <v>0</v>
      </c>
    </row>
    <row r="19" spans="1:16" x14ac:dyDescent="0.15">
      <c r="A19" s="18" t="s">
        <v>102</v>
      </c>
      <c r="B19" s="18"/>
      <c r="C19" s="18"/>
      <c r="D19" s="73">
        <f>IF(Income!F33&lt;0,-Income!F33,0)</f>
        <v>0</v>
      </c>
      <c r="E19" s="73">
        <f>IF(Assumptions!D80&lt;12,0,IF(Income!H33&lt;0,-Income!H33,0))</f>
        <v>379.82747368421053</v>
      </c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</row>
    <row r="20" spans="1:16" x14ac:dyDescent="0.15">
      <c r="A20" s="94" t="s">
        <v>100</v>
      </c>
      <c r="B20" s="94"/>
      <c r="C20" s="94"/>
      <c r="D20" s="95">
        <f>IF(CashFlow!E42&gt;0,CashFlow!E42,-CashFlow!E42)</f>
        <v>2498.4750000000004</v>
      </c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</row>
    <row r="21" spans="1:16" ht="14" thickBot="1" x14ac:dyDescent="0.2">
      <c r="A21" s="89" t="s">
        <v>101</v>
      </c>
      <c r="B21" s="18"/>
      <c r="C21" s="18"/>
      <c r="D21" s="73">
        <f>SUM(D7:D20)</f>
        <v>12490.95</v>
      </c>
      <c r="E21" s="73">
        <f t="shared" ref="E21:N21" si="1">SUM(E7:E20)</f>
        <v>379.82747368421053</v>
      </c>
      <c r="F21" s="73">
        <f t="shared" si="1"/>
        <v>0</v>
      </c>
      <c r="G21" s="73">
        <f t="shared" si="1"/>
        <v>0</v>
      </c>
      <c r="H21" s="73">
        <f t="shared" si="1"/>
        <v>0</v>
      </c>
      <c r="I21" s="73">
        <f t="shared" si="1"/>
        <v>0</v>
      </c>
      <c r="J21" s="73">
        <f t="shared" si="1"/>
        <v>0</v>
      </c>
      <c r="K21" s="73">
        <f t="shared" si="1"/>
        <v>0</v>
      </c>
      <c r="L21" s="73">
        <f t="shared" si="1"/>
        <v>0</v>
      </c>
      <c r="M21" s="73">
        <f t="shared" si="1"/>
        <v>0</v>
      </c>
      <c r="N21" s="73">
        <f t="shared" si="1"/>
        <v>0</v>
      </c>
      <c r="O21" s="73">
        <f>SUM(O7:O20)</f>
        <v>0</v>
      </c>
      <c r="P21" s="73">
        <f>SUM(P7:P20)</f>
        <v>0</v>
      </c>
    </row>
    <row r="22" spans="1:16" ht="14" thickBot="1" x14ac:dyDescent="0.2">
      <c r="A22" s="89" t="s">
        <v>5</v>
      </c>
      <c r="B22" s="18"/>
      <c r="C22" s="18"/>
      <c r="D22" s="96">
        <f>SUM(D21:P21)</f>
        <v>12870.777473684211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</row>
    <row r="23" spans="1:16" x14ac:dyDescent="0.1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x14ac:dyDescent="0.1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x14ac:dyDescent="0.15">
      <c r="A25" s="99" t="s">
        <v>117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x14ac:dyDescent="0.15">
      <c r="A26" s="99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6" x14ac:dyDescent="0.15">
      <c r="A27" s="126" t="s">
        <v>314</v>
      </c>
      <c r="D27" s="6">
        <f>Assumptions!D92</f>
        <v>0</v>
      </c>
      <c r="E27" s="6">
        <f>Assumptions!E92</f>
        <v>0</v>
      </c>
      <c r="F27" s="6">
        <f>Assumptions!F92</f>
        <v>0</v>
      </c>
      <c r="G27" s="6">
        <f>Assumptions!G92</f>
        <v>0</v>
      </c>
      <c r="H27" s="6">
        <f>Assumptions!H92</f>
        <v>0</v>
      </c>
      <c r="I27" s="6">
        <f>Assumptions!I92</f>
        <v>0</v>
      </c>
      <c r="J27" s="6">
        <f>Assumptions!J92</f>
        <v>0</v>
      </c>
      <c r="K27" s="6">
        <f>Assumptions!K92</f>
        <v>0</v>
      </c>
      <c r="L27" s="6">
        <f>Assumptions!L92</f>
        <v>0</v>
      </c>
      <c r="M27" s="6">
        <f>Assumptions!M92</f>
        <v>0</v>
      </c>
      <c r="N27" s="6">
        <f>Assumptions!N92</f>
        <v>0</v>
      </c>
      <c r="O27" s="6">
        <f>Assumptions!O92</f>
        <v>0</v>
      </c>
      <c r="P27" s="6">
        <f>Assumptions!P92</f>
        <v>0</v>
      </c>
    </row>
    <row r="28" spans="1:16" x14ac:dyDescent="0.15">
      <c r="A28" s="126" t="s">
        <v>279</v>
      </c>
      <c r="D28" s="6">
        <f>Assumptions!D104+Assumptions!D128</f>
        <v>0</v>
      </c>
      <c r="E28" s="6">
        <f>Assumptions!E104+Assumptions!E128</f>
        <v>0</v>
      </c>
      <c r="F28" s="6">
        <f>Assumptions!F104+Assumptions!F128</f>
        <v>0</v>
      </c>
      <c r="G28" s="6">
        <f>Assumptions!G104+Assumptions!G128</f>
        <v>0</v>
      </c>
      <c r="H28" s="6">
        <f>Assumptions!H104+Assumptions!H128</f>
        <v>0</v>
      </c>
      <c r="I28" s="6">
        <f>Assumptions!I104+Assumptions!I128</f>
        <v>0</v>
      </c>
      <c r="J28" s="6">
        <f>Assumptions!J104+Assumptions!J128</f>
        <v>0</v>
      </c>
      <c r="K28" s="6">
        <f>Assumptions!K104+Assumptions!K128</f>
        <v>0</v>
      </c>
      <c r="L28" s="6">
        <f>Assumptions!L104+Assumptions!L128</f>
        <v>0</v>
      </c>
      <c r="M28" s="6">
        <f>Assumptions!M104+Assumptions!M128</f>
        <v>0</v>
      </c>
      <c r="N28" s="6">
        <f>Assumptions!N104+Assumptions!N128</f>
        <v>0</v>
      </c>
      <c r="O28" s="6">
        <f>Assumptions!O104+Assumptions!O128</f>
        <v>0</v>
      </c>
      <c r="P28" s="6">
        <f>Assumptions!P104+Assumptions!P128</f>
        <v>0</v>
      </c>
    </row>
    <row r="29" spans="1:16" x14ac:dyDescent="0.15">
      <c r="A29" s="100" t="s">
        <v>118</v>
      </c>
      <c r="B29" s="100"/>
      <c r="C29" s="100"/>
      <c r="D29" s="139">
        <f>Assumptions!D137</f>
        <v>0</v>
      </c>
      <c r="E29" s="139">
        <f>Assumptions!E137</f>
        <v>0</v>
      </c>
      <c r="F29" s="139">
        <f>Assumptions!F137</f>
        <v>0</v>
      </c>
      <c r="G29" s="139">
        <f>Assumptions!G137</f>
        <v>0</v>
      </c>
      <c r="H29" s="139">
        <f>Assumptions!H137</f>
        <v>0</v>
      </c>
      <c r="I29" s="139">
        <f>Assumptions!I137</f>
        <v>0</v>
      </c>
      <c r="J29" s="139">
        <f>Assumptions!J137</f>
        <v>0</v>
      </c>
      <c r="K29" s="139">
        <f>Assumptions!K137</f>
        <v>0</v>
      </c>
      <c r="L29" s="139">
        <f>Assumptions!L137</f>
        <v>0</v>
      </c>
      <c r="M29" s="139">
        <f>Assumptions!M137</f>
        <v>0</v>
      </c>
      <c r="N29" s="139">
        <f>Assumptions!N137</f>
        <v>0</v>
      </c>
      <c r="O29" s="139">
        <f>Assumptions!O137</f>
        <v>0</v>
      </c>
      <c r="P29" s="139">
        <f>Assumptions!P137</f>
        <v>0</v>
      </c>
    </row>
    <row r="30" spans="1:16" ht="14" thickBot="1" x14ac:dyDescent="0.2">
      <c r="A30" s="101" t="s">
        <v>101</v>
      </c>
      <c r="D30" s="6">
        <f>SUM(D27:D29)</f>
        <v>0</v>
      </c>
      <c r="E30" s="6">
        <f t="shared" ref="E30:P30" si="2">SUM(E27:E29)</f>
        <v>0</v>
      </c>
      <c r="F30" s="6">
        <f t="shared" si="2"/>
        <v>0</v>
      </c>
      <c r="G30" s="6">
        <f t="shared" si="2"/>
        <v>0</v>
      </c>
      <c r="H30" s="6">
        <f t="shared" si="2"/>
        <v>0</v>
      </c>
      <c r="I30" s="6">
        <f t="shared" si="2"/>
        <v>0</v>
      </c>
      <c r="J30" s="6">
        <f t="shared" si="2"/>
        <v>0</v>
      </c>
      <c r="K30" s="6">
        <f t="shared" si="2"/>
        <v>0</v>
      </c>
      <c r="L30" s="6">
        <f t="shared" si="2"/>
        <v>0</v>
      </c>
      <c r="M30" s="6">
        <f t="shared" si="2"/>
        <v>0</v>
      </c>
      <c r="N30" s="6">
        <f t="shared" si="2"/>
        <v>0</v>
      </c>
      <c r="O30" s="6">
        <f t="shared" si="2"/>
        <v>0</v>
      </c>
      <c r="P30" s="6">
        <f t="shared" si="2"/>
        <v>0</v>
      </c>
    </row>
    <row r="31" spans="1:16" ht="14" thickBot="1" x14ac:dyDescent="0.2">
      <c r="A31" s="101" t="s">
        <v>119</v>
      </c>
      <c r="D31" s="96">
        <f>SUM(D30:P30)</f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</sheetData>
  <mergeCells count="1">
    <mergeCell ref="G1:K1"/>
  </mergeCells>
  <phoneticPr fontId="0" type="noConversion"/>
  <printOptions gridLines="1"/>
  <pageMargins left="0.25" right="0.25" top="1" bottom="1" header="0.5" footer="0.5"/>
  <pageSetup scale="90" orientation="landscape" horizontalDpi="300" verticalDpi="300" r:id="rId1"/>
  <headerFooter alignWithMargins="0">
    <oddHeader>&amp;C&amp;"Times New Roman,Bold"&amp;16Sources and Uses</oddHeader>
    <oddFooter>&amp;L&amp;D &amp;T&amp;R&amp;F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D29"/>
  <sheetViews>
    <sheetView workbookViewId="0">
      <selection activeCell="M44" sqref="M44"/>
    </sheetView>
  </sheetViews>
  <sheetFormatPr baseColWidth="10" defaultColWidth="8.83203125" defaultRowHeight="13" x14ac:dyDescent="0.15"/>
  <cols>
    <col min="1" max="1" width="31.5" customWidth="1"/>
    <col min="2" max="2" width="2.5" customWidth="1"/>
    <col min="3" max="3" width="1.1640625" customWidth="1"/>
    <col min="4" max="4" width="9.6640625" hidden="1" customWidth="1"/>
  </cols>
  <sheetData>
    <row r="1" spans="1:30" ht="19" thickBot="1" x14ac:dyDescent="0.25">
      <c r="A1" s="18"/>
      <c r="B1" s="18"/>
      <c r="C1" s="18"/>
      <c r="D1" s="18"/>
      <c r="E1" s="18"/>
      <c r="F1" s="18"/>
      <c r="G1" s="18"/>
      <c r="H1" s="319" t="str">
        <f>Start!C6</f>
        <v>Serious Shea</v>
      </c>
      <c r="I1" s="319"/>
      <c r="J1" s="319"/>
      <c r="K1" s="319"/>
      <c r="L1" s="319"/>
      <c r="M1" s="18"/>
      <c r="N1" s="18"/>
      <c r="O1" s="18"/>
      <c r="P1" s="18"/>
      <c r="Q1" s="18"/>
    </row>
    <row r="2" spans="1:30" ht="14" thickTop="1" x14ac:dyDescent="0.15">
      <c r="A2" s="34" t="s">
        <v>1</v>
      </c>
      <c r="B2" s="35"/>
      <c r="C2" s="35"/>
      <c r="D2" s="177">
        <f>HistoricalData!D6</f>
        <v>2021</v>
      </c>
      <c r="E2" s="35">
        <f>Assumptions!D1</f>
        <v>2022</v>
      </c>
      <c r="F2" s="35">
        <f t="shared" ref="F2:L2" si="0">E2+1</f>
        <v>2023</v>
      </c>
      <c r="G2" s="35">
        <f t="shared" si="0"/>
        <v>2024</v>
      </c>
      <c r="H2" s="35">
        <f t="shared" si="0"/>
        <v>2025</v>
      </c>
      <c r="I2" s="35">
        <f t="shared" si="0"/>
        <v>2026</v>
      </c>
      <c r="J2" s="35">
        <f t="shared" si="0"/>
        <v>2027</v>
      </c>
      <c r="K2" s="35">
        <f t="shared" si="0"/>
        <v>2028</v>
      </c>
      <c r="L2" s="35">
        <f t="shared" si="0"/>
        <v>2029</v>
      </c>
      <c r="M2" s="35">
        <f>L2+1</f>
        <v>2030</v>
      </c>
      <c r="N2" s="35">
        <f>M2+1</f>
        <v>2031</v>
      </c>
      <c r="O2" s="35">
        <f>N2+1</f>
        <v>2032</v>
      </c>
      <c r="P2" s="35">
        <f>O2+1</f>
        <v>2033</v>
      </c>
      <c r="Q2" s="35">
        <f>P2+1</f>
        <v>2034</v>
      </c>
    </row>
    <row r="3" spans="1:30" x14ac:dyDescent="0.15">
      <c r="A3" s="18"/>
      <c r="B3" s="18"/>
      <c r="C3" s="18"/>
      <c r="D3" s="71" t="s">
        <v>219</v>
      </c>
      <c r="E3" s="71" t="s">
        <v>207</v>
      </c>
      <c r="F3" s="71" t="s">
        <v>207</v>
      </c>
      <c r="G3" s="71" t="s">
        <v>207</v>
      </c>
      <c r="H3" s="71" t="s">
        <v>207</v>
      </c>
      <c r="I3" s="71" t="s">
        <v>207</v>
      </c>
      <c r="J3" s="71" t="s">
        <v>207</v>
      </c>
      <c r="K3" s="71" t="s">
        <v>207</v>
      </c>
      <c r="L3" s="71" t="s">
        <v>207</v>
      </c>
      <c r="M3" s="71" t="s">
        <v>207</v>
      </c>
      <c r="N3" s="71" t="s">
        <v>207</v>
      </c>
      <c r="O3" s="71" t="s">
        <v>207</v>
      </c>
      <c r="P3" s="71" t="s">
        <v>207</v>
      </c>
      <c r="Q3" s="71" t="s">
        <v>207</v>
      </c>
    </row>
    <row r="4" spans="1:30" x14ac:dyDescent="0.15">
      <c r="A4" s="97" t="s">
        <v>68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</row>
    <row r="5" spans="1:30" s="7" customFormat="1" x14ac:dyDescent="0.15">
      <c r="A5" s="242" t="s">
        <v>69</v>
      </c>
      <c r="B5" s="93"/>
      <c r="C5" s="93"/>
      <c r="D5" s="93" t="str">
        <f>IF(ISERROR((Balance!D13-Balance!D10)/Balance!D39),"  ",(Balance!D13-Balance!D10)/Balance!D39)</f>
        <v xml:space="preserve">  </v>
      </c>
      <c r="E5" s="93">
        <f>IF(ISERROR((Balance!E13-Balance!E10)/Balance!E39),"  ",(Balance!E13-Balance!E10)/Balance!E39)</f>
        <v>-3.1672688150520418</v>
      </c>
      <c r="F5" s="93">
        <f>IF(ISERROR((Balance!F13-Balance!F10)/Balance!F39),"  ",(Balance!F13-Balance!F10)/Balance!F39)</f>
        <v>0.36241276441152825</v>
      </c>
      <c r="G5" s="93">
        <f>IF(ISERROR((Balance!G13-Balance!G10)/Balance!G39),"  ",(Balance!G13-Balance!G10)/Balance!G39)</f>
        <v>3.9455943438750984</v>
      </c>
      <c r="H5" s="93">
        <f>IF(ISERROR((Balance!H13-Balance!H10)/Balance!H39),"  ",(Balance!H13-Balance!H10)/Balance!H39)</f>
        <v>7.5822759233386687</v>
      </c>
      <c r="I5" s="93">
        <f>IF(ISERROR((Balance!I13-Balance!I10)/Balance!I39),"  ",(Balance!I13-Balance!I10)/Balance!I39)</f>
        <v>11.27245750280224</v>
      </c>
      <c r="J5" s="93">
        <f>IF(ISERROR((Balance!J13-Balance!J10)/Balance!J39),"  ",(Balance!J13-Balance!J10)/Balance!J39)</f>
        <v>15.016139082265811</v>
      </c>
      <c r="K5" s="93">
        <f>IF(ISERROR((Balance!K13-Balance!K10)/Balance!K39),"  ",(Balance!K13-Balance!K10)/Balance!K39)</f>
        <v>18.813320661729382</v>
      </c>
      <c r="L5" s="93">
        <f>IF(ISERROR((Balance!L13-Balance!L10)/Balance!L39),"  ",(Balance!L13-Balance!L10)/Balance!L39)</f>
        <v>22.664002241192954</v>
      </c>
      <c r="M5" s="93">
        <f>IF(ISERROR((Balance!M13-Balance!M10)/Balance!M39),"  ",(Balance!M13-Balance!M10)/Balance!M39)</f>
        <v>26.568183820656529</v>
      </c>
      <c r="N5" s="93">
        <f>IF(ISERROR((Balance!N13-Balance!N10)/Balance!N39),"  ",(Balance!N13-Balance!N10)/Balance!N39)</f>
        <v>61.0517308002402</v>
      </c>
      <c r="O5" s="93" t="str">
        <f>IF(ISERROR((Balance!O13-Balance!O10)/Balance!O39),"  ",(Balance!O13-Balance!O10)/Balance!O39)</f>
        <v xml:space="preserve">  </v>
      </c>
      <c r="P5" s="93" t="str">
        <f>IF(ISERROR((Balance!P13-Balance!P10)/Balance!P39),"  ",(Balance!P13-Balance!P10)/Balance!P39)</f>
        <v xml:space="preserve">  </v>
      </c>
      <c r="Q5" s="93" t="str">
        <f>IF(ISERROR((Balance!Q13-Balance!Q10)/Balance!Q39),"  ",(Balance!Q13-Balance!Q10)/Balance!Q39)</f>
        <v xml:space="preserve">  </v>
      </c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7" customFormat="1" x14ac:dyDescent="0.15">
      <c r="A6" s="242" t="s">
        <v>70</v>
      </c>
      <c r="B6" s="93"/>
      <c r="C6" s="93"/>
      <c r="D6" s="93" t="str">
        <f>IF(ISERROR(Balance!D13/Balance!D39),"  ",Balance!D13/Balance!D39)</f>
        <v xml:space="preserve">  </v>
      </c>
      <c r="E6" s="93">
        <f>IF(ISERROR(Balance!E13/Balance!E39),"  ",Balance!E13/Balance!E39)</f>
        <v>-3.1672688150520418</v>
      </c>
      <c r="F6" s="93">
        <f>IF(ISERROR(Balance!F13/Balance!F39),"  ",Balance!F13/Balance!F39)</f>
        <v>0.36241276441152825</v>
      </c>
      <c r="G6" s="93">
        <f>IF(ISERROR(Balance!G13/Balance!G39),"  ",Balance!G13/Balance!G39)</f>
        <v>3.9455943438750984</v>
      </c>
      <c r="H6" s="93">
        <f>IF(ISERROR(Balance!H13/Balance!H39),"  ",Balance!H13/Balance!H39)</f>
        <v>7.5822759233386687</v>
      </c>
      <c r="I6" s="93">
        <f>IF(ISERROR(Balance!I13/Balance!I39),"  ",Balance!I13/Balance!I39)</f>
        <v>11.27245750280224</v>
      </c>
      <c r="J6" s="93">
        <f>IF(ISERROR(Balance!J13/Balance!J39),"  ",Balance!J13/Balance!J39)</f>
        <v>15.016139082265811</v>
      </c>
      <c r="K6" s="93">
        <f>IF(ISERROR(Balance!K13/Balance!K39),"  ",Balance!K13/Balance!K39)</f>
        <v>18.813320661729382</v>
      </c>
      <c r="L6" s="93">
        <f>IF(ISERROR(Balance!L13/Balance!L39),"  ",Balance!L13/Balance!L39)</f>
        <v>22.664002241192954</v>
      </c>
      <c r="M6" s="93">
        <f>IF(ISERROR(Balance!M13/Balance!M39),"  ",Balance!M13/Balance!M39)</f>
        <v>26.568183820656529</v>
      </c>
      <c r="N6" s="93">
        <f>IF(ISERROR(Balance!N13/Balance!N39),"  ",Balance!N13/Balance!N39)</f>
        <v>61.0517308002402</v>
      </c>
      <c r="O6" s="93" t="str">
        <f>IF(ISERROR(Balance!O13/Balance!O39),"  ",Balance!O13/Balance!O39)</f>
        <v xml:space="preserve">  </v>
      </c>
      <c r="P6" s="93" t="str">
        <f>IF(ISERROR(Balance!P13/Balance!P39),"  ",Balance!P13/Balance!P39)</f>
        <v xml:space="preserve">  </v>
      </c>
      <c r="Q6" s="93" t="str">
        <f>IF(ISERROR(Balance!Q13/Balance!Q39),"  ",Balance!Q13/Balance!Q39)</f>
        <v xml:space="preserve">  </v>
      </c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7" customFormat="1" x14ac:dyDescent="0.15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7" customFormat="1" x14ac:dyDescent="0.15">
      <c r="A8" s="92" t="s">
        <v>294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7" customFormat="1" x14ac:dyDescent="0.15">
      <c r="A9" s="243" t="s">
        <v>299</v>
      </c>
      <c r="B9" s="93"/>
      <c r="C9" s="93"/>
      <c r="D9" s="93" t="str">
        <f>IF(ISERROR((Balance!D39+Balance!D45)/Balance!D50),"   ",(Balance!D39+Balance!D45)/Balance!D50)</f>
        <v xml:space="preserve">   </v>
      </c>
      <c r="E9" s="93" t="str">
        <f>IF(ISERROR((Balance!E39+Balance!E45)/Balance!E50),"   ",(Balance!E39+Balance!E45)/Balance!E50)</f>
        <v xml:space="preserve">   </v>
      </c>
      <c r="F9" s="93">
        <f>IF(ISERROR((Balance!F39+Balance!F45)/Balance!F50),"   ",(Balance!F39+Balance!F45)/Balance!F50)</f>
        <v>2.4345446992720605</v>
      </c>
      <c r="G9" s="93">
        <f>IF(ISERROR((Balance!G39+Balance!G45)/Balance!G50),"   ",(Balance!G39+Balance!G45)/Balance!G50)</f>
        <v>1.0658973001331207</v>
      </c>
      <c r="H9" s="93">
        <f>IF(ISERROR((Balance!H39+Balance!H45)/Balance!H50),"   ",(Balance!H39+Balance!H45)/Balance!H50)</f>
        <v>0.61120454035523875</v>
      </c>
      <c r="I9" s="93">
        <f>IF(ISERROR((Balance!I39+Balance!I45)/Balance!I50),"   ",(Balance!I39+Balance!I45)/Balance!I50)</f>
        <v>0.38497477506880079</v>
      </c>
      <c r="J9" s="93">
        <f>IF(ISERROR((Balance!J39+Balance!J45)/Balance!J50),"   ",(Balance!J39+Balance!J45)/Balance!J50)</f>
        <v>0.25011028583405948</v>
      </c>
      <c r="K9" s="93">
        <f>IF(ISERROR((Balance!K39+Balance!K45)/Balance!K50),"   ",(Balance!K39+Balance!K45)/Balance!K50)</f>
        <v>0.16091232317824858</v>
      </c>
      <c r="L9" s="93">
        <f>IF(ISERROR((Balance!L39+Balance!L45)/Balance!L50),"   ",(Balance!L39+Balance!L45)/Balance!L50)</f>
        <v>9.7796113379450142E-2</v>
      </c>
      <c r="M9" s="93">
        <f>IF(ISERROR((Balance!M39+Balance!M45)/Balance!M50),"   ",(Balance!M39+Balance!M45)/Balance!M50)</f>
        <v>5.0969610749809852E-2</v>
      </c>
      <c r="N9" s="93">
        <f>IF(ISERROR((Balance!N39+Balance!N45)/Balance!N50),"   ",(Balance!N39+Balance!N45)/Balance!N50)</f>
        <v>1.4993082225562471E-2</v>
      </c>
      <c r="O9" s="93">
        <f>IF(ISERROR((Balance!O39+Balance!O45)/Balance!O50),"   ",(Balance!O39+Balance!O45)/Balance!O50)</f>
        <v>-7.7788164962121205E-17</v>
      </c>
      <c r="P9" s="93">
        <f>IF(ISERROR((Balance!P39+Balance!P45)/Balance!P50),"   ",(Balance!P39+Balance!P45)/Balance!P50)</f>
        <v>-7.7788164962121205E-17</v>
      </c>
      <c r="Q9" s="93">
        <f>IF(ISERROR((Balance!Q39+Balance!Q45)/Balance!Q50),"   ",(Balance!Q39+Balance!Q45)/Balance!Q50)</f>
        <v>-7.7788164962121205E-17</v>
      </c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7" customFormat="1" x14ac:dyDescent="0.15">
      <c r="A10" s="243" t="s">
        <v>300</v>
      </c>
      <c r="B10" s="93"/>
      <c r="C10" s="93"/>
      <c r="D10" s="93" t="str">
        <f>IF(ISERROR((Balance!D39+Balance!D45-Balance!D43)/(Balance!D50+Balance!D43)),"  ",(Balance!D39+Balance!D45-Balance!D43)/(Balance!D50+Balance!D43))</f>
        <v xml:space="preserve">  </v>
      </c>
      <c r="E10" s="93" t="str">
        <f>IF(ISERROR((Balance!E39+Balance!E45-Balance!E43)/(Balance!E50+Balance!E43)),"  ",(Balance!E39+Balance!E45-Balance!E43)/(Balance!E50+Balance!E43))</f>
        <v xml:space="preserve">  </v>
      </c>
      <c r="F10" s="93">
        <f>IF(ISERROR((Balance!F39+Balance!F45-Balance!F43)/(Balance!F50+Balance!F43)),"  ",(Balance!F39+Balance!F45-Balance!F43)/(Balance!F50+Balance!F43))</f>
        <v>2.4345446992720605</v>
      </c>
      <c r="G10" s="93">
        <f>IF(ISERROR((Balance!G39+Balance!G45-Balance!G43)/(Balance!G50+Balance!G43)),"  ",(Balance!G39+Balance!G45-Balance!G43)/(Balance!G50+Balance!G43))</f>
        <v>1.0658973001331207</v>
      </c>
      <c r="H10" s="93">
        <f>IF(ISERROR((Balance!H39+Balance!H45-Balance!H43)/(Balance!H50+Balance!H43)),"  ",(Balance!H39+Balance!H45-Balance!H43)/(Balance!H50+Balance!H43))</f>
        <v>0.61120454035523875</v>
      </c>
      <c r="I10" s="93">
        <f>IF(ISERROR((Balance!I39+Balance!I45-Balance!I43)/(Balance!I50+Balance!I43)),"  ",(Balance!I39+Balance!I45-Balance!I43)/(Balance!I50+Balance!I43))</f>
        <v>0.38497477506880079</v>
      </c>
      <c r="J10" s="93">
        <f>IF(ISERROR((Balance!J39+Balance!J45-Balance!J43)/(Balance!J50+Balance!J43)),"  ",(Balance!J39+Balance!J45-Balance!J43)/(Balance!J50+Balance!J43))</f>
        <v>0.25011028583405948</v>
      </c>
      <c r="K10" s="93">
        <f>IF(ISERROR((Balance!K39+Balance!K45-Balance!K43)/(Balance!K50+Balance!K43)),"  ",(Balance!K39+Balance!K45-Balance!K43)/(Balance!K50+Balance!K43))</f>
        <v>0.16091232317824858</v>
      </c>
      <c r="L10" s="93">
        <f>IF(ISERROR((Balance!L39+Balance!L45-Balance!L43)/(Balance!L50+Balance!L43)),"  ",(Balance!L39+Balance!L45-Balance!L43)/(Balance!L50+Balance!L43))</f>
        <v>9.7796113379450142E-2</v>
      </c>
      <c r="M10" s="93">
        <f>IF(ISERROR((Balance!M39+Balance!M45-Balance!M43)/(Balance!M50+Balance!M43)),"  ",(Balance!M39+Balance!M45-Balance!M43)/(Balance!M50+Balance!M43))</f>
        <v>5.0969610749809852E-2</v>
      </c>
      <c r="N10" s="93">
        <f>IF(ISERROR((Balance!N39+Balance!N45-Balance!N43)/(Balance!N50+Balance!N43)),"  ",(Balance!N39+Balance!N45-Balance!N43)/(Balance!N50+Balance!N43))</f>
        <v>1.4993082225562471E-2</v>
      </c>
      <c r="O10" s="93">
        <f>IF(ISERROR((Balance!O39+Balance!O45-Balance!O43)/(Balance!O50+Balance!O43)),"  ",(Balance!O39+Balance!O45-Balance!O43)/(Balance!O50+Balance!O43))</f>
        <v>-7.7788164962121205E-17</v>
      </c>
      <c r="P10" s="93">
        <f>IF(ISERROR((Balance!P39+Balance!P45-Balance!P43)/(Balance!P50+Balance!P43)),"  ",(Balance!P39+Balance!P45-Balance!P43)/(Balance!P50+Balance!P43))</f>
        <v>-7.7788164962121205E-17</v>
      </c>
      <c r="Q10" s="93">
        <f>IF(ISERROR((Balance!Q39+Balance!Q45-Balance!Q43)/(Balance!Q50+Balance!Q43)),"  ",(Balance!Q39+Balance!Q45-Balance!Q43)/(Balance!Q50+Balance!Q43))</f>
        <v>-7.7788164962121205E-17</v>
      </c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7" customFormat="1" x14ac:dyDescent="0.15">
      <c r="A11" s="98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7" customFormat="1" x14ac:dyDescent="0.15">
      <c r="A12" s="98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7" customFormat="1" x14ac:dyDescent="0.15">
      <c r="A13" s="92" t="s">
        <v>287</v>
      </c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7" customFormat="1" x14ac:dyDescent="0.15">
      <c r="A14" s="243" t="s">
        <v>288</v>
      </c>
      <c r="B14" s="93"/>
      <c r="C14" s="93"/>
      <c r="D14" s="233">
        <f>CashFlow!D22</f>
        <v>0</v>
      </c>
      <c r="E14" s="233">
        <f>CashFlow!E22</f>
        <v>0</v>
      </c>
      <c r="F14" s="233">
        <f>CashFlow!F22</f>
        <v>3953.031027</v>
      </c>
      <c r="G14" s="233">
        <f>CashFlow!G22</f>
        <v>3953.031027</v>
      </c>
      <c r="H14" s="233">
        <f>CashFlow!H22</f>
        <v>3953.031027</v>
      </c>
      <c r="I14" s="233">
        <f>CashFlow!I22</f>
        <v>3953.031027</v>
      </c>
      <c r="J14" s="233">
        <f>CashFlow!J22</f>
        <v>3953.031027</v>
      </c>
      <c r="K14" s="233">
        <f>CashFlow!K22</f>
        <v>3953.031027</v>
      </c>
      <c r="L14" s="233">
        <f>CashFlow!L22</f>
        <v>3953.031027</v>
      </c>
      <c r="M14" s="233">
        <f>CashFlow!M22</f>
        <v>3953.031027</v>
      </c>
      <c r="N14" s="233">
        <f>CashFlow!N22</f>
        <v>3953.031027</v>
      </c>
      <c r="O14" s="233">
        <f>CashFlow!O22</f>
        <v>0</v>
      </c>
      <c r="P14" s="233">
        <f>CashFlow!P22</f>
        <v>0</v>
      </c>
      <c r="Q14" s="233">
        <f>CashFlow!Q22</f>
        <v>0</v>
      </c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7" customFormat="1" x14ac:dyDescent="0.15">
      <c r="A15" s="243" t="s">
        <v>301</v>
      </c>
      <c r="B15" s="93"/>
      <c r="C15" s="93"/>
      <c r="D15" s="93" t="str">
        <f>CashFlow!D57</f>
        <v>N/A</v>
      </c>
      <c r="E15" s="93" t="str">
        <f>CashFlow!E57</f>
        <v>N/A</v>
      </c>
      <c r="F15" s="93">
        <f>CashFlow!F57</f>
        <v>10.407438378948227</v>
      </c>
      <c r="G15" s="93">
        <f>CashFlow!G57</f>
        <v>11.708368176316755</v>
      </c>
      <c r="H15" s="93">
        <f>CashFlow!H57</f>
        <v>13.380992201504867</v>
      </c>
      <c r="I15" s="93">
        <f>CashFlow!I57</f>
        <v>15.611157568422344</v>
      </c>
      <c r="J15" s="93">
        <f>CashFlow!J57</f>
        <v>18.733389082106818</v>
      </c>
      <c r="K15" s="93">
        <f>CashFlow!K57</f>
        <v>23.416736352633524</v>
      </c>
      <c r="L15" s="93">
        <f>CashFlow!L57</f>
        <v>31.222315136844706</v>
      </c>
      <c r="M15" s="93">
        <f>CashFlow!M57</f>
        <v>46.833472705267077</v>
      </c>
      <c r="N15" s="93">
        <f>CashFlow!N57</f>
        <v>93.666945410534282</v>
      </c>
      <c r="O15" s="93">
        <f>CashFlow!O57</f>
        <v>0</v>
      </c>
      <c r="P15" s="93" t="str">
        <f>CashFlow!P57</f>
        <v>N/A</v>
      </c>
      <c r="Q15" s="93" t="str">
        <f>CashFlow!Q57</f>
        <v>N/A</v>
      </c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7" customFormat="1" x14ac:dyDescent="0.15">
      <c r="A16" s="243" t="s">
        <v>110</v>
      </c>
      <c r="B16" s="93"/>
      <c r="C16" s="93"/>
      <c r="D16" s="93" t="str">
        <f>CashFlow!D58</f>
        <v>N/A</v>
      </c>
      <c r="E16" s="93" t="str">
        <f>CashFlow!E58</f>
        <v>N/A</v>
      </c>
      <c r="F16" s="93">
        <f>CashFlow!F58</f>
        <v>5.0111815794635675</v>
      </c>
      <c r="G16" s="93">
        <f>CashFlow!G58</f>
        <v>5.0111815794635675</v>
      </c>
      <c r="H16" s="93">
        <f>CashFlow!H58</f>
        <v>5.0111815794635675</v>
      </c>
      <c r="I16" s="93">
        <f>CashFlow!I58</f>
        <v>5.011181579463571</v>
      </c>
      <c r="J16" s="93">
        <f>CashFlow!J58</f>
        <v>5.011181579463571</v>
      </c>
      <c r="K16" s="93">
        <f>CashFlow!K58</f>
        <v>5.011181579463571</v>
      </c>
      <c r="L16" s="93">
        <f>CashFlow!L58</f>
        <v>5.011181579463571</v>
      </c>
      <c r="M16" s="93">
        <f>CashFlow!M58</f>
        <v>5.011181579463571</v>
      </c>
      <c r="N16" s="93">
        <f>CashFlow!N58</f>
        <v>5.011181579463571</v>
      </c>
      <c r="O16" s="93">
        <f>CashFlow!O58</f>
        <v>0</v>
      </c>
      <c r="P16" s="93" t="str">
        <f>CashFlow!P58</f>
        <v>N/A</v>
      </c>
      <c r="Q16" s="93" t="str">
        <f>CashFlow!Q58</f>
        <v>N/A</v>
      </c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7" customFormat="1" x14ac:dyDescent="0.15">
      <c r="A17" s="243" t="s">
        <v>78</v>
      </c>
      <c r="B17" s="93"/>
      <c r="C17" s="93"/>
      <c r="D17" s="93" t="str">
        <f>CashFlow!D59</f>
        <v>N/A</v>
      </c>
      <c r="E17" s="93" t="str">
        <f>CashFlow!E59</f>
        <v>N/A</v>
      </c>
      <c r="F17" s="93">
        <f>CashFlow!F59</f>
        <v>3.3825052848218489</v>
      </c>
      <c r="G17" s="93">
        <f>CashFlow!G59</f>
        <v>3.5092307979436757</v>
      </c>
      <c r="H17" s="93">
        <f>CashFlow!H59</f>
        <v>3.6458214474089257</v>
      </c>
      <c r="I17" s="93">
        <f>CashFlow!I59</f>
        <v>3.793475836081432</v>
      </c>
      <c r="J17" s="93">
        <f>CashFlow!J59</f>
        <v>3.9535949344880246</v>
      </c>
      <c r="K17" s="93">
        <f>CashFlow!K59</f>
        <v>4.1278266717162859</v>
      </c>
      <c r="L17" s="93">
        <f>CashFlow!L59</f>
        <v>4.3181228603736068</v>
      </c>
      <c r="M17" s="93">
        <f>CashFlow!M59</f>
        <v>4.5268126282417089</v>
      </c>
      <c r="N17" s="93">
        <f>CashFlow!N59</f>
        <v>4.7566982244552172</v>
      </c>
      <c r="O17" s="93">
        <f>CashFlow!O59</f>
        <v>0</v>
      </c>
      <c r="P17" s="93" t="str">
        <f>CashFlow!P59</f>
        <v>N/A</v>
      </c>
      <c r="Q17" s="93" t="str">
        <f>CashFlow!Q59</f>
        <v>N/A</v>
      </c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7" customFormat="1" x14ac:dyDescent="0.1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7" customFormat="1" x14ac:dyDescent="0.15">
      <c r="A19" s="92" t="s">
        <v>282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7" customFormat="1" x14ac:dyDescent="0.15">
      <c r="A20" s="243" t="s">
        <v>284</v>
      </c>
      <c r="B20" s="93"/>
      <c r="C20" s="93"/>
      <c r="D20" s="233">
        <f>Income!D27</f>
        <v>0</v>
      </c>
      <c r="E20" s="233">
        <f>Income!F27</f>
        <v>0</v>
      </c>
      <c r="F20" s="233">
        <f>Income!H27</f>
        <v>3953.031027</v>
      </c>
      <c r="G20" s="233">
        <f>Income!J27</f>
        <v>3953.031027</v>
      </c>
      <c r="H20" s="233">
        <f>Income!L27</f>
        <v>3953.031027</v>
      </c>
      <c r="I20" s="233">
        <f>Income!N27</f>
        <v>3953.031027</v>
      </c>
      <c r="J20" s="233">
        <f>Income!P27</f>
        <v>3953.031027</v>
      </c>
      <c r="K20" s="233">
        <f>Income!R27</f>
        <v>3953.031027</v>
      </c>
      <c r="L20" s="233">
        <f>Income!T27</f>
        <v>3953.031027</v>
      </c>
      <c r="M20" s="233">
        <f>Income!V27</f>
        <v>3953.031027</v>
      </c>
      <c r="N20" s="233">
        <f>Income!X27</f>
        <v>3953.031027</v>
      </c>
      <c r="O20" s="233">
        <f>Income!Z27</f>
        <v>0</v>
      </c>
      <c r="P20" s="233">
        <f>Income!AB27</f>
        <v>0</v>
      </c>
      <c r="Q20" s="233">
        <f>Income!AD27</f>
        <v>0</v>
      </c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7" customFormat="1" x14ac:dyDescent="0.15">
      <c r="A21" s="243" t="s">
        <v>283</v>
      </c>
      <c r="B21" s="93"/>
      <c r="C21" s="93"/>
      <c r="D21" s="270" t="str">
        <f>Income!E27</f>
        <v xml:space="preserve">  </v>
      </c>
      <c r="E21" s="270" t="str">
        <f>Income!G27</f>
        <v xml:space="preserve">  </v>
      </c>
      <c r="F21" s="270">
        <f>Income!I27</f>
        <v>0.32859502639213306</v>
      </c>
      <c r="G21" s="270">
        <f>Income!K27</f>
        <v>0.32859502639213306</v>
      </c>
      <c r="H21" s="270">
        <f>Income!M27</f>
        <v>0.32859502639213306</v>
      </c>
      <c r="I21" s="270">
        <f>Income!O27</f>
        <v>0.32859502639213306</v>
      </c>
      <c r="J21" s="270">
        <f>Income!Q27</f>
        <v>0.32859502639213306</v>
      </c>
      <c r="K21" s="270">
        <f>Income!S27</f>
        <v>0.32859502639213306</v>
      </c>
      <c r="L21" s="270">
        <f>Income!U27</f>
        <v>0.32859502639213306</v>
      </c>
      <c r="M21" s="270">
        <f>Income!W27</f>
        <v>0.32859502639213306</v>
      </c>
      <c r="N21" s="270">
        <f>Income!Y27</f>
        <v>0.32859502639213306</v>
      </c>
      <c r="O21" s="270" t="str">
        <f>Income!AA27</f>
        <v xml:space="preserve">  </v>
      </c>
      <c r="P21" s="270" t="str">
        <f>Income!AC27</f>
        <v xml:space="preserve">  </v>
      </c>
      <c r="Q21" s="270" t="str">
        <f>Income!AE27</f>
        <v xml:space="preserve">  </v>
      </c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7" customFormat="1" x14ac:dyDescent="0.15">
      <c r="A22" s="243" t="s">
        <v>285</v>
      </c>
      <c r="B22" s="93"/>
      <c r="C22" s="93"/>
      <c r="D22" s="233">
        <f>Income!D39</f>
        <v>0</v>
      </c>
      <c r="E22" s="233">
        <f>Income!F39</f>
        <v>0</v>
      </c>
      <c r="F22" s="233">
        <f>Income!H39</f>
        <v>2754.1732533157897</v>
      </c>
      <c r="G22" s="233">
        <f>Income!J39</f>
        <v>2796.3763059473686</v>
      </c>
      <c r="H22" s="233">
        <f>Income!L39</f>
        <v>2838.5793585789474</v>
      </c>
      <c r="I22" s="233">
        <f>Income!N39</f>
        <v>2880.7824112105263</v>
      </c>
      <c r="J22" s="233">
        <f>Income!P39</f>
        <v>2922.9854638421057</v>
      </c>
      <c r="K22" s="233">
        <f>Income!R39</f>
        <v>2965.1885164736846</v>
      </c>
      <c r="L22" s="233">
        <f>Income!T39</f>
        <v>3007.3915691052634</v>
      </c>
      <c r="M22" s="233">
        <f>Income!V39</f>
        <v>3049.5946217368423</v>
      </c>
      <c r="N22" s="233">
        <f>Income!X39</f>
        <v>3091.7976743684212</v>
      </c>
      <c r="O22" s="233">
        <f>Income!Z39</f>
        <v>0</v>
      </c>
      <c r="P22" s="233">
        <f>Income!AB39</f>
        <v>1.0948042472591623E-13</v>
      </c>
      <c r="Q22" s="233">
        <f>Income!AD39</f>
        <v>1.0948042472591623E-13</v>
      </c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7" customFormat="1" x14ac:dyDescent="0.15">
      <c r="A23" s="243" t="s">
        <v>286</v>
      </c>
      <c r="B23" s="93"/>
      <c r="C23" s="93"/>
      <c r="D23" s="270" t="str">
        <f>Income!E39</f>
        <v xml:space="preserve">  </v>
      </c>
      <c r="E23" s="270" t="str">
        <f>Income!G39</f>
        <v xml:space="preserve">  </v>
      </c>
      <c r="F23" s="270">
        <f>Income!I39</f>
        <v>0.2289401794927548</v>
      </c>
      <c r="G23" s="270">
        <f>Income!K39</f>
        <v>0.23244830100725417</v>
      </c>
      <c r="H23" s="270">
        <f>Income!M39</f>
        <v>0.23595642252175356</v>
      </c>
      <c r="I23" s="270">
        <f>Income!O39</f>
        <v>0.23946454403625292</v>
      </c>
      <c r="J23" s="270">
        <f>Income!Q39</f>
        <v>0.24297266555075234</v>
      </c>
      <c r="K23" s="270">
        <f>Income!S39</f>
        <v>0.2464807870652517</v>
      </c>
      <c r="L23" s="270">
        <f>Income!U39</f>
        <v>0.24998890857975106</v>
      </c>
      <c r="M23" s="270">
        <f>Income!W39</f>
        <v>0.25349703009425045</v>
      </c>
      <c r="N23" s="270">
        <f>Income!Y39</f>
        <v>0.25700515160874982</v>
      </c>
      <c r="O23" s="270" t="str">
        <f>Income!AA39</f>
        <v xml:space="preserve">  </v>
      </c>
      <c r="P23" s="270" t="str">
        <f>Income!AC39</f>
        <v xml:space="preserve">  </v>
      </c>
      <c r="Q23" s="270" t="str">
        <f>Income!AE39</f>
        <v xml:space="preserve">  </v>
      </c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x14ac:dyDescent="0.15">
      <c r="A24" s="1" t="s">
        <v>0</v>
      </c>
    </row>
    <row r="25" spans="1:30" x14ac:dyDescent="0.15">
      <c r="A25" s="244" t="s">
        <v>289</v>
      </c>
    </row>
    <row r="26" spans="1:30" x14ac:dyDescent="0.15">
      <c r="A26" s="243" t="s">
        <v>290</v>
      </c>
      <c r="D26" s="143"/>
      <c r="E26" s="143">
        <f>CashFlow!E86</f>
        <v>0.51494258876692522</v>
      </c>
    </row>
    <row r="27" spans="1:30" x14ac:dyDescent="0.15">
      <c r="A27" s="243" t="s">
        <v>291</v>
      </c>
      <c r="D27" s="245"/>
      <c r="E27" s="13">
        <f>CashFlow!E87</f>
        <v>20170.637205069888</v>
      </c>
    </row>
    <row r="28" spans="1:30" x14ac:dyDescent="0.15">
      <c r="A28" s="243" t="s">
        <v>292</v>
      </c>
      <c r="D28" s="143"/>
      <c r="E28" s="143" t="e">
        <f>CashFlow!E95</f>
        <v>#NUM!</v>
      </c>
    </row>
    <row r="29" spans="1:30" x14ac:dyDescent="0.15">
      <c r="A29" s="243" t="s">
        <v>293</v>
      </c>
      <c r="D29" s="245"/>
      <c r="E29" s="13">
        <f>CashFlow!E96</f>
        <v>0</v>
      </c>
    </row>
  </sheetData>
  <mergeCells count="1">
    <mergeCell ref="H1:L1"/>
  </mergeCells>
  <phoneticPr fontId="0" type="noConversion"/>
  <printOptions horizontalCentered="1" gridLines="1" gridLinesSet="0"/>
  <pageMargins left="0.25" right="0.25" top="1" bottom="1" header="0.5" footer="0.5"/>
  <pageSetup scale="87" orientation="landscape" horizontalDpi="300" verticalDpi="300" r:id="rId1"/>
  <headerFooter alignWithMargins="0">
    <oddHeader>&amp;C&amp;"Times New Roman,Bold"&amp;16Ratio Analysis</oddHeader>
    <oddFooter>&amp;L&amp;D &amp;T&amp;R&amp;F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04FA6-D4D6-4679-9C5C-A6B65BA7C080}">
  <dimension ref="A1:B16"/>
  <sheetViews>
    <sheetView workbookViewId="0">
      <selection activeCell="A17" sqref="A17"/>
    </sheetView>
  </sheetViews>
  <sheetFormatPr baseColWidth="10" defaultColWidth="8.83203125" defaultRowHeight="13" x14ac:dyDescent="0.15"/>
  <cols>
    <col min="1" max="1" width="98.6640625" customWidth="1"/>
    <col min="2" max="2" width="90.1640625" customWidth="1"/>
  </cols>
  <sheetData>
    <row r="1" spans="1:2" ht="18" x14ac:dyDescent="0.2">
      <c r="A1" s="285" t="s">
        <v>318</v>
      </c>
      <c r="B1" s="286" t="s">
        <v>520</v>
      </c>
    </row>
    <row r="2" spans="1:2" x14ac:dyDescent="0.15">
      <c r="A2" s="287" t="s">
        <v>521</v>
      </c>
      <c r="B2" s="286" t="s">
        <v>522</v>
      </c>
    </row>
    <row r="3" spans="1:2" ht="16" x14ac:dyDescent="0.2">
      <c r="A3" s="288" t="s">
        <v>523</v>
      </c>
      <c r="B3" s="286" t="s">
        <v>524</v>
      </c>
    </row>
    <row r="4" spans="1:2" ht="16" x14ac:dyDescent="0.2">
      <c r="A4" s="289"/>
      <c r="B4" s="290"/>
    </row>
    <row r="5" spans="1:2" ht="16" x14ac:dyDescent="0.2">
      <c r="A5" s="288" t="s">
        <v>525</v>
      </c>
      <c r="B5" s="286" t="s">
        <v>526</v>
      </c>
    </row>
    <row r="6" spans="1:2" ht="16" x14ac:dyDescent="0.2">
      <c r="A6" s="289"/>
    </row>
    <row r="7" spans="1:2" x14ac:dyDescent="0.15">
      <c r="A7" s="310" t="s">
        <v>540</v>
      </c>
    </row>
    <row r="8" spans="1:2" ht="16" x14ac:dyDescent="0.2">
      <c r="A8" s="274"/>
      <c r="B8" s="274"/>
    </row>
    <row r="9" spans="1:2" ht="16" x14ac:dyDescent="0.2">
      <c r="A9" s="274"/>
    </row>
    <row r="10" spans="1:2" ht="16" x14ac:dyDescent="0.2">
      <c r="A10" s="274"/>
    </row>
    <row r="11" spans="1:2" ht="16" x14ac:dyDescent="0.2">
      <c r="A11" s="274"/>
    </row>
    <row r="12" spans="1:2" ht="16" x14ac:dyDescent="0.2">
      <c r="A12" s="274"/>
    </row>
    <row r="13" spans="1:2" ht="16" x14ac:dyDescent="0.2">
      <c r="A13" s="274"/>
    </row>
    <row r="14" spans="1:2" ht="16" x14ac:dyDescent="0.2">
      <c r="A14" s="274"/>
    </row>
    <row r="15" spans="1:2" ht="16" x14ac:dyDescent="0.2">
      <c r="A15" s="274"/>
    </row>
    <row r="16" spans="1:2" ht="16" x14ac:dyDescent="0.2">
      <c r="A16" s="274"/>
    </row>
  </sheetData>
  <hyperlinks>
    <hyperlink ref="A7" r:id="rId1" xr:uid="{324FA5FE-1249-40D4-82CE-C050BCE6229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CD1F8-15B1-4D17-9A80-404BAA2E0576}">
  <dimension ref="A2:B18"/>
  <sheetViews>
    <sheetView workbookViewId="0">
      <selection activeCell="B42" sqref="B42"/>
    </sheetView>
  </sheetViews>
  <sheetFormatPr baseColWidth="10" defaultColWidth="8.83203125" defaultRowHeight="13" x14ac:dyDescent="0.15"/>
  <cols>
    <col min="1" max="1" width="98.6640625" customWidth="1"/>
    <col min="2" max="2" width="90.1640625" customWidth="1"/>
  </cols>
  <sheetData>
    <row r="2" spans="1:2" ht="16" x14ac:dyDescent="0.2">
      <c r="A2" s="274" t="s">
        <v>324</v>
      </c>
      <c r="B2" s="277" t="s">
        <v>326</v>
      </c>
    </row>
    <row r="3" spans="1:2" ht="16" x14ac:dyDescent="0.2">
      <c r="A3" s="274"/>
      <c r="B3" s="277"/>
    </row>
    <row r="4" spans="1:2" ht="16" x14ac:dyDescent="0.2">
      <c r="A4" s="274" t="s">
        <v>320</v>
      </c>
      <c r="B4" s="277" t="s">
        <v>325</v>
      </c>
    </row>
    <row r="5" spans="1:2" ht="16" x14ac:dyDescent="0.2">
      <c r="A5" s="274"/>
      <c r="B5" s="277"/>
    </row>
    <row r="6" spans="1:2" ht="16" x14ac:dyDescent="0.2">
      <c r="A6" s="274" t="s">
        <v>321</v>
      </c>
      <c r="B6" s="277" t="s">
        <v>327</v>
      </c>
    </row>
    <row r="7" spans="1:2" ht="16" x14ac:dyDescent="0.2">
      <c r="A7" s="274"/>
      <c r="B7" s="277"/>
    </row>
    <row r="8" spans="1:2" ht="16" x14ac:dyDescent="0.2">
      <c r="A8" s="274" t="s">
        <v>322</v>
      </c>
      <c r="B8" s="277" t="s">
        <v>328</v>
      </c>
    </row>
    <row r="9" spans="1:2" ht="16" x14ac:dyDescent="0.2">
      <c r="A9" s="274"/>
      <c r="B9" s="277"/>
    </row>
    <row r="10" spans="1:2" ht="16" x14ac:dyDescent="0.2">
      <c r="A10" s="274" t="s">
        <v>319</v>
      </c>
      <c r="B10" s="278" t="s">
        <v>329</v>
      </c>
    </row>
    <row r="11" spans="1:2" ht="16" x14ac:dyDescent="0.2">
      <c r="A11" s="274"/>
      <c r="B11" s="277"/>
    </row>
    <row r="12" spans="1:2" ht="16" x14ac:dyDescent="0.2">
      <c r="A12" s="274" t="s">
        <v>323</v>
      </c>
      <c r="B12" s="279" t="s">
        <v>330</v>
      </c>
    </row>
    <row r="13" spans="1:2" ht="16" x14ac:dyDescent="0.2">
      <c r="B13" s="277"/>
    </row>
    <row r="14" spans="1:2" ht="16" x14ac:dyDescent="0.2">
      <c r="B14" s="277"/>
    </row>
    <row r="15" spans="1:2" x14ac:dyDescent="0.15">
      <c r="B15" s="275"/>
    </row>
    <row r="16" spans="1:2" x14ac:dyDescent="0.15">
      <c r="B16" s="275"/>
    </row>
    <row r="17" spans="2:2" x14ac:dyDescent="0.15">
      <c r="B17" s="275"/>
    </row>
    <row r="18" spans="2:2" x14ac:dyDescent="0.15">
      <c r="B18" s="275"/>
    </row>
  </sheetData>
  <hyperlinks>
    <hyperlink ref="B12" r:id="rId1" xr:uid="{5F0497EC-8FB2-40C7-9634-EC3C6A872A9A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4F3A1-165B-4694-AC36-F26A46EB9E08}">
  <dimension ref="A1:C85"/>
  <sheetViews>
    <sheetView topLeftCell="A52" workbookViewId="0">
      <selection activeCell="F57" sqref="F57"/>
    </sheetView>
  </sheetViews>
  <sheetFormatPr baseColWidth="10" defaultColWidth="8.83203125" defaultRowHeight="13" x14ac:dyDescent="0.15"/>
  <cols>
    <col min="1" max="1" width="8.83203125" style="291"/>
    <col min="2" max="2" width="32.33203125" style="291" customWidth="1"/>
    <col min="3" max="3" width="96.1640625" style="291" bestFit="1" customWidth="1"/>
    <col min="4" max="257" width="8.83203125" style="291"/>
    <col min="258" max="258" width="32.33203125" style="291" customWidth="1"/>
    <col min="259" max="259" width="96.1640625" style="291" bestFit="1" customWidth="1"/>
    <col min="260" max="513" width="8.83203125" style="291"/>
    <col min="514" max="514" width="32.33203125" style="291" customWidth="1"/>
    <col min="515" max="515" width="96.1640625" style="291" bestFit="1" customWidth="1"/>
    <col min="516" max="769" width="8.83203125" style="291"/>
    <col min="770" max="770" width="32.33203125" style="291" customWidth="1"/>
    <col min="771" max="771" width="96.1640625" style="291" bestFit="1" customWidth="1"/>
    <col min="772" max="1025" width="8.83203125" style="291"/>
    <col min="1026" max="1026" width="32.33203125" style="291" customWidth="1"/>
    <col min="1027" max="1027" width="96.1640625" style="291" bestFit="1" customWidth="1"/>
    <col min="1028" max="1281" width="8.83203125" style="291"/>
    <col min="1282" max="1282" width="32.33203125" style="291" customWidth="1"/>
    <col min="1283" max="1283" width="96.1640625" style="291" bestFit="1" customWidth="1"/>
    <col min="1284" max="1537" width="8.83203125" style="291"/>
    <col min="1538" max="1538" width="32.33203125" style="291" customWidth="1"/>
    <col min="1539" max="1539" width="96.1640625" style="291" bestFit="1" customWidth="1"/>
    <col min="1540" max="1793" width="8.83203125" style="291"/>
    <col min="1794" max="1794" width="32.33203125" style="291" customWidth="1"/>
    <col min="1795" max="1795" width="96.1640625" style="291" bestFit="1" customWidth="1"/>
    <col min="1796" max="2049" width="8.83203125" style="291"/>
    <col min="2050" max="2050" width="32.33203125" style="291" customWidth="1"/>
    <col min="2051" max="2051" width="96.1640625" style="291" bestFit="1" customWidth="1"/>
    <col min="2052" max="2305" width="8.83203125" style="291"/>
    <col min="2306" max="2306" width="32.33203125" style="291" customWidth="1"/>
    <col min="2307" max="2307" width="96.1640625" style="291" bestFit="1" customWidth="1"/>
    <col min="2308" max="2561" width="8.83203125" style="291"/>
    <col min="2562" max="2562" width="32.33203125" style="291" customWidth="1"/>
    <col min="2563" max="2563" width="96.1640625" style="291" bestFit="1" customWidth="1"/>
    <col min="2564" max="2817" width="8.83203125" style="291"/>
    <col min="2818" max="2818" width="32.33203125" style="291" customWidth="1"/>
    <col min="2819" max="2819" width="96.1640625" style="291" bestFit="1" customWidth="1"/>
    <col min="2820" max="3073" width="8.83203125" style="291"/>
    <col min="3074" max="3074" width="32.33203125" style="291" customWidth="1"/>
    <col min="3075" max="3075" width="96.1640625" style="291" bestFit="1" customWidth="1"/>
    <col min="3076" max="3329" width="8.83203125" style="291"/>
    <col min="3330" max="3330" width="32.33203125" style="291" customWidth="1"/>
    <col min="3331" max="3331" width="96.1640625" style="291" bestFit="1" customWidth="1"/>
    <col min="3332" max="3585" width="8.83203125" style="291"/>
    <col min="3586" max="3586" width="32.33203125" style="291" customWidth="1"/>
    <col min="3587" max="3587" width="96.1640625" style="291" bestFit="1" customWidth="1"/>
    <col min="3588" max="3841" width="8.83203125" style="291"/>
    <col min="3842" max="3842" width="32.33203125" style="291" customWidth="1"/>
    <col min="3843" max="3843" width="96.1640625" style="291" bestFit="1" customWidth="1"/>
    <col min="3844" max="4097" width="8.83203125" style="291"/>
    <col min="4098" max="4098" width="32.33203125" style="291" customWidth="1"/>
    <col min="4099" max="4099" width="96.1640625" style="291" bestFit="1" customWidth="1"/>
    <col min="4100" max="4353" width="8.83203125" style="291"/>
    <col min="4354" max="4354" width="32.33203125" style="291" customWidth="1"/>
    <col min="4355" max="4355" width="96.1640625" style="291" bestFit="1" customWidth="1"/>
    <col min="4356" max="4609" width="8.83203125" style="291"/>
    <col min="4610" max="4610" width="32.33203125" style="291" customWidth="1"/>
    <col min="4611" max="4611" width="96.1640625" style="291" bestFit="1" customWidth="1"/>
    <col min="4612" max="4865" width="8.83203125" style="291"/>
    <col min="4866" max="4866" width="32.33203125" style="291" customWidth="1"/>
    <col min="4867" max="4867" width="96.1640625" style="291" bestFit="1" customWidth="1"/>
    <col min="4868" max="5121" width="8.83203125" style="291"/>
    <col min="5122" max="5122" width="32.33203125" style="291" customWidth="1"/>
    <col min="5123" max="5123" width="96.1640625" style="291" bestFit="1" customWidth="1"/>
    <col min="5124" max="5377" width="8.83203125" style="291"/>
    <col min="5378" max="5378" width="32.33203125" style="291" customWidth="1"/>
    <col min="5379" max="5379" width="96.1640625" style="291" bestFit="1" customWidth="1"/>
    <col min="5380" max="5633" width="8.83203125" style="291"/>
    <col min="5634" max="5634" width="32.33203125" style="291" customWidth="1"/>
    <col min="5635" max="5635" width="96.1640625" style="291" bestFit="1" customWidth="1"/>
    <col min="5636" max="5889" width="8.83203125" style="291"/>
    <col min="5890" max="5890" width="32.33203125" style="291" customWidth="1"/>
    <col min="5891" max="5891" width="96.1640625" style="291" bestFit="1" customWidth="1"/>
    <col min="5892" max="6145" width="8.83203125" style="291"/>
    <col min="6146" max="6146" width="32.33203125" style="291" customWidth="1"/>
    <col min="6147" max="6147" width="96.1640625" style="291" bestFit="1" customWidth="1"/>
    <col min="6148" max="6401" width="8.83203125" style="291"/>
    <col min="6402" max="6402" width="32.33203125" style="291" customWidth="1"/>
    <col min="6403" max="6403" width="96.1640625" style="291" bestFit="1" customWidth="1"/>
    <col min="6404" max="6657" width="8.83203125" style="291"/>
    <col min="6658" max="6658" width="32.33203125" style="291" customWidth="1"/>
    <col min="6659" max="6659" width="96.1640625" style="291" bestFit="1" customWidth="1"/>
    <col min="6660" max="6913" width="8.83203125" style="291"/>
    <col min="6914" max="6914" width="32.33203125" style="291" customWidth="1"/>
    <col min="6915" max="6915" width="96.1640625" style="291" bestFit="1" customWidth="1"/>
    <col min="6916" max="7169" width="8.83203125" style="291"/>
    <col min="7170" max="7170" width="32.33203125" style="291" customWidth="1"/>
    <col min="7171" max="7171" width="96.1640625" style="291" bestFit="1" customWidth="1"/>
    <col min="7172" max="7425" width="8.83203125" style="291"/>
    <col min="7426" max="7426" width="32.33203125" style="291" customWidth="1"/>
    <col min="7427" max="7427" width="96.1640625" style="291" bestFit="1" customWidth="1"/>
    <col min="7428" max="7681" width="8.83203125" style="291"/>
    <col min="7682" max="7682" width="32.33203125" style="291" customWidth="1"/>
    <col min="7683" max="7683" width="96.1640625" style="291" bestFit="1" customWidth="1"/>
    <col min="7684" max="7937" width="8.83203125" style="291"/>
    <col min="7938" max="7938" width="32.33203125" style="291" customWidth="1"/>
    <col min="7939" max="7939" width="96.1640625" style="291" bestFit="1" customWidth="1"/>
    <col min="7940" max="8193" width="8.83203125" style="291"/>
    <col min="8194" max="8194" width="32.33203125" style="291" customWidth="1"/>
    <col min="8195" max="8195" width="96.1640625" style="291" bestFit="1" customWidth="1"/>
    <col min="8196" max="8449" width="8.83203125" style="291"/>
    <col min="8450" max="8450" width="32.33203125" style="291" customWidth="1"/>
    <col min="8451" max="8451" width="96.1640625" style="291" bestFit="1" customWidth="1"/>
    <col min="8452" max="8705" width="8.83203125" style="291"/>
    <col min="8706" max="8706" width="32.33203125" style="291" customWidth="1"/>
    <col min="8707" max="8707" width="96.1640625" style="291" bestFit="1" customWidth="1"/>
    <col min="8708" max="8961" width="8.83203125" style="291"/>
    <col min="8962" max="8962" width="32.33203125" style="291" customWidth="1"/>
    <col min="8963" max="8963" width="96.1640625" style="291" bestFit="1" customWidth="1"/>
    <col min="8964" max="9217" width="8.83203125" style="291"/>
    <col min="9218" max="9218" width="32.33203125" style="291" customWidth="1"/>
    <col min="9219" max="9219" width="96.1640625" style="291" bestFit="1" customWidth="1"/>
    <col min="9220" max="9473" width="8.83203125" style="291"/>
    <col min="9474" max="9474" width="32.33203125" style="291" customWidth="1"/>
    <col min="9475" max="9475" width="96.1640625" style="291" bestFit="1" customWidth="1"/>
    <col min="9476" max="9729" width="8.83203125" style="291"/>
    <col min="9730" max="9730" width="32.33203125" style="291" customWidth="1"/>
    <col min="9731" max="9731" width="96.1640625" style="291" bestFit="1" customWidth="1"/>
    <col min="9732" max="9985" width="8.83203125" style="291"/>
    <col min="9986" max="9986" width="32.33203125" style="291" customWidth="1"/>
    <col min="9987" max="9987" width="96.1640625" style="291" bestFit="1" customWidth="1"/>
    <col min="9988" max="10241" width="8.83203125" style="291"/>
    <col min="10242" max="10242" width="32.33203125" style="291" customWidth="1"/>
    <col min="10243" max="10243" width="96.1640625" style="291" bestFit="1" customWidth="1"/>
    <col min="10244" max="10497" width="8.83203125" style="291"/>
    <col min="10498" max="10498" width="32.33203125" style="291" customWidth="1"/>
    <col min="10499" max="10499" width="96.1640625" style="291" bestFit="1" customWidth="1"/>
    <col min="10500" max="10753" width="8.83203125" style="291"/>
    <col min="10754" max="10754" width="32.33203125" style="291" customWidth="1"/>
    <col min="10755" max="10755" width="96.1640625" style="291" bestFit="1" customWidth="1"/>
    <col min="10756" max="11009" width="8.83203125" style="291"/>
    <col min="11010" max="11010" width="32.33203125" style="291" customWidth="1"/>
    <col min="11011" max="11011" width="96.1640625" style="291" bestFit="1" customWidth="1"/>
    <col min="11012" max="11265" width="8.83203125" style="291"/>
    <col min="11266" max="11266" width="32.33203125" style="291" customWidth="1"/>
    <col min="11267" max="11267" width="96.1640625" style="291" bestFit="1" customWidth="1"/>
    <col min="11268" max="11521" width="8.83203125" style="291"/>
    <col min="11522" max="11522" width="32.33203125" style="291" customWidth="1"/>
    <col min="11523" max="11523" width="96.1640625" style="291" bestFit="1" customWidth="1"/>
    <col min="11524" max="11777" width="8.83203125" style="291"/>
    <col min="11778" max="11778" width="32.33203125" style="291" customWidth="1"/>
    <col min="11779" max="11779" width="96.1640625" style="291" bestFit="1" customWidth="1"/>
    <col min="11780" max="12033" width="8.83203125" style="291"/>
    <col min="12034" max="12034" width="32.33203125" style="291" customWidth="1"/>
    <col min="12035" max="12035" width="96.1640625" style="291" bestFit="1" customWidth="1"/>
    <col min="12036" max="12289" width="8.83203125" style="291"/>
    <col min="12290" max="12290" width="32.33203125" style="291" customWidth="1"/>
    <col min="12291" max="12291" width="96.1640625" style="291" bestFit="1" customWidth="1"/>
    <col min="12292" max="12545" width="8.83203125" style="291"/>
    <col min="12546" max="12546" width="32.33203125" style="291" customWidth="1"/>
    <col min="12547" max="12547" width="96.1640625" style="291" bestFit="1" customWidth="1"/>
    <col min="12548" max="12801" width="8.83203125" style="291"/>
    <col min="12802" max="12802" width="32.33203125" style="291" customWidth="1"/>
    <col min="12803" max="12803" width="96.1640625" style="291" bestFit="1" customWidth="1"/>
    <col min="12804" max="13057" width="8.83203125" style="291"/>
    <col min="13058" max="13058" width="32.33203125" style="291" customWidth="1"/>
    <col min="13059" max="13059" width="96.1640625" style="291" bestFit="1" customWidth="1"/>
    <col min="13060" max="13313" width="8.83203125" style="291"/>
    <col min="13314" max="13314" width="32.33203125" style="291" customWidth="1"/>
    <col min="13315" max="13315" width="96.1640625" style="291" bestFit="1" customWidth="1"/>
    <col min="13316" max="13569" width="8.83203125" style="291"/>
    <col min="13570" max="13570" width="32.33203125" style="291" customWidth="1"/>
    <col min="13571" max="13571" width="96.1640625" style="291" bestFit="1" customWidth="1"/>
    <col min="13572" max="13825" width="8.83203125" style="291"/>
    <col min="13826" max="13826" width="32.33203125" style="291" customWidth="1"/>
    <col min="13827" max="13827" width="96.1640625" style="291" bestFit="1" customWidth="1"/>
    <col min="13828" max="14081" width="8.83203125" style="291"/>
    <col min="14082" max="14082" width="32.33203125" style="291" customWidth="1"/>
    <col min="14083" max="14083" width="96.1640625" style="291" bestFit="1" customWidth="1"/>
    <col min="14084" max="14337" width="8.83203125" style="291"/>
    <col min="14338" max="14338" width="32.33203125" style="291" customWidth="1"/>
    <col min="14339" max="14339" width="96.1640625" style="291" bestFit="1" customWidth="1"/>
    <col min="14340" max="14593" width="8.83203125" style="291"/>
    <col min="14594" max="14594" width="32.33203125" style="291" customWidth="1"/>
    <col min="14595" max="14595" width="96.1640625" style="291" bestFit="1" customWidth="1"/>
    <col min="14596" max="14849" width="8.83203125" style="291"/>
    <col min="14850" max="14850" width="32.33203125" style="291" customWidth="1"/>
    <col min="14851" max="14851" width="96.1640625" style="291" bestFit="1" customWidth="1"/>
    <col min="14852" max="15105" width="8.83203125" style="291"/>
    <col min="15106" max="15106" width="32.33203125" style="291" customWidth="1"/>
    <col min="15107" max="15107" width="96.1640625" style="291" bestFit="1" customWidth="1"/>
    <col min="15108" max="15361" width="8.83203125" style="291"/>
    <col min="15362" max="15362" width="32.33203125" style="291" customWidth="1"/>
    <col min="15363" max="15363" width="96.1640625" style="291" bestFit="1" customWidth="1"/>
    <col min="15364" max="15617" width="8.83203125" style="291"/>
    <col min="15618" max="15618" width="32.33203125" style="291" customWidth="1"/>
    <col min="15619" max="15619" width="96.1640625" style="291" bestFit="1" customWidth="1"/>
    <col min="15620" max="15873" width="8.83203125" style="291"/>
    <col min="15874" max="15874" width="32.33203125" style="291" customWidth="1"/>
    <col min="15875" max="15875" width="96.1640625" style="291" bestFit="1" customWidth="1"/>
    <col min="15876" max="16129" width="8.83203125" style="291"/>
    <col min="16130" max="16130" width="32.33203125" style="291" customWidth="1"/>
    <col min="16131" max="16131" width="96.1640625" style="291" bestFit="1" customWidth="1"/>
    <col min="16132" max="16384" width="8.83203125" style="291"/>
  </cols>
  <sheetData>
    <row r="1" spans="1:3" ht="18" x14ac:dyDescent="0.2">
      <c r="C1" s="292" t="s">
        <v>331</v>
      </c>
    </row>
    <row r="2" spans="1:3" ht="16" x14ac:dyDescent="0.2">
      <c r="A2" s="293" t="s">
        <v>335</v>
      </c>
      <c r="B2" s="294" t="s">
        <v>334</v>
      </c>
      <c r="C2" s="295"/>
    </row>
    <row r="3" spans="1:3" ht="16" x14ac:dyDescent="0.2">
      <c r="B3" s="294"/>
      <c r="C3" s="295"/>
    </row>
    <row r="4" spans="1:3" ht="16" x14ac:dyDescent="0.2">
      <c r="B4" s="294" t="s">
        <v>332</v>
      </c>
      <c r="C4" s="295"/>
    </row>
    <row r="5" spans="1:3" ht="16" x14ac:dyDescent="0.2">
      <c r="B5" s="294"/>
      <c r="C5" s="295"/>
    </row>
    <row r="6" spans="1:3" ht="16" x14ac:dyDescent="0.2">
      <c r="B6" s="294" t="s">
        <v>333</v>
      </c>
      <c r="C6" s="295"/>
    </row>
    <row r="7" spans="1:3" ht="16" x14ac:dyDescent="0.2">
      <c r="B7" s="294"/>
      <c r="C7" s="295"/>
    </row>
    <row r="8" spans="1:3" ht="16" x14ac:dyDescent="0.2">
      <c r="B8" s="294"/>
      <c r="C8" s="295"/>
    </row>
    <row r="9" spans="1:3" ht="16" x14ac:dyDescent="0.2">
      <c r="B9" s="294"/>
      <c r="C9" s="295"/>
    </row>
    <row r="10" spans="1:3" ht="16" x14ac:dyDescent="0.2">
      <c r="B10" s="294"/>
      <c r="C10" s="296"/>
    </row>
    <row r="11" spans="1:3" ht="16" x14ac:dyDescent="0.2">
      <c r="B11" s="294"/>
      <c r="C11" s="295"/>
    </row>
    <row r="12" spans="1:3" ht="16" x14ac:dyDescent="0.2">
      <c r="B12" s="294"/>
      <c r="C12" s="297"/>
    </row>
    <row r="13" spans="1:3" ht="16" x14ac:dyDescent="0.2">
      <c r="C13" s="295"/>
    </row>
    <row r="14" spans="1:3" ht="16" x14ac:dyDescent="0.2">
      <c r="C14" s="295"/>
    </row>
    <row r="15" spans="1:3" x14ac:dyDescent="0.15">
      <c r="C15" s="298"/>
    </row>
    <row r="16" spans="1:3" x14ac:dyDescent="0.15">
      <c r="C16" s="298"/>
    </row>
    <row r="17" spans="3:3" x14ac:dyDescent="0.15">
      <c r="C17" s="298"/>
    </row>
    <row r="18" spans="3:3" x14ac:dyDescent="0.15">
      <c r="C18" s="298"/>
    </row>
    <row r="74" spans="1:2" ht="16" x14ac:dyDescent="0.2">
      <c r="A74" s="293" t="s">
        <v>336</v>
      </c>
      <c r="B74" s="294" t="s">
        <v>337</v>
      </c>
    </row>
    <row r="75" spans="1:2" ht="16" x14ac:dyDescent="0.2">
      <c r="B75" s="294" t="s">
        <v>338</v>
      </c>
    </row>
    <row r="76" spans="1:2" ht="16" x14ac:dyDescent="0.2">
      <c r="B76" s="294" t="s">
        <v>339</v>
      </c>
    </row>
    <row r="77" spans="1:2" ht="16" x14ac:dyDescent="0.2">
      <c r="B77" s="294" t="s">
        <v>0</v>
      </c>
    </row>
    <row r="78" spans="1:2" ht="16" x14ac:dyDescent="0.2">
      <c r="B78" s="294" t="s">
        <v>340</v>
      </c>
    </row>
    <row r="79" spans="1:2" ht="16" x14ac:dyDescent="0.2">
      <c r="B79" s="294" t="s">
        <v>341</v>
      </c>
    </row>
    <row r="80" spans="1:2" ht="16" x14ac:dyDescent="0.2">
      <c r="B80" s="294" t="s">
        <v>342</v>
      </c>
    </row>
    <row r="81" spans="2:2" ht="16" x14ac:dyDescent="0.2">
      <c r="B81" s="294" t="s">
        <v>343</v>
      </c>
    </row>
    <row r="82" spans="2:2" ht="16" x14ac:dyDescent="0.2">
      <c r="B82" s="294" t="s">
        <v>344</v>
      </c>
    </row>
    <row r="83" spans="2:2" ht="16" x14ac:dyDescent="0.2">
      <c r="B83" s="294" t="s">
        <v>345</v>
      </c>
    </row>
    <row r="84" spans="2:2" ht="16" x14ac:dyDescent="0.2">
      <c r="B84" s="294" t="s">
        <v>346</v>
      </c>
    </row>
    <row r="85" spans="2:2" ht="16" x14ac:dyDescent="0.2">
      <c r="B85" s="294" t="s">
        <v>347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4D8B5-9987-42C3-BD32-D0710DB733A7}">
  <dimension ref="A1:C59"/>
  <sheetViews>
    <sheetView workbookViewId="0">
      <selection sqref="A1:C59"/>
    </sheetView>
  </sheetViews>
  <sheetFormatPr baseColWidth="10" defaultColWidth="8.83203125" defaultRowHeight="13" x14ac:dyDescent="0.15"/>
  <cols>
    <col min="2" max="2" width="107" bestFit="1" customWidth="1"/>
    <col min="3" max="3" width="96.1640625" bestFit="1" customWidth="1"/>
  </cols>
  <sheetData>
    <row r="1" spans="1:3" ht="18" x14ac:dyDescent="0.2">
      <c r="C1" s="285" t="s">
        <v>399</v>
      </c>
    </row>
    <row r="2" spans="1:3" ht="16" x14ac:dyDescent="0.2">
      <c r="A2" s="1">
        <v>5</v>
      </c>
      <c r="B2" s="155" t="s">
        <v>348</v>
      </c>
      <c r="C2" s="299"/>
    </row>
    <row r="3" spans="1:3" ht="16" x14ac:dyDescent="0.2">
      <c r="B3" s="300" t="s">
        <v>527</v>
      </c>
      <c r="C3" s="299"/>
    </row>
    <row r="4" spans="1:3" ht="16" x14ac:dyDescent="0.2">
      <c r="B4" s="274" t="s">
        <v>349</v>
      </c>
      <c r="C4" s="274" t="s">
        <v>359</v>
      </c>
    </row>
    <row r="5" spans="1:3" ht="16" x14ac:dyDescent="0.2">
      <c r="B5" s="274" t="s">
        <v>350</v>
      </c>
      <c r="C5" s="274" t="s">
        <v>360</v>
      </c>
    </row>
    <row r="6" spans="1:3" ht="16" x14ac:dyDescent="0.2">
      <c r="B6" s="274" t="s">
        <v>351</v>
      </c>
      <c r="C6" s="274" t="s">
        <v>361</v>
      </c>
    </row>
    <row r="7" spans="1:3" ht="18" x14ac:dyDescent="0.2">
      <c r="B7" s="274" t="s">
        <v>352</v>
      </c>
      <c r="C7" s="281" t="s">
        <v>362</v>
      </c>
    </row>
    <row r="8" spans="1:3" ht="16" x14ac:dyDescent="0.2">
      <c r="B8" s="274" t="s">
        <v>353</v>
      </c>
      <c r="C8" s="274" t="s">
        <v>394</v>
      </c>
    </row>
    <row r="9" spans="1:3" ht="16" x14ac:dyDescent="0.2">
      <c r="B9" s="274"/>
      <c r="C9" s="274" t="s">
        <v>363</v>
      </c>
    </row>
    <row r="10" spans="1:3" ht="16" x14ac:dyDescent="0.2">
      <c r="B10" s="274" t="s">
        <v>354</v>
      </c>
      <c r="C10" s="274" t="s">
        <v>364</v>
      </c>
    </row>
    <row r="11" spans="1:3" ht="16" x14ac:dyDescent="0.2">
      <c r="B11" s="274"/>
      <c r="C11" s="274" t="s">
        <v>365</v>
      </c>
    </row>
    <row r="12" spans="1:3" ht="16" x14ac:dyDescent="0.2">
      <c r="B12" s="274" t="s">
        <v>355</v>
      </c>
      <c r="C12" s="280" t="s">
        <v>366</v>
      </c>
    </row>
    <row r="13" spans="1:3" ht="16" x14ac:dyDescent="0.2">
      <c r="B13" s="274"/>
      <c r="C13" s="280" t="s">
        <v>367</v>
      </c>
    </row>
    <row r="14" spans="1:3" ht="16" x14ac:dyDescent="0.2">
      <c r="B14" s="274" t="s">
        <v>356</v>
      </c>
      <c r="C14" s="274" t="s">
        <v>393</v>
      </c>
    </row>
    <row r="15" spans="1:3" ht="16" x14ac:dyDescent="0.2">
      <c r="B15" s="274"/>
      <c r="C15" s="274" t="s">
        <v>368</v>
      </c>
    </row>
    <row r="16" spans="1:3" ht="16" x14ac:dyDescent="0.2">
      <c r="B16" s="274" t="s">
        <v>357</v>
      </c>
      <c r="C16" s="301" t="s">
        <v>369</v>
      </c>
    </row>
    <row r="17" spans="3:3" ht="18" x14ac:dyDescent="0.2">
      <c r="C17" s="281" t="s">
        <v>370</v>
      </c>
    </row>
    <row r="18" spans="3:3" ht="16" x14ac:dyDescent="0.2">
      <c r="C18" s="274" t="s">
        <v>395</v>
      </c>
    </row>
    <row r="19" spans="3:3" ht="16" x14ac:dyDescent="0.2">
      <c r="C19" s="274" t="s">
        <v>371</v>
      </c>
    </row>
    <row r="20" spans="3:3" ht="16" x14ac:dyDescent="0.2">
      <c r="C20" s="274" t="s">
        <v>372</v>
      </c>
    </row>
    <row r="21" spans="3:3" ht="16" x14ac:dyDescent="0.2">
      <c r="C21" s="274" t="s">
        <v>373</v>
      </c>
    </row>
    <row r="22" spans="3:3" ht="16" x14ac:dyDescent="0.2">
      <c r="C22" s="274" t="s">
        <v>374</v>
      </c>
    </row>
    <row r="23" spans="3:3" ht="16" x14ac:dyDescent="0.2">
      <c r="C23" s="274" t="s">
        <v>375</v>
      </c>
    </row>
    <row r="24" spans="3:3" ht="16" x14ac:dyDescent="0.2">
      <c r="C24" s="274" t="s">
        <v>396</v>
      </c>
    </row>
    <row r="25" spans="3:3" ht="16" x14ac:dyDescent="0.2">
      <c r="C25" s="274" t="s">
        <v>376</v>
      </c>
    </row>
    <row r="26" spans="3:3" ht="16" x14ac:dyDescent="0.2">
      <c r="C26" s="274" t="s">
        <v>377</v>
      </c>
    </row>
    <row r="27" spans="3:3" ht="16" x14ac:dyDescent="0.2">
      <c r="C27" s="274" t="s">
        <v>378</v>
      </c>
    </row>
    <row r="28" spans="3:3" ht="16" x14ac:dyDescent="0.2">
      <c r="C28" s="274" t="s">
        <v>397</v>
      </c>
    </row>
    <row r="29" spans="3:3" ht="16" x14ac:dyDescent="0.2">
      <c r="C29" s="274" t="s">
        <v>379</v>
      </c>
    </row>
    <row r="30" spans="3:3" ht="16" x14ac:dyDescent="0.2">
      <c r="C30" s="274" t="s">
        <v>398</v>
      </c>
    </row>
    <row r="31" spans="3:3" ht="16" x14ac:dyDescent="0.2">
      <c r="C31" s="274" t="s">
        <v>380</v>
      </c>
    </row>
    <row r="32" spans="3:3" ht="16" x14ac:dyDescent="0.2">
      <c r="C32" s="274" t="s">
        <v>400</v>
      </c>
    </row>
    <row r="33" spans="3:3" ht="16" x14ac:dyDescent="0.2">
      <c r="C33" s="274" t="s">
        <v>381</v>
      </c>
    </row>
    <row r="34" spans="3:3" ht="16" x14ac:dyDescent="0.2">
      <c r="C34" s="274" t="s">
        <v>367</v>
      </c>
    </row>
    <row r="35" spans="3:3" ht="16" x14ac:dyDescent="0.2">
      <c r="C35" s="274" t="s">
        <v>401</v>
      </c>
    </row>
    <row r="36" spans="3:3" ht="16" x14ac:dyDescent="0.2">
      <c r="C36" s="274" t="s">
        <v>382</v>
      </c>
    </row>
    <row r="37" spans="3:3" ht="16" x14ac:dyDescent="0.2">
      <c r="C37" s="274" t="s">
        <v>383</v>
      </c>
    </row>
    <row r="38" spans="3:3" ht="16" x14ac:dyDescent="0.2">
      <c r="C38" s="274" t="s">
        <v>384</v>
      </c>
    </row>
    <row r="39" spans="3:3" ht="16" x14ac:dyDescent="0.2">
      <c r="C39" s="274" t="s">
        <v>385</v>
      </c>
    </row>
    <row r="40" spans="3:3" ht="18" x14ac:dyDescent="0.2">
      <c r="C40" s="281" t="s">
        <v>386</v>
      </c>
    </row>
    <row r="41" spans="3:3" ht="16" x14ac:dyDescent="0.2">
      <c r="C41" s="274" t="s">
        <v>402</v>
      </c>
    </row>
    <row r="42" spans="3:3" ht="16" x14ac:dyDescent="0.2">
      <c r="C42" s="274" t="s">
        <v>387</v>
      </c>
    </row>
    <row r="43" spans="3:3" ht="16" x14ac:dyDescent="0.2">
      <c r="C43" s="274" t="s">
        <v>403</v>
      </c>
    </row>
    <row r="44" spans="3:3" ht="16" x14ac:dyDescent="0.2">
      <c r="C44" s="274" t="s">
        <v>388</v>
      </c>
    </row>
    <row r="45" spans="3:3" ht="16" x14ac:dyDescent="0.2">
      <c r="C45" s="274" t="s">
        <v>404</v>
      </c>
    </row>
    <row r="46" spans="3:3" ht="16" x14ac:dyDescent="0.2">
      <c r="C46" s="274" t="s">
        <v>389</v>
      </c>
    </row>
    <row r="47" spans="3:3" ht="16" x14ac:dyDescent="0.2">
      <c r="C47" s="274" t="s">
        <v>405</v>
      </c>
    </row>
    <row r="48" spans="3:3" ht="16" x14ac:dyDescent="0.2">
      <c r="C48" s="274" t="s">
        <v>390</v>
      </c>
    </row>
    <row r="49" spans="3:3" ht="16" x14ac:dyDescent="0.2">
      <c r="C49" s="274" t="s">
        <v>406</v>
      </c>
    </row>
    <row r="50" spans="3:3" ht="16" x14ac:dyDescent="0.2">
      <c r="C50" s="274" t="s">
        <v>391</v>
      </c>
    </row>
    <row r="51" spans="3:3" ht="16" x14ac:dyDescent="0.2">
      <c r="C51" s="274" t="s">
        <v>392</v>
      </c>
    </row>
    <row r="52" spans="3:3" ht="18" x14ac:dyDescent="0.2">
      <c r="C52" s="281" t="s">
        <v>407</v>
      </c>
    </row>
    <row r="53" spans="3:3" ht="16" x14ac:dyDescent="0.2">
      <c r="C53" s="274" t="s">
        <v>413</v>
      </c>
    </row>
    <row r="54" spans="3:3" ht="16" x14ac:dyDescent="0.2">
      <c r="C54" s="274" t="s">
        <v>408</v>
      </c>
    </row>
    <row r="55" spans="3:3" ht="16" x14ac:dyDescent="0.2">
      <c r="C55" s="274" t="s">
        <v>414</v>
      </c>
    </row>
    <row r="56" spans="3:3" ht="16" x14ac:dyDescent="0.2">
      <c r="C56" s="274" t="s">
        <v>409</v>
      </c>
    </row>
    <row r="57" spans="3:3" ht="16" x14ac:dyDescent="0.2">
      <c r="C57" s="274" t="s">
        <v>410</v>
      </c>
    </row>
    <row r="58" spans="3:3" ht="16" x14ac:dyDescent="0.2">
      <c r="C58" s="274" t="s">
        <v>411</v>
      </c>
    </row>
    <row r="59" spans="3:3" ht="16" x14ac:dyDescent="0.2">
      <c r="C59" s="274" t="s">
        <v>412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B7829-878D-4D2F-A0F9-7184997D6AFE}">
  <dimension ref="A1:W39"/>
  <sheetViews>
    <sheetView topLeftCell="A7" workbookViewId="0">
      <selection activeCell="A16" sqref="A16"/>
    </sheetView>
  </sheetViews>
  <sheetFormatPr baseColWidth="10" defaultColWidth="8.83203125" defaultRowHeight="13" x14ac:dyDescent="0.15"/>
  <cols>
    <col min="2" max="2" width="32.5" customWidth="1"/>
    <col min="3" max="3" width="96.1640625" hidden="1" customWidth="1"/>
  </cols>
  <sheetData>
    <row r="1" spans="1:23" ht="18" x14ac:dyDescent="0.2">
      <c r="C1" s="285" t="s">
        <v>358</v>
      </c>
    </row>
    <row r="2" spans="1:23" ht="16" x14ac:dyDescent="0.2">
      <c r="A2" s="1">
        <v>6</v>
      </c>
      <c r="B2" s="155" t="s">
        <v>415</v>
      </c>
      <c r="C2" s="299"/>
    </row>
    <row r="3" spans="1:23" ht="16" x14ac:dyDescent="0.2">
      <c r="B3" s="274"/>
      <c r="C3" s="299"/>
    </row>
    <row r="4" spans="1:23" ht="16" x14ac:dyDescent="0.2">
      <c r="B4" s="274" t="s">
        <v>416</v>
      </c>
      <c r="C4" s="274"/>
    </row>
    <row r="5" spans="1:23" ht="16" x14ac:dyDescent="0.2">
      <c r="B5" s="274" t="s">
        <v>417</v>
      </c>
      <c r="C5" s="274"/>
    </row>
    <row r="6" spans="1:23" ht="16" x14ac:dyDescent="0.2">
      <c r="B6" s="274"/>
      <c r="C6" s="274"/>
    </row>
    <row r="7" spans="1:23" ht="16" x14ac:dyDescent="0.2">
      <c r="B7" s="274" t="s">
        <v>418</v>
      </c>
      <c r="C7" s="274"/>
    </row>
    <row r="8" spans="1:23" ht="18" x14ac:dyDescent="0.2">
      <c r="B8" s="274" t="s">
        <v>419</v>
      </c>
      <c r="C8" s="281"/>
    </row>
    <row r="9" spans="1:23" ht="16" x14ac:dyDescent="0.2">
      <c r="B9" s="274" t="s">
        <v>420</v>
      </c>
      <c r="C9" s="274"/>
    </row>
    <row r="10" spans="1:23" ht="16" x14ac:dyDescent="0.2">
      <c r="B10" s="274" t="s">
        <v>421</v>
      </c>
      <c r="C10" s="274"/>
    </row>
    <row r="11" spans="1:23" ht="16" x14ac:dyDescent="0.2">
      <c r="B11" s="274"/>
      <c r="C11" s="274"/>
    </row>
    <row r="12" spans="1:23" ht="16" x14ac:dyDescent="0.2">
      <c r="C12" s="274"/>
    </row>
    <row r="13" spans="1:23" ht="13.25" customHeight="1" x14ac:dyDescent="0.15">
      <c r="B13" s="325"/>
      <c r="C13" s="326"/>
      <c r="D13" s="327" t="s">
        <v>422</v>
      </c>
      <c r="E13" s="328"/>
      <c r="F13" s="329"/>
      <c r="G13" s="302"/>
      <c r="H13" s="325"/>
      <c r="I13" s="330"/>
      <c r="J13" s="330"/>
      <c r="K13" s="330"/>
      <c r="L13" s="330"/>
      <c r="M13" s="330"/>
      <c r="N13" s="330"/>
      <c r="O13" s="330"/>
      <c r="P13" s="330"/>
      <c r="Q13" s="330"/>
      <c r="R13" s="326"/>
      <c r="S13" s="327" t="s">
        <v>423</v>
      </c>
      <c r="T13" s="328"/>
      <c r="U13" s="329"/>
      <c r="V13" s="325"/>
      <c r="W13" s="326"/>
    </row>
    <row r="14" spans="1:23" ht="13.25" customHeight="1" x14ac:dyDescent="0.15">
      <c r="B14" s="322" t="s">
        <v>424</v>
      </c>
      <c r="C14" s="323"/>
      <c r="D14" s="322" t="s">
        <v>425</v>
      </c>
      <c r="E14" s="324"/>
      <c r="F14" s="323"/>
      <c r="G14" s="303" t="s">
        <v>426</v>
      </c>
      <c r="H14" s="322" t="s">
        <v>427</v>
      </c>
      <c r="I14" s="324"/>
      <c r="J14" s="324"/>
      <c r="K14" s="324"/>
      <c r="L14" s="324"/>
      <c r="M14" s="324"/>
      <c r="N14" s="324"/>
      <c r="O14" s="324"/>
      <c r="P14" s="324"/>
      <c r="Q14" s="324"/>
      <c r="R14" s="323"/>
      <c r="S14" s="322" t="s">
        <v>425</v>
      </c>
      <c r="T14" s="324"/>
      <c r="U14" s="323"/>
      <c r="V14" s="322" t="s">
        <v>426</v>
      </c>
      <c r="W14" s="323"/>
    </row>
    <row r="15" spans="1:23" ht="12.5" customHeight="1" x14ac:dyDescent="0.15">
      <c r="B15" s="325" t="s">
        <v>510</v>
      </c>
      <c r="C15" s="326"/>
      <c r="D15" s="331">
        <v>6054684</v>
      </c>
      <c r="E15" s="332"/>
      <c r="F15" s="333"/>
      <c r="G15" s="302">
        <v>60.591999999999999</v>
      </c>
      <c r="H15" s="322" t="s">
        <v>428</v>
      </c>
      <c r="I15" s="324"/>
      <c r="J15" s="324"/>
      <c r="K15" s="324"/>
      <c r="L15" s="324"/>
      <c r="M15" s="324"/>
      <c r="N15" s="324"/>
      <c r="O15" s="324"/>
      <c r="P15" s="324"/>
      <c r="Q15" s="324"/>
      <c r="R15" s="323"/>
      <c r="S15" s="334"/>
      <c r="T15" s="335"/>
      <c r="U15" s="336"/>
      <c r="V15" s="325"/>
      <c r="W15" s="326"/>
    </row>
    <row r="16" spans="1:23" ht="13.25" customHeight="1" x14ac:dyDescent="0.15">
      <c r="B16" s="325" t="s">
        <v>511</v>
      </c>
      <c r="C16" s="326"/>
      <c r="D16" s="331">
        <v>2035719</v>
      </c>
      <c r="E16" s="332"/>
      <c r="F16" s="333"/>
      <c r="G16" s="302">
        <v>20.372</v>
      </c>
      <c r="H16" s="327" t="s">
        <v>429</v>
      </c>
      <c r="I16" s="328"/>
      <c r="J16" s="328"/>
      <c r="K16" s="328"/>
      <c r="L16" s="328"/>
      <c r="M16" s="328"/>
      <c r="N16" s="328"/>
      <c r="O16" s="328"/>
      <c r="P16" s="328"/>
      <c r="Q16" s="328"/>
      <c r="R16" s="329"/>
      <c r="S16" s="334">
        <v>9992475</v>
      </c>
      <c r="T16" s="335"/>
      <c r="U16" s="336"/>
      <c r="V16" s="325">
        <v>75</v>
      </c>
      <c r="W16" s="326"/>
    </row>
    <row r="17" spans="2:23" ht="13.25" customHeight="1" x14ac:dyDescent="0.15">
      <c r="B17" s="325" t="s">
        <v>512</v>
      </c>
      <c r="C17" s="326" t="s">
        <v>512</v>
      </c>
      <c r="D17" s="331">
        <v>1800</v>
      </c>
      <c r="E17" s="332"/>
      <c r="F17" s="333"/>
      <c r="G17" s="302">
        <v>1.7999999999999999E-2</v>
      </c>
      <c r="H17" s="327" t="s">
        <v>430</v>
      </c>
      <c r="I17" s="328"/>
      <c r="J17" s="328"/>
      <c r="K17" s="328"/>
      <c r="L17" s="328"/>
      <c r="M17" s="328"/>
      <c r="N17" s="328"/>
      <c r="O17" s="328"/>
      <c r="P17" s="328"/>
      <c r="Q17" s="328"/>
      <c r="R17" s="329"/>
      <c r="S17" s="325"/>
      <c r="T17" s="330"/>
      <c r="U17" s="326"/>
      <c r="V17" s="325"/>
      <c r="W17" s="326"/>
    </row>
    <row r="18" spans="2:23" ht="13.25" customHeight="1" x14ac:dyDescent="0.15">
      <c r="B18" s="304" t="s">
        <v>513</v>
      </c>
      <c r="C18" s="305" t="s">
        <v>528</v>
      </c>
      <c r="D18" s="331">
        <v>2700</v>
      </c>
      <c r="E18" s="332"/>
      <c r="F18" s="333"/>
      <c r="G18" s="302">
        <v>2.7E-2</v>
      </c>
      <c r="H18" s="327" t="s">
        <v>431</v>
      </c>
      <c r="I18" s="328"/>
      <c r="J18" s="328"/>
      <c r="K18" s="328"/>
      <c r="L18" s="328"/>
      <c r="M18" s="328"/>
      <c r="N18" s="328"/>
      <c r="O18" s="328"/>
      <c r="P18" s="328"/>
      <c r="Q18" s="328"/>
      <c r="R18" s="329"/>
      <c r="S18" s="325"/>
      <c r="T18" s="330"/>
      <c r="U18" s="326"/>
      <c r="V18" s="325"/>
      <c r="W18" s="326"/>
    </row>
    <row r="19" spans="2:23" ht="13.25" customHeight="1" x14ac:dyDescent="0.15">
      <c r="B19" s="325" t="s">
        <v>514</v>
      </c>
      <c r="C19" s="326" t="s">
        <v>514</v>
      </c>
      <c r="D19" s="331">
        <v>81000</v>
      </c>
      <c r="E19" s="332"/>
      <c r="F19" s="333"/>
      <c r="G19" s="302">
        <v>0.81</v>
      </c>
      <c r="H19" s="322" t="s">
        <v>432</v>
      </c>
      <c r="I19" s="324"/>
      <c r="J19" s="324"/>
      <c r="K19" s="324"/>
      <c r="L19" s="324"/>
      <c r="M19" s="324"/>
      <c r="N19" s="324"/>
      <c r="O19" s="324"/>
      <c r="P19" s="324"/>
      <c r="Q19" s="324"/>
      <c r="R19" s="323"/>
      <c r="S19" s="325"/>
      <c r="T19" s="330"/>
      <c r="U19" s="326"/>
      <c r="V19" s="325"/>
      <c r="W19" s="326"/>
    </row>
    <row r="20" spans="2:23" ht="13.25" customHeight="1" x14ac:dyDescent="0.15">
      <c r="B20" s="304" t="s">
        <v>515</v>
      </c>
      <c r="C20" s="305" t="s">
        <v>515</v>
      </c>
      <c r="D20" s="331">
        <v>18900</v>
      </c>
      <c r="E20" s="332"/>
      <c r="F20" s="333"/>
      <c r="G20" s="302">
        <v>0.18909999999999999</v>
      </c>
      <c r="H20" s="327" t="s">
        <v>433</v>
      </c>
      <c r="I20" s="328"/>
      <c r="J20" s="328"/>
      <c r="K20" s="328"/>
      <c r="L20" s="328"/>
      <c r="M20" s="328"/>
      <c r="N20" s="328"/>
      <c r="O20" s="328"/>
      <c r="P20" s="328"/>
      <c r="Q20" s="328"/>
      <c r="R20" s="329"/>
      <c r="S20" s="325"/>
      <c r="T20" s="330"/>
      <c r="U20" s="326"/>
      <c r="V20" s="325"/>
      <c r="W20" s="326"/>
    </row>
    <row r="21" spans="2:23" ht="13.25" customHeight="1" x14ac:dyDescent="0.15">
      <c r="B21" s="304" t="s">
        <v>516</v>
      </c>
      <c r="C21" s="305" t="s">
        <v>516</v>
      </c>
      <c r="D21" s="331">
        <v>500000</v>
      </c>
      <c r="E21" s="332"/>
      <c r="F21" s="333"/>
      <c r="G21" s="302">
        <v>5</v>
      </c>
      <c r="H21" s="327" t="s">
        <v>434</v>
      </c>
      <c r="I21" s="328"/>
      <c r="J21" s="328"/>
      <c r="K21" s="328"/>
      <c r="L21" s="328"/>
      <c r="M21" s="328"/>
      <c r="N21" s="328"/>
      <c r="O21" s="328"/>
      <c r="P21" s="328"/>
      <c r="Q21" s="328"/>
      <c r="R21" s="329"/>
      <c r="S21" s="325"/>
      <c r="T21" s="330"/>
      <c r="U21" s="326"/>
      <c r="V21" s="325"/>
      <c r="W21" s="326"/>
    </row>
    <row r="22" spans="2:23" ht="12.5" customHeight="1" x14ac:dyDescent="0.15">
      <c r="B22" s="304" t="s">
        <v>517</v>
      </c>
      <c r="C22" s="305" t="s">
        <v>517</v>
      </c>
      <c r="D22" s="331">
        <v>800000</v>
      </c>
      <c r="E22" s="332"/>
      <c r="F22" s="333"/>
      <c r="G22" s="302">
        <v>8</v>
      </c>
      <c r="H22" s="322" t="s">
        <v>435</v>
      </c>
      <c r="I22" s="324"/>
      <c r="J22" s="324"/>
      <c r="K22" s="324"/>
      <c r="L22" s="324"/>
      <c r="M22" s="324"/>
      <c r="N22" s="324"/>
      <c r="O22" s="324"/>
      <c r="P22" s="324"/>
      <c r="Q22" s="324"/>
      <c r="R22" s="323"/>
      <c r="S22" s="325"/>
      <c r="T22" s="330"/>
      <c r="U22" s="326"/>
      <c r="V22" s="325"/>
      <c r="W22" s="326"/>
    </row>
    <row r="23" spans="2:23" ht="13.25" customHeight="1" x14ac:dyDescent="0.15">
      <c r="B23" s="304" t="s">
        <v>518</v>
      </c>
      <c r="C23" s="305" t="s">
        <v>518</v>
      </c>
      <c r="D23" s="331">
        <v>350000</v>
      </c>
      <c r="E23" s="332"/>
      <c r="F23" s="333"/>
      <c r="G23" s="302">
        <v>3.5</v>
      </c>
      <c r="H23" s="327" t="s">
        <v>436</v>
      </c>
      <c r="I23" s="328"/>
      <c r="J23" s="328"/>
      <c r="K23" s="328"/>
      <c r="L23" s="328"/>
      <c r="M23" s="328"/>
      <c r="N23" s="328"/>
      <c r="O23" s="328"/>
      <c r="P23" s="328"/>
      <c r="Q23" s="328"/>
      <c r="R23" s="329"/>
      <c r="S23" s="325"/>
      <c r="T23" s="330"/>
      <c r="U23" s="326"/>
      <c r="V23" s="325"/>
      <c r="W23" s="326"/>
    </row>
    <row r="24" spans="2:23" ht="12.5" customHeight="1" x14ac:dyDescent="0.15">
      <c r="B24" s="325" t="s">
        <v>519</v>
      </c>
      <c r="C24" s="326"/>
      <c r="D24" s="334">
        <v>147672</v>
      </c>
      <c r="E24" s="335"/>
      <c r="F24" s="336"/>
      <c r="G24" s="302">
        <v>1.47</v>
      </c>
      <c r="H24" s="327" t="s">
        <v>437</v>
      </c>
      <c r="I24" s="328"/>
      <c r="J24" s="328"/>
      <c r="K24" s="328"/>
      <c r="L24" s="328"/>
      <c r="M24" s="328"/>
      <c r="N24" s="328"/>
      <c r="O24" s="328"/>
      <c r="P24" s="328"/>
      <c r="Q24" s="328"/>
      <c r="R24" s="329"/>
      <c r="S24" s="325"/>
      <c r="T24" s="330"/>
      <c r="U24" s="326"/>
      <c r="V24" s="325"/>
      <c r="W24" s="326"/>
    </row>
    <row r="25" spans="2:23" ht="12.5" customHeight="1" x14ac:dyDescent="0.15">
      <c r="B25" s="325"/>
      <c r="C25" s="326"/>
      <c r="D25" s="325"/>
      <c r="E25" s="330"/>
      <c r="F25" s="326"/>
      <c r="G25" s="302"/>
      <c r="H25" s="337" t="s">
        <v>438</v>
      </c>
      <c r="I25" s="338"/>
      <c r="J25" s="338"/>
      <c r="K25" s="338"/>
      <c r="L25" s="338"/>
      <c r="M25" s="338"/>
      <c r="N25" s="338"/>
      <c r="O25" s="338"/>
      <c r="P25" s="338"/>
      <c r="Q25" s="338"/>
      <c r="R25" s="339"/>
      <c r="S25" s="325"/>
      <c r="T25" s="330"/>
      <c r="U25" s="326"/>
      <c r="V25" s="325"/>
      <c r="W25" s="326"/>
    </row>
    <row r="26" spans="2:23" ht="12.5" customHeight="1" x14ac:dyDescent="0.15">
      <c r="B26" s="325"/>
      <c r="C26" s="326"/>
      <c r="D26" s="325"/>
      <c r="E26" s="330"/>
      <c r="F26" s="326"/>
      <c r="G26" s="302"/>
      <c r="H26" s="327" t="s">
        <v>439</v>
      </c>
      <c r="I26" s="328"/>
      <c r="J26" s="328"/>
      <c r="K26" s="328"/>
      <c r="L26" s="328"/>
      <c r="M26" s="328"/>
      <c r="N26" s="328"/>
      <c r="O26" s="328"/>
      <c r="P26" s="328"/>
      <c r="Q26" s="328"/>
      <c r="R26" s="329"/>
      <c r="S26" s="325"/>
      <c r="T26" s="330"/>
      <c r="U26" s="326"/>
      <c r="V26" s="325"/>
      <c r="W26" s="326"/>
    </row>
    <row r="27" spans="2:23" ht="13.25" customHeight="1" x14ac:dyDescent="0.15">
      <c r="B27" s="322" t="s">
        <v>440</v>
      </c>
      <c r="C27" s="323"/>
      <c r="D27" s="331">
        <f>SUM(D15:F26)</f>
        <v>9992475</v>
      </c>
      <c r="E27" s="330"/>
      <c r="F27" s="326"/>
      <c r="G27" s="306"/>
      <c r="H27" s="322" t="s">
        <v>441</v>
      </c>
      <c r="I27" s="324"/>
      <c r="J27" s="324"/>
      <c r="K27" s="324"/>
      <c r="L27" s="324"/>
      <c r="M27" s="324"/>
      <c r="N27" s="324"/>
      <c r="O27" s="324"/>
      <c r="P27" s="324"/>
      <c r="Q27" s="324"/>
      <c r="R27" s="323"/>
      <c r="S27" s="340">
        <f>SUM(S15:U26)</f>
        <v>9992475</v>
      </c>
      <c r="T27" s="330"/>
      <c r="U27" s="326"/>
      <c r="V27" s="325"/>
      <c r="W27" s="326"/>
    </row>
    <row r="28" spans="2:23" ht="12.5" customHeight="1" x14ac:dyDescent="0.2">
      <c r="C28" s="274"/>
    </row>
    <row r="29" spans="2:23" ht="12.5" customHeight="1" x14ac:dyDescent="0.2">
      <c r="C29" s="274"/>
    </row>
    <row r="30" spans="2:23" ht="12.5" customHeight="1" x14ac:dyDescent="0.2">
      <c r="C30" s="274"/>
    </row>
    <row r="31" spans="2:23" ht="12.5" customHeight="1" x14ac:dyDescent="0.2">
      <c r="C31" s="274"/>
    </row>
    <row r="32" spans="2:23" ht="12.5" customHeight="1" x14ac:dyDescent="0.2">
      <c r="C32" s="281"/>
    </row>
    <row r="33" spans="3:3" ht="12.5" customHeight="1" x14ac:dyDescent="0.2">
      <c r="C33" s="274"/>
    </row>
    <row r="34" spans="3:3" ht="12.5" customHeight="1" x14ac:dyDescent="0.2">
      <c r="C34" s="274"/>
    </row>
    <row r="35" spans="3:3" ht="16" x14ac:dyDescent="0.2">
      <c r="C35" s="274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</sheetData>
  <mergeCells count="70">
    <mergeCell ref="B27:C27"/>
    <mergeCell ref="D27:F27"/>
    <mergeCell ref="H27:R27"/>
    <mergeCell ref="S27:U27"/>
    <mergeCell ref="V27:W27"/>
    <mergeCell ref="B25:C25"/>
    <mergeCell ref="D25:F25"/>
    <mergeCell ref="H25:R25"/>
    <mergeCell ref="S25:U25"/>
    <mergeCell ref="V25:W25"/>
    <mergeCell ref="B26:C26"/>
    <mergeCell ref="D26:F26"/>
    <mergeCell ref="H26:R26"/>
    <mergeCell ref="S26:U26"/>
    <mergeCell ref="V26:W26"/>
    <mergeCell ref="B24:C24"/>
    <mergeCell ref="D24:F24"/>
    <mergeCell ref="H24:R24"/>
    <mergeCell ref="S24:U24"/>
    <mergeCell ref="V24:W24"/>
    <mergeCell ref="D22:F22"/>
    <mergeCell ref="H22:R22"/>
    <mergeCell ref="S22:U22"/>
    <mergeCell ref="V22:W22"/>
    <mergeCell ref="D23:F23"/>
    <mergeCell ref="H23:R23"/>
    <mergeCell ref="S23:U23"/>
    <mergeCell ref="V23:W23"/>
    <mergeCell ref="D21:F21"/>
    <mergeCell ref="H21:R21"/>
    <mergeCell ref="S21:U21"/>
    <mergeCell ref="V21:W21"/>
    <mergeCell ref="D20:F20"/>
    <mergeCell ref="H20:R20"/>
    <mergeCell ref="S20:U20"/>
    <mergeCell ref="V20:W20"/>
    <mergeCell ref="B17:C17"/>
    <mergeCell ref="D17:F17"/>
    <mergeCell ref="H17:R17"/>
    <mergeCell ref="S17:U17"/>
    <mergeCell ref="V17:W17"/>
    <mergeCell ref="D18:F18"/>
    <mergeCell ref="H18:R18"/>
    <mergeCell ref="S18:U18"/>
    <mergeCell ref="V18:W18"/>
    <mergeCell ref="B19:C19"/>
    <mergeCell ref="D19:F19"/>
    <mergeCell ref="H19:R19"/>
    <mergeCell ref="S19:U19"/>
    <mergeCell ref="V19:W19"/>
    <mergeCell ref="B15:C15"/>
    <mergeCell ref="D15:F15"/>
    <mergeCell ref="H15:R15"/>
    <mergeCell ref="S15:U15"/>
    <mergeCell ref="V15:W15"/>
    <mergeCell ref="B16:C16"/>
    <mergeCell ref="D16:F16"/>
    <mergeCell ref="H16:R16"/>
    <mergeCell ref="S16:U16"/>
    <mergeCell ref="V16:W16"/>
    <mergeCell ref="B13:C13"/>
    <mergeCell ref="D13:F13"/>
    <mergeCell ref="H13:R13"/>
    <mergeCell ref="S13:U13"/>
    <mergeCell ref="V13:W13"/>
    <mergeCell ref="B14:C14"/>
    <mergeCell ref="D14:F14"/>
    <mergeCell ref="H14:R14"/>
    <mergeCell ref="S14:U14"/>
    <mergeCell ref="V14:W14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F1476-9B02-4BD2-9A5F-A2960021EEAF}">
  <dimension ref="A1:C60"/>
  <sheetViews>
    <sheetView workbookViewId="0">
      <selection sqref="A1:C22"/>
    </sheetView>
  </sheetViews>
  <sheetFormatPr baseColWidth="10" defaultColWidth="8.83203125" defaultRowHeight="13" x14ac:dyDescent="0.15"/>
  <cols>
    <col min="2" max="2" width="112.1640625" customWidth="1"/>
    <col min="3" max="3" width="96.1640625" bestFit="1" customWidth="1"/>
  </cols>
  <sheetData>
    <row r="1" spans="1:3" ht="18" x14ac:dyDescent="0.2">
      <c r="C1" s="285" t="s">
        <v>358</v>
      </c>
    </row>
    <row r="2" spans="1:3" ht="16" x14ac:dyDescent="0.2">
      <c r="A2" s="1">
        <v>7</v>
      </c>
      <c r="B2" s="155" t="s">
        <v>442</v>
      </c>
      <c r="C2" s="299"/>
    </row>
    <row r="3" spans="1:3" ht="16" x14ac:dyDescent="0.2">
      <c r="B3" s="274"/>
      <c r="C3" s="299"/>
    </row>
    <row r="4" spans="1:3" ht="16" x14ac:dyDescent="0.2">
      <c r="B4" s="274" t="s">
        <v>443</v>
      </c>
      <c r="C4" s="274"/>
    </row>
    <row r="5" spans="1:3" ht="16" x14ac:dyDescent="0.2">
      <c r="B5" s="274" t="s">
        <v>444</v>
      </c>
      <c r="C5" s="274"/>
    </row>
    <row r="6" spans="1:3" ht="16" x14ac:dyDescent="0.2">
      <c r="B6" s="274" t="s">
        <v>445</v>
      </c>
      <c r="C6" s="274"/>
    </row>
    <row r="7" spans="1:3" ht="16" x14ac:dyDescent="0.2">
      <c r="B7" s="274"/>
      <c r="C7" s="274"/>
    </row>
    <row r="8" spans="1:3" ht="18" x14ac:dyDescent="0.2">
      <c r="B8" s="274" t="s">
        <v>529</v>
      </c>
      <c r="C8" s="281"/>
    </row>
    <row r="9" spans="1:3" ht="16" x14ac:dyDescent="0.2">
      <c r="B9" s="274" t="s">
        <v>530</v>
      </c>
      <c r="C9" s="274"/>
    </row>
    <row r="10" spans="1:3" ht="16" x14ac:dyDescent="0.2">
      <c r="B10" s="274" t="s">
        <v>531</v>
      </c>
      <c r="C10" s="274"/>
    </row>
    <row r="11" spans="1:3" ht="16" x14ac:dyDescent="0.2">
      <c r="B11" s="274" t="s">
        <v>446</v>
      </c>
      <c r="C11" s="274"/>
    </row>
    <row r="12" spans="1:3" ht="16" x14ac:dyDescent="0.2">
      <c r="B12" s="274" t="s">
        <v>447</v>
      </c>
      <c r="C12" s="274"/>
    </row>
    <row r="13" spans="1:3" ht="16" x14ac:dyDescent="0.2">
      <c r="B13" s="274" t="s">
        <v>448</v>
      </c>
      <c r="C13" s="280"/>
    </row>
    <row r="14" spans="1:3" ht="16" x14ac:dyDescent="0.2">
      <c r="B14" s="274" t="s">
        <v>449</v>
      </c>
      <c r="C14" s="280"/>
    </row>
    <row r="15" spans="1:3" ht="16" x14ac:dyDescent="0.2">
      <c r="B15" s="274" t="s">
        <v>450</v>
      </c>
      <c r="C15" s="274"/>
    </row>
    <row r="16" spans="1:3" ht="16" x14ac:dyDescent="0.2">
      <c r="B16" s="274"/>
      <c r="C16" s="274"/>
    </row>
    <row r="17" spans="2:3" ht="16" x14ac:dyDescent="0.2">
      <c r="B17" s="274"/>
      <c r="C17" s="301"/>
    </row>
    <row r="18" spans="2:3" ht="18" x14ac:dyDescent="0.2">
      <c r="C18" s="281"/>
    </row>
    <row r="19" spans="2:3" ht="16" x14ac:dyDescent="0.2">
      <c r="C19" s="274"/>
    </row>
    <row r="20" spans="2:3" ht="16" x14ac:dyDescent="0.2">
      <c r="C20" s="274"/>
    </row>
    <row r="21" spans="2:3" ht="16" x14ac:dyDescent="0.2">
      <c r="C21" s="274"/>
    </row>
    <row r="22" spans="2:3" ht="16" x14ac:dyDescent="0.2">
      <c r="C22" s="274"/>
    </row>
    <row r="23" spans="2:3" ht="16" x14ac:dyDescent="0.2">
      <c r="C23" s="274"/>
    </row>
    <row r="24" spans="2:3" ht="16" x14ac:dyDescent="0.2">
      <c r="C24" s="274"/>
    </row>
    <row r="25" spans="2:3" ht="16" x14ac:dyDescent="0.2">
      <c r="C25" s="274"/>
    </row>
    <row r="26" spans="2:3" ht="16" x14ac:dyDescent="0.2">
      <c r="C26" s="274"/>
    </row>
    <row r="27" spans="2:3" ht="16" x14ac:dyDescent="0.2">
      <c r="C27" s="274"/>
    </row>
    <row r="28" spans="2:3" ht="16" x14ac:dyDescent="0.2">
      <c r="C28" s="274"/>
    </row>
    <row r="29" spans="2:3" ht="16" x14ac:dyDescent="0.2">
      <c r="C29" s="274"/>
    </row>
    <row r="30" spans="2:3" ht="16" x14ac:dyDescent="0.2">
      <c r="C30" s="274"/>
    </row>
    <row r="31" spans="2:3" ht="16" x14ac:dyDescent="0.2">
      <c r="C31" s="274"/>
    </row>
    <row r="32" spans="2:3" ht="16" x14ac:dyDescent="0.2">
      <c r="C32" s="274"/>
    </row>
    <row r="33" spans="3:3" ht="16" x14ac:dyDescent="0.2">
      <c r="C33" s="274"/>
    </row>
    <row r="34" spans="3:3" ht="16" x14ac:dyDescent="0.2">
      <c r="C34" s="274"/>
    </row>
    <row r="35" spans="3:3" ht="16" x14ac:dyDescent="0.2">
      <c r="C35" s="274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  <row r="40" spans="3:3" ht="16" x14ac:dyDescent="0.2">
      <c r="C40" s="274"/>
    </row>
    <row r="41" spans="3:3" ht="18" x14ac:dyDescent="0.2">
      <c r="C41" s="281"/>
    </row>
    <row r="42" spans="3:3" ht="16" x14ac:dyDescent="0.2">
      <c r="C42" s="274"/>
    </row>
    <row r="43" spans="3:3" ht="16" x14ac:dyDescent="0.2">
      <c r="C43" s="274"/>
    </row>
    <row r="44" spans="3:3" ht="16" x14ac:dyDescent="0.2">
      <c r="C44" s="274"/>
    </row>
    <row r="45" spans="3:3" ht="16" x14ac:dyDescent="0.2">
      <c r="C45" s="274"/>
    </row>
    <row r="46" spans="3:3" ht="16" x14ac:dyDescent="0.2">
      <c r="C46" s="274"/>
    </row>
    <row r="47" spans="3:3" ht="16" x14ac:dyDescent="0.2">
      <c r="C47" s="274"/>
    </row>
    <row r="48" spans="3:3" ht="16" x14ac:dyDescent="0.2">
      <c r="C48" s="274"/>
    </row>
    <row r="49" spans="3:3" ht="16" x14ac:dyDescent="0.2">
      <c r="C49" s="274"/>
    </row>
    <row r="50" spans="3:3" ht="16" x14ac:dyDescent="0.2">
      <c r="C50" s="274"/>
    </row>
    <row r="51" spans="3:3" ht="16" x14ac:dyDescent="0.2">
      <c r="C51" s="274"/>
    </row>
    <row r="52" spans="3:3" ht="16" x14ac:dyDescent="0.2">
      <c r="C52" s="274"/>
    </row>
    <row r="53" spans="3:3" ht="18" x14ac:dyDescent="0.2">
      <c r="C53" s="281"/>
    </row>
    <row r="54" spans="3:3" ht="16" x14ac:dyDescent="0.2">
      <c r="C54" s="274"/>
    </row>
    <row r="55" spans="3:3" ht="16" x14ac:dyDescent="0.2">
      <c r="C55" s="274"/>
    </row>
    <row r="56" spans="3:3" ht="16" x14ac:dyDescent="0.2">
      <c r="C56" s="274"/>
    </row>
    <row r="57" spans="3:3" ht="16" x14ac:dyDescent="0.2">
      <c r="C57" s="274"/>
    </row>
    <row r="58" spans="3:3" ht="16" x14ac:dyDescent="0.2">
      <c r="C58" s="274"/>
    </row>
    <row r="59" spans="3:3" ht="16" x14ac:dyDescent="0.2">
      <c r="C59" s="274"/>
    </row>
    <row r="60" spans="3:3" ht="16" x14ac:dyDescent="0.2">
      <c r="C60" s="27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E21F-2A51-41FE-B230-C0512383F06E}">
  <dimension ref="A1:C51"/>
  <sheetViews>
    <sheetView workbookViewId="0">
      <selection activeCell="C47" sqref="C47"/>
    </sheetView>
  </sheetViews>
  <sheetFormatPr baseColWidth="10" defaultColWidth="8.83203125" defaultRowHeight="13" x14ac:dyDescent="0.15"/>
  <cols>
    <col min="2" max="2" width="112.1640625" customWidth="1"/>
    <col min="3" max="3" width="96.1640625" bestFit="1" customWidth="1"/>
    <col min="258" max="258" width="112.1640625" customWidth="1"/>
    <col min="259" max="259" width="96.1640625" bestFit="1" customWidth="1"/>
    <col min="514" max="514" width="112.1640625" customWidth="1"/>
    <col min="515" max="515" width="96.1640625" bestFit="1" customWidth="1"/>
    <col min="770" max="770" width="112.1640625" customWidth="1"/>
    <col min="771" max="771" width="96.1640625" bestFit="1" customWidth="1"/>
    <col min="1026" max="1026" width="112.1640625" customWidth="1"/>
    <col min="1027" max="1027" width="96.1640625" bestFit="1" customWidth="1"/>
    <col min="1282" max="1282" width="112.1640625" customWidth="1"/>
    <col min="1283" max="1283" width="96.1640625" bestFit="1" customWidth="1"/>
    <col min="1538" max="1538" width="112.1640625" customWidth="1"/>
    <col min="1539" max="1539" width="96.1640625" bestFit="1" customWidth="1"/>
    <col min="1794" max="1794" width="112.1640625" customWidth="1"/>
    <col min="1795" max="1795" width="96.1640625" bestFit="1" customWidth="1"/>
    <col min="2050" max="2050" width="112.1640625" customWidth="1"/>
    <col min="2051" max="2051" width="96.1640625" bestFit="1" customWidth="1"/>
    <col min="2306" max="2306" width="112.1640625" customWidth="1"/>
    <col min="2307" max="2307" width="96.1640625" bestFit="1" customWidth="1"/>
    <col min="2562" max="2562" width="112.1640625" customWidth="1"/>
    <col min="2563" max="2563" width="96.1640625" bestFit="1" customWidth="1"/>
    <col min="2818" max="2818" width="112.1640625" customWidth="1"/>
    <col min="2819" max="2819" width="96.1640625" bestFit="1" customWidth="1"/>
    <col min="3074" max="3074" width="112.1640625" customWidth="1"/>
    <col min="3075" max="3075" width="96.1640625" bestFit="1" customWidth="1"/>
    <col min="3330" max="3330" width="112.1640625" customWidth="1"/>
    <col min="3331" max="3331" width="96.1640625" bestFit="1" customWidth="1"/>
    <col min="3586" max="3586" width="112.1640625" customWidth="1"/>
    <col min="3587" max="3587" width="96.1640625" bestFit="1" customWidth="1"/>
    <col min="3842" max="3842" width="112.1640625" customWidth="1"/>
    <col min="3843" max="3843" width="96.1640625" bestFit="1" customWidth="1"/>
    <col min="4098" max="4098" width="112.1640625" customWidth="1"/>
    <col min="4099" max="4099" width="96.1640625" bestFit="1" customWidth="1"/>
    <col min="4354" max="4354" width="112.1640625" customWidth="1"/>
    <col min="4355" max="4355" width="96.1640625" bestFit="1" customWidth="1"/>
    <col min="4610" max="4610" width="112.1640625" customWidth="1"/>
    <col min="4611" max="4611" width="96.1640625" bestFit="1" customWidth="1"/>
    <col min="4866" max="4866" width="112.1640625" customWidth="1"/>
    <col min="4867" max="4867" width="96.1640625" bestFit="1" customWidth="1"/>
    <col min="5122" max="5122" width="112.1640625" customWidth="1"/>
    <col min="5123" max="5123" width="96.1640625" bestFit="1" customWidth="1"/>
    <col min="5378" max="5378" width="112.1640625" customWidth="1"/>
    <col min="5379" max="5379" width="96.1640625" bestFit="1" customWidth="1"/>
    <col min="5634" max="5634" width="112.1640625" customWidth="1"/>
    <col min="5635" max="5635" width="96.1640625" bestFit="1" customWidth="1"/>
    <col min="5890" max="5890" width="112.1640625" customWidth="1"/>
    <col min="5891" max="5891" width="96.1640625" bestFit="1" customWidth="1"/>
    <col min="6146" max="6146" width="112.1640625" customWidth="1"/>
    <col min="6147" max="6147" width="96.1640625" bestFit="1" customWidth="1"/>
    <col min="6402" max="6402" width="112.1640625" customWidth="1"/>
    <col min="6403" max="6403" width="96.1640625" bestFit="1" customWidth="1"/>
    <col min="6658" max="6658" width="112.1640625" customWidth="1"/>
    <col min="6659" max="6659" width="96.1640625" bestFit="1" customWidth="1"/>
    <col min="6914" max="6914" width="112.1640625" customWidth="1"/>
    <col min="6915" max="6915" width="96.1640625" bestFit="1" customWidth="1"/>
    <col min="7170" max="7170" width="112.1640625" customWidth="1"/>
    <col min="7171" max="7171" width="96.1640625" bestFit="1" customWidth="1"/>
    <col min="7426" max="7426" width="112.1640625" customWidth="1"/>
    <col min="7427" max="7427" width="96.1640625" bestFit="1" customWidth="1"/>
    <col min="7682" max="7682" width="112.1640625" customWidth="1"/>
    <col min="7683" max="7683" width="96.1640625" bestFit="1" customWidth="1"/>
    <col min="7938" max="7938" width="112.1640625" customWidth="1"/>
    <col min="7939" max="7939" width="96.1640625" bestFit="1" customWidth="1"/>
    <col min="8194" max="8194" width="112.1640625" customWidth="1"/>
    <col min="8195" max="8195" width="96.1640625" bestFit="1" customWidth="1"/>
    <col min="8450" max="8450" width="112.1640625" customWidth="1"/>
    <col min="8451" max="8451" width="96.1640625" bestFit="1" customWidth="1"/>
    <col min="8706" max="8706" width="112.1640625" customWidth="1"/>
    <col min="8707" max="8707" width="96.1640625" bestFit="1" customWidth="1"/>
    <col min="8962" max="8962" width="112.1640625" customWidth="1"/>
    <col min="8963" max="8963" width="96.1640625" bestFit="1" customWidth="1"/>
    <col min="9218" max="9218" width="112.1640625" customWidth="1"/>
    <col min="9219" max="9219" width="96.1640625" bestFit="1" customWidth="1"/>
    <col min="9474" max="9474" width="112.1640625" customWidth="1"/>
    <col min="9475" max="9475" width="96.1640625" bestFit="1" customWidth="1"/>
    <col min="9730" max="9730" width="112.1640625" customWidth="1"/>
    <col min="9731" max="9731" width="96.1640625" bestFit="1" customWidth="1"/>
    <col min="9986" max="9986" width="112.1640625" customWidth="1"/>
    <col min="9987" max="9987" width="96.1640625" bestFit="1" customWidth="1"/>
    <col min="10242" max="10242" width="112.1640625" customWidth="1"/>
    <col min="10243" max="10243" width="96.1640625" bestFit="1" customWidth="1"/>
    <col min="10498" max="10498" width="112.1640625" customWidth="1"/>
    <col min="10499" max="10499" width="96.1640625" bestFit="1" customWidth="1"/>
    <col min="10754" max="10754" width="112.1640625" customWidth="1"/>
    <col min="10755" max="10755" width="96.1640625" bestFit="1" customWidth="1"/>
    <col min="11010" max="11010" width="112.1640625" customWidth="1"/>
    <col min="11011" max="11011" width="96.1640625" bestFit="1" customWidth="1"/>
    <col min="11266" max="11266" width="112.1640625" customWidth="1"/>
    <col min="11267" max="11267" width="96.1640625" bestFit="1" customWidth="1"/>
    <col min="11522" max="11522" width="112.1640625" customWidth="1"/>
    <col min="11523" max="11523" width="96.1640625" bestFit="1" customWidth="1"/>
    <col min="11778" max="11778" width="112.1640625" customWidth="1"/>
    <col min="11779" max="11779" width="96.1640625" bestFit="1" customWidth="1"/>
    <col min="12034" max="12034" width="112.1640625" customWidth="1"/>
    <col min="12035" max="12035" width="96.1640625" bestFit="1" customWidth="1"/>
    <col min="12290" max="12290" width="112.1640625" customWidth="1"/>
    <col min="12291" max="12291" width="96.1640625" bestFit="1" customWidth="1"/>
    <col min="12546" max="12546" width="112.1640625" customWidth="1"/>
    <col min="12547" max="12547" width="96.1640625" bestFit="1" customWidth="1"/>
    <col min="12802" max="12802" width="112.1640625" customWidth="1"/>
    <col min="12803" max="12803" width="96.1640625" bestFit="1" customWidth="1"/>
    <col min="13058" max="13058" width="112.1640625" customWidth="1"/>
    <col min="13059" max="13059" width="96.1640625" bestFit="1" customWidth="1"/>
    <col min="13314" max="13314" width="112.1640625" customWidth="1"/>
    <col min="13315" max="13315" width="96.1640625" bestFit="1" customWidth="1"/>
    <col min="13570" max="13570" width="112.1640625" customWidth="1"/>
    <col min="13571" max="13571" width="96.1640625" bestFit="1" customWidth="1"/>
    <col min="13826" max="13826" width="112.1640625" customWidth="1"/>
    <col min="13827" max="13827" width="96.1640625" bestFit="1" customWidth="1"/>
    <col min="14082" max="14082" width="112.1640625" customWidth="1"/>
    <col min="14083" max="14083" width="96.1640625" bestFit="1" customWidth="1"/>
    <col min="14338" max="14338" width="112.1640625" customWidth="1"/>
    <col min="14339" max="14339" width="96.1640625" bestFit="1" customWidth="1"/>
    <col min="14594" max="14594" width="112.1640625" customWidth="1"/>
    <col min="14595" max="14595" width="96.1640625" bestFit="1" customWidth="1"/>
    <col min="14850" max="14850" width="112.1640625" customWidth="1"/>
    <col min="14851" max="14851" width="96.1640625" bestFit="1" customWidth="1"/>
    <col min="15106" max="15106" width="112.1640625" customWidth="1"/>
    <col min="15107" max="15107" width="96.1640625" bestFit="1" customWidth="1"/>
    <col min="15362" max="15362" width="112.1640625" customWidth="1"/>
    <col min="15363" max="15363" width="96.1640625" bestFit="1" customWidth="1"/>
    <col min="15618" max="15618" width="112.1640625" customWidth="1"/>
    <col min="15619" max="15619" width="96.1640625" bestFit="1" customWidth="1"/>
    <col min="15874" max="15874" width="112.1640625" customWidth="1"/>
    <col min="15875" max="15875" width="96.1640625" bestFit="1" customWidth="1"/>
    <col min="16130" max="16130" width="112.1640625" customWidth="1"/>
    <col min="16131" max="16131" width="96.1640625" bestFit="1" customWidth="1"/>
  </cols>
  <sheetData>
    <row r="1" spans="1:3" ht="18" x14ac:dyDescent="0.2">
      <c r="C1" s="285" t="s">
        <v>358</v>
      </c>
    </row>
    <row r="2" spans="1:3" ht="16" x14ac:dyDescent="0.2">
      <c r="A2" s="1">
        <v>8</v>
      </c>
      <c r="B2" s="155" t="s">
        <v>451</v>
      </c>
      <c r="C2" s="299"/>
    </row>
    <row r="3" spans="1:3" ht="16" x14ac:dyDescent="0.2">
      <c r="B3" s="274"/>
      <c r="C3" s="299"/>
    </row>
    <row r="4" spans="1:3" ht="16" x14ac:dyDescent="0.2">
      <c r="B4" s="274" t="s">
        <v>452</v>
      </c>
      <c r="C4" s="274"/>
    </row>
    <row r="5" spans="1:3" ht="16" x14ac:dyDescent="0.2">
      <c r="B5" s="274" t="s">
        <v>453</v>
      </c>
      <c r="C5" s="274"/>
    </row>
    <row r="6" spans="1:3" ht="16" x14ac:dyDescent="0.2">
      <c r="B6" s="274"/>
      <c r="C6" s="274"/>
    </row>
    <row r="7" spans="1:3" ht="16" x14ac:dyDescent="0.2">
      <c r="B7" s="274" t="s">
        <v>454</v>
      </c>
      <c r="C7" s="274"/>
    </row>
    <row r="8" spans="1:3" ht="16" x14ac:dyDescent="0.2">
      <c r="B8" s="274"/>
      <c r="C8" s="274"/>
    </row>
    <row r="9" spans="1:3" ht="18" x14ac:dyDescent="0.2">
      <c r="C9" s="281"/>
    </row>
    <row r="10" spans="1:3" ht="16" x14ac:dyDescent="0.2">
      <c r="C10" s="274"/>
    </row>
    <row r="11" spans="1:3" ht="16" x14ac:dyDescent="0.2">
      <c r="C11" s="274"/>
    </row>
    <row r="12" spans="1:3" ht="16" x14ac:dyDescent="0.2">
      <c r="C12" s="274"/>
    </row>
    <row r="13" spans="1:3" ht="16" x14ac:dyDescent="0.2">
      <c r="C13" s="274"/>
    </row>
    <row r="14" spans="1:3" ht="16" x14ac:dyDescent="0.2">
      <c r="C14" s="274"/>
    </row>
    <row r="15" spans="1:3" ht="16" x14ac:dyDescent="0.2">
      <c r="C15" s="274"/>
    </row>
    <row r="16" spans="1:3" ht="16" x14ac:dyDescent="0.2">
      <c r="C16" s="274"/>
    </row>
    <row r="17" spans="3:3" ht="16" x14ac:dyDescent="0.2">
      <c r="C17" s="274"/>
    </row>
    <row r="18" spans="3:3" ht="16" x14ac:dyDescent="0.2">
      <c r="C18" s="274"/>
    </row>
    <row r="19" spans="3:3" ht="16" x14ac:dyDescent="0.2">
      <c r="C19" s="274"/>
    </row>
    <row r="20" spans="3:3" ht="16" x14ac:dyDescent="0.2">
      <c r="C20" s="274"/>
    </row>
    <row r="21" spans="3:3" ht="16" x14ac:dyDescent="0.2">
      <c r="C21" s="274"/>
    </row>
    <row r="22" spans="3:3" ht="16" x14ac:dyDescent="0.2">
      <c r="C22" s="274"/>
    </row>
    <row r="23" spans="3:3" ht="16" x14ac:dyDescent="0.2">
      <c r="C23" s="274"/>
    </row>
    <row r="24" spans="3:3" ht="16" x14ac:dyDescent="0.2">
      <c r="C24" s="274"/>
    </row>
    <row r="25" spans="3:3" ht="16" x14ac:dyDescent="0.2">
      <c r="C25" s="274"/>
    </row>
    <row r="26" spans="3:3" ht="16" x14ac:dyDescent="0.2">
      <c r="C26" s="274"/>
    </row>
    <row r="27" spans="3:3" ht="16" x14ac:dyDescent="0.2">
      <c r="C27" s="274"/>
    </row>
    <row r="28" spans="3:3" ht="16" x14ac:dyDescent="0.2">
      <c r="C28" s="274"/>
    </row>
    <row r="29" spans="3:3" ht="16" x14ac:dyDescent="0.2">
      <c r="C29" s="274"/>
    </row>
    <row r="30" spans="3:3" ht="16" x14ac:dyDescent="0.2">
      <c r="C30" s="274"/>
    </row>
    <row r="31" spans="3:3" ht="16" x14ac:dyDescent="0.2">
      <c r="C31" s="274"/>
    </row>
    <row r="32" spans="3:3" ht="18" x14ac:dyDescent="0.2">
      <c r="C32" s="281"/>
    </row>
    <row r="33" spans="3:3" ht="16" x14ac:dyDescent="0.2">
      <c r="C33" s="274"/>
    </row>
    <row r="34" spans="3:3" ht="16" x14ac:dyDescent="0.2">
      <c r="C34" s="274"/>
    </row>
    <row r="35" spans="3:3" ht="16" x14ac:dyDescent="0.2">
      <c r="C35" s="274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  <row r="40" spans="3:3" ht="16" x14ac:dyDescent="0.2">
      <c r="C40" s="274"/>
    </row>
    <row r="41" spans="3:3" ht="16" x14ac:dyDescent="0.2">
      <c r="C41" s="274"/>
    </row>
    <row r="42" spans="3:3" ht="16" x14ac:dyDescent="0.2">
      <c r="C42" s="274"/>
    </row>
    <row r="43" spans="3:3" ht="16" x14ac:dyDescent="0.2">
      <c r="C43" s="274"/>
    </row>
    <row r="44" spans="3:3" ht="18" x14ac:dyDescent="0.2">
      <c r="C44" s="281"/>
    </row>
    <row r="45" spans="3:3" ht="16" x14ac:dyDescent="0.2">
      <c r="C45" s="274"/>
    </row>
    <row r="46" spans="3:3" ht="16" x14ac:dyDescent="0.2">
      <c r="C46" s="274"/>
    </row>
    <row r="47" spans="3:3" ht="16" x14ac:dyDescent="0.2">
      <c r="C47" s="274"/>
    </row>
    <row r="48" spans="3:3" ht="16" x14ac:dyDescent="0.2">
      <c r="C48" s="274"/>
    </row>
    <row r="49" spans="3:3" ht="16" x14ac:dyDescent="0.2">
      <c r="C49" s="274"/>
    </row>
    <row r="50" spans="3:3" ht="16" x14ac:dyDescent="0.2">
      <c r="C50" s="274"/>
    </row>
    <row r="51" spans="3:3" ht="16" x14ac:dyDescent="0.2">
      <c r="C51" s="274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8747C-97BE-4A94-A9AB-926F8EE8C4E3}">
  <dimension ref="A1:V51"/>
  <sheetViews>
    <sheetView zoomScaleNormal="100" workbookViewId="0">
      <selection activeCell="B19" sqref="B19"/>
    </sheetView>
  </sheetViews>
  <sheetFormatPr baseColWidth="10" defaultColWidth="8.83203125" defaultRowHeight="13" x14ac:dyDescent="0.15"/>
  <cols>
    <col min="2" max="2" width="112.1640625" customWidth="1"/>
    <col min="3" max="3" width="7" customWidth="1"/>
    <col min="4" max="4" width="5.83203125" hidden="1" customWidth="1"/>
    <col min="5" max="17" width="8.83203125" hidden="1" customWidth="1"/>
    <col min="18" max="18" width="4.1640625" customWidth="1"/>
    <col min="19" max="19" width="4.5" customWidth="1"/>
    <col min="20" max="20" width="8.83203125" hidden="1" customWidth="1"/>
    <col min="21" max="21" width="5.83203125" customWidth="1"/>
    <col min="22" max="22" width="2.5" customWidth="1"/>
  </cols>
  <sheetData>
    <row r="1" spans="1:22" ht="18" x14ac:dyDescent="0.2">
      <c r="C1" s="276" t="s">
        <v>358</v>
      </c>
    </row>
    <row r="2" spans="1:22" ht="16" x14ac:dyDescent="0.2">
      <c r="A2" s="1">
        <v>9</v>
      </c>
      <c r="B2" s="155" t="s">
        <v>455</v>
      </c>
      <c r="C2" s="277"/>
    </row>
    <row r="3" spans="1:22" ht="16" x14ac:dyDescent="0.2">
      <c r="B3" s="274"/>
      <c r="C3" s="277"/>
    </row>
    <row r="4" spans="1:22" ht="16" x14ac:dyDescent="0.2">
      <c r="B4" s="274" t="s">
        <v>456</v>
      </c>
      <c r="C4" s="274"/>
    </row>
    <row r="5" spans="1:22" ht="16" x14ac:dyDescent="0.2">
      <c r="B5" s="274" t="s">
        <v>457</v>
      </c>
      <c r="C5" s="274"/>
    </row>
    <row r="6" spans="1:22" ht="16" x14ac:dyDescent="0.2">
      <c r="B6" s="274" t="s">
        <v>458</v>
      </c>
      <c r="C6" s="274"/>
    </row>
    <row r="7" spans="1:22" ht="16" x14ac:dyDescent="0.2">
      <c r="B7" s="274" t="s">
        <v>459</v>
      </c>
      <c r="C7" s="274"/>
    </row>
    <row r="8" spans="1:22" ht="16" x14ac:dyDescent="0.2">
      <c r="B8" s="274"/>
      <c r="C8" s="274"/>
    </row>
    <row r="9" spans="1:22" ht="27.5" customHeight="1" x14ac:dyDescent="0.15">
      <c r="B9" s="348" t="s">
        <v>460</v>
      </c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Q9" s="350"/>
      <c r="R9" s="351" t="s">
        <v>461</v>
      </c>
      <c r="S9" s="352"/>
      <c r="T9" s="353"/>
      <c r="U9" s="351" t="s">
        <v>462</v>
      </c>
      <c r="V9" s="354"/>
    </row>
    <row r="10" spans="1:22" ht="24.5" customHeight="1" x14ac:dyDescent="0.15">
      <c r="B10" s="355" t="s">
        <v>463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7"/>
      <c r="R10" s="358" t="s">
        <v>461</v>
      </c>
      <c r="S10" s="359"/>
      <c r="T10" s="360"/>
      <c r="U10" s="358" t="s">
        <v>462</v>
      </c>
      <c r="V10" s="361"/>
    </row>
    <row r="11" spans="1:22" ht="38.75" customHeight="1" x14ac:dyDescent="0.15">
      <c r="B11" s="341" t="s">
        <v>464</v>
      </c>
      <c r="C11" s="342"/>
      <c r="D11" s="342"/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O11" s="342"/>
      <c r="P11" s="342"/>
      <c r="Q11" s="343"/>
      <c r="R11" s="344"/>
      <c r="S11" s="345"/>
      <c r="T11" s="346"/>
      <c r="U11" s="344"/>
      <c r="V11" s="347"/>
    </row>
    <row r="12" spans="1:22" ht="16" x14ac:dyDescent="0.2">
      <c r="B12" s="307" t="s">
        <v>532</v>
      </c>
      <c r="C12" s="274"/>
    </row>
    <row r="13" spans="1:22" ht="16" x14ac:dyDescent="0.2">
      <c r="C13" s="274"/>
    </row>
    <row r="14" spans="1:22" ht="16" x14ac:dyDescent="0.2">
      <c r="C14" s="274"/>
    </row>
    <row r="15" spans="1:22" ht="16" x14ac:dyDescent="0.2">
      <c r="C15" s="274"/>
    </row>
    <row r="16" spans="1:22" ht="16" x14ac:dyDescent="0.2">
      <c r="C16" s="274"/>
    </row>
    <row r="17" spans="3:3" ht="16" x14ac:dyDescent="0.2">
      <c r="C17" s="274"/>
    </row>
    <row r="18" spans="3:3" ht="16" x14ac:dyDescent="0.2">
      <c r="C18" s="274"/>
    </row>
    <row r="19" spans="3:3" ht="16" x14ac:dyDescent="0.2">
      <c r="C19" s="274"/>
    </row>
    <row r="20" spans="3:3" ht="16" x14ac:dyDescent="0.2">
      <c r="C20" s="274"/>
    </row>
    <row r="21" spans="3:3" ht="16" x14ac:dyDescent="0.2">
      <c r="C21" s="274"/>
    </row>
    <row r="22" spans="3:3" ht="16" x14ac:dyDescent="0.2">
      <c r="C22" s="274"/>
    </row>
    <row r="23" spans="3:3" ht="16" x14ac:dyDescent="0.2">
      <c r="C23" s="274"/>
    </row>
    <row r="24" spans="3:3" ht="16" x14ac:dyDescent="0.2">
      <c r="C24" s="274"/>
    </row>
    <row r="25" spans="3:3" ht="16" x14ac:dyDescent="0.2">
      <c r="C25" s="274"/>
    </row>
    <row r="26" spans="3:3" ht="16" x14ac:dyDescent="0.2">
      <c r="C26" s="274"/>
    </row>
    <row r="27" spans="3:3" ht="16" x14ac:dyDescent="0.2">
      <c r="C27" s="274"/>
    </row>
    <row r="28" spans="3:3" ht="16" x14ac:dyDescent="0.2">
      <c r="C28" s="274"/>
    </row>
    <row r="29" spans="3:3" ht="16" x14ac:dyDescent="0.2">
      <c r="C29" s="274"/>
    </row>
    <row r="30" spans="3:3" ht="16" x14ac:dyDescent="0.2">
      <c r="C30" s="274"/>
    </row>
    <row r="31" spans="3:3" ht="16" x14ac:dyDescent="0.2">
      <c r="C31" s="274"/>
    </row>
    <row r="32" spans="3:3" ht="18" x14ac:dyDescent="0.2">
      <c r="C32" s="281"/>
    </row>
    <row r="33" spans="3:3" ht="16" x14ac:dyDescent="0.2">
      <c r="C33" s="274"/>
    </row>
    <row r="34" spans="3:3" ht="16" x14ac:dyDescent="0.2">
      <c r="C34" s="274"/>
    </row>
    <row r="35" spans="3:3" ht="16" x14ac:dyDescent="0.2">
      <c r="C35" s="274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  <row r="40" spans="3:3" ht="16" x14ac:dyDescent="0.2">
      <c r="C40" s="274"/>
    </row>
    <row r="41" spans="3:3" ht="16" x14ac:dyDescent="0.2">
      <c r="C41" s="274"/>
    </row>
    <row r="42" spans="3:3" ht="16" x14ac:dyDescent="0.2">
      <c r="C42" s="274"/>
    </row>
    <row r="43" spans="3:3" ht="16" x14ac:dyDescent="0.2">
      <c r="C43" s="274"/>
    </row>
    <row r="44" spans="3:3" ht="18" x14ac:dyDescent="0.2">
      <c r="C44" s="281"/>
    </row>
    <row r="45" spans="3:3" ht="16" x14ac:dyDescent="0.2">
      <c r="C45" s="274"/>
    </row>
    <row r="46" spans="3:3" ht="16" x14ac:dyDescent="0.2">
      <c r="C46" s="274"/>
    </row>
    <row r="47" spans="3:3" ht="16" x14ac:dyDescent="0.2">
      <c r="C47" s="274"/>
    </row>
    <row r="48" spans="3:3" ht="16" x14ac:dyDescent="0.2">
      <c r="C48" s="274"/>
    </row>
    <row r="49" spans="3:3" ht="16" x14ac:dyDescent="0.2">
      <c r="C49" s="274"/>
    </row>
    <row r="50" spans="3:3" ht="16" x14ac:dyDescent="0.2">
      <c r="C50" s="274"/>
    </row>
    <row r="51" spans="3:3" ht="16" x14ac:dyDescent="0.2">
      <c r="C51" s="274"/>
    </row>
  </sheetData>
  <mergeCells count="9">
    <mergeCell ref="B11:Q11"/>
    <mergeCell ref="R11:T11"/>
    <mergeCell ref="U11:V11"/>
    <mergeCell ref="B9:Q9"/>
    <mergeCell ref="R9:T9"/>
    <mergeCell ref="U9:V9"/>
    <mergeCell ref="B10:Q10"/>
    <mergeCell ref="R10:T10"/>
    <mergeCell ref="U10:V10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363C4-6AF1-433B-B357-5A020214D792}">
  <dimension ref="A1:C53"/>
  <sheetViews>
    <sheetView zoomScale="115" zoomScaleNormal="115" workbookViewId="0">
      <selection activeCell="B32" sqref="B32"/>
    </sheetView>
  </sheetViews>
  <sheetFormatPr baseColWidth="10" defaultColWidth="8.83203125" defaultRowHeight="13" x14ac:dyDescent="0.15"/>
  <cols>
    <col min="2" max="2" width="112.1640625" customWidth="1"/>
    <col min="3" max="3" width="96.1640625" bestFit="1" customWidth="1"/>
  </cols>
  <sheetData>
    <row r="1" spans="1:3" ht="18" x14ac:dyDescent="0.2">
      <c r="C1" s="285" t="s">
        <v>358</v>
      </c>
    </row>
    <row r="2" spans="1:3" ht="16" x14ac:dyDescent="0.2">
      <c r="A2" s="1">
        <v>10</v>
      </c>
      <c r="B2" s="155" t="s">
        <v>465</v>
      </c>
      <c r="C2" s="299"/>
    </row>
    <row r="3" spans="1:3" ht="16" x14ac:dyDescent="0.2">
      <c r="B3" s="274"/>
      <c r="C3" s="299"/>
    </row>
    <row r="4" spans="1:3" ht="16" x14ac:dyDescent="0.2">
      <c r="B4" s="274" t="s">
        <v>466</v>
      </c>
      <c r="C4" s="274"/>
    </row>
    <row r="5" spans="1:3" ht="16" x14ac:dyDescent="0.2">
      <c r="B5" s="274" t="s">
        <v>467</v>
      </c>
      <c r="C5" s="274"/>
    </row>
    <row r="6" spans="1:3" ht="16" x14ac:dyDescent="0.2">
      <c r="B6" s="274" t="s">
        <v>468</v>
      </c>
      <c r="C6" s="274"/>
    </row>
    <row r="7" spans="1:3" ht="16" x14ac:dyDescent="0.2">
      <c r="B7" s="274" t="s">
        <v>469</v>
      </c>
      <c r="C7" s="274"/>
    </row>
    <row r="8" spans="1:3" ht="16" x14ac:dyDescent="0.2">
      <c r="B8" s="274"/>
      <c r="C8" s="274"/>
    </row>
    <row r="9" spans="1:3" ht="16" x14ac:dyDescent="0.2">
      <c r="B9" s="274" t="s">
        <v>533</v>
      </c>
      <c r="C9" s="274"/>
    </row>
    <row r="10" spans="1:3" ht="16" x14ac:dyDescent="0.2">
      <c r="B10" s="274"/>
      <c r="C10" s="274"/>
    </row>
    <row r="11" spans="1:3" ht="18" x14ac:dyDescent="0.2">
      <c r="B11" t="s">
        <v>470</v>
      </c>
      <c r="C11" s="281"/>
    </row>
    <row r="12" spans="1:3" ht="16" x14ac:dyDescent="0.2">
      <c r="B12" t="s">
        <v>534</v>
      </c>
      <c r="C12" s="274"/>
    </row>
    <row r="13" spans="1:3" ht="16" x14ac:dyDescent="0.2">
      <c r="B13" t="s">
        <v>471</v>
      </c>
      <c r="C13" s="274"/>
    </row>
    <row r="14" spans="1:3" ht="16" x14ac:dyDescent="0.2">
      <c r="B14" t="s">
        <v>472</v>
      </c>
      <c r="C14" s="274"/>
    </row>
    <row r="15" spans="1:3" ht="18" x14ac:dyDescent="0.2">
      <c r="B15" s="308" t="s">
        <v>535</v>
      </c>
      <c r="C15" s="274"/>
    </row>
    <row r="16" spans="1:3" ht="18" x14ac:dyDescent="0.2">
      <c r="B16" s="308" t="s">
        <v>536</v>
      </c>
      <c r="C16" s="274"/>
    </row>
    <row r="17" spans="2:3" ht="18" x14ac:dyDescent="0.2">
      <c r="B17" s="308" t="s">
        <v>537</v>
      </c>
      <c r="C17" s="274"/>
    </row>
    <row r="18" spans="2:3" ht="18" x14ac:dyDescent="0.2">
      <c r="B18" s="308" t="s">
        <v>538</v>
      </c>
      <c r="C18" s="274"/>
    </row>
    <row r="19" spans="2:3" ht="16" x14ac:dyDescent="0.2">
      <c r="C19" s="274"/>
    </row>
    <row r="20" spans="2:3" ht="16" x14ac:dyDescent="0.2">
      <c r="C20" s="274"/>
    </row>
    <row r="21" spans="2:3" ht="16" x14ac:dyDescent="0.2">
      <c r="C21" s="274"/>
    </row>
    <row r="22" spans="2:3" ht="16" x14ac:dyDescent="0.2">
      <c r="C22" s="274"/>
    </row>
    <row r="23" spans="2:3" ht="16" x14ac:dyDescent="0.2">
      <c r="C23" s="274"/>
    </row>
    <row r="24" spans="2:3" ht="16" x14ac:dyDescent="0.2">
      <c r="C24" s="274"/>
    </row>
    <row r="25" spans="2:3" ht="16" x14ac:dyDescent="0.2">
      <c r="C25" s="274"/>
    </row>
    <row r="26" spans="2:3" ht="16" x14ac:dyDescent="0.2">
      <c r="C26" s="274"/>
    </row>
    <row r="27" spans="2:3" ht="16" x14ac:dyDescent="0.2">
      <c r="C27" s="274"/>
    </row>
    <row r="28" spans="2:3" ht="16" x14ac:dyDescent="0.2">
      <c r="C28" s="274"/>
    </row>
    <row r="29" spans="2:3" ht="16" x14ac:dyDescent="0.2">
      <c r="C29" s="274"/>
    </row>
    <row r="30" spans="2:3" ht="16" x14ac:dyDescent="0.2">
      <c r="C30" s="274"/>
    </row>
    <row r="31" spans="2:3" ht="16" x14ac:dyDescent="0.2">
      <c r="C31" s="274"/>
    </row>
    <row r="32" spans="2:3" ht="16" x14ac:dyDescent="0.2">
      <c r="C32" s="274"/>
    </row>
    <row r="33" spans="3:3" ht="16" x14ac:dyDescent="0.2">
      <c r="C33" s="274"/>
    </row>
    <row r="34" spans="3:3" ht="18" x14ac:dyDescent="0.2">
      <c r="C34" s="281"/>
    </row>
    <row r="35" spans="3:3" ht="16" x14ac:dyDescent="0.2">
      <c r="C35" s="274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  <row r="40" spans="3:3" ht="16" x14ac:dyDescent="0.2">
      <c r="C40" s="274"/>
    </row>
    <row r="41" spans="3:3" ht="16" x14ac:dyDescent="0.2">
      <c r="C41" s="274"/>
    </row>
    <row r="42" spans="3:3" ht="16" x14ac:dyDescent="0.2">
      <c r="C42" s="274"/>
    </row>
    <row r="43" spans="3:3" ht="16" x14ac:dyDescent="0.2">
      <c r="C43" s="274"/>
    </row>
    <row r="44" spans="3:3" ht="16" x14ac:dyDescent="0.2">
      <c r="C44" s="274"/>
    </row>
    <row r="45" spans="3:3" ht="16" x14ac:dyDescent="0.2">
      <c r="C45" s="274"/>
    </row>
    <row r="46" spans="3:3" ht="18" x14ac:dyDescent="0.2">
      <c r="C46" s="281"/>
    </row>
    <row r="47" spans="3:3" ht="16" x14ac:dyDescent="0.2">
      <c r="C47" s="274"/>
    </row>
    <row r="48" spans="3:3" ht="16" x14ac:dyDescent="0.2">
      <c r="C48" s="274"/>
    </row>
    <row r="49" spans="3:3" ht="16" x14ac:dyDescent="0.2">
      <c r="C49" s="274"/>
    </row>
    <row r="50" spans="3:3" ht="16" x14ac:dyDescent="0.2">
      <c r="C50" s="274"/>
    </row>
    <row r="51" spans="3:3" ht="16" x14ac:dyDescent="0.2">
      <c r="C51" s="274"/>
    </row>
    <row r="52" spans="3:3" ht="16" x14ac:dyDescent="0.2">
      <c r="C52" s="274"/>
    </row>
    <row r="53" spans="3:3" ht="16" x14ac:dyDescent="0.2">
      <c r="C53" s="27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826D2-B82B-44A4-A200-C44874FFDC16}">
  <dimension ref="A1:C54"/>
  <sheetViews>
    <sheetView workbookViewId="0">
      <selection activeCell="C54" sqref="C54"/>
    </sheetView>
  </sheetViews>
  <sheetFormatPr baseColWidth="10" defaultColWidth="8.83203125" defaultRowHeight="13" x14ac:dyDescent="0.15"/>
  <cols>
    <col min="2" max="2" width="112.1640625" customWidth="1"/>
    <col min="3" max="3" width="96.1640625" bestFit="1" customWidth="1"/>
  </cols>
  <sheetData>
    <row r="1" spans="1:3" ht="18" x14ac:dyDescent="0.2">
      <c r="C1" s="285" t="s">
        <v>358</v>
      </c>
    </row>
    <row r="2" spans="1:3" ht="16" x14ac:dyDescent="0.2">
      <c r="A2" s="1">
        <v>11</v>
      </c>
      <c r="B2" s="155" t="s">
        <v>473</v>
      </c>
      <c r="C2" s="299"/>
    </row>
    <row r="3" spans="1:3" ht="16" x14ac:dyDescent="0.2">
      <c r="B3" s="274"/>
      <c r="C3" s="299"/>
    </row>
    <row r="4" spans="1:3" ht="16" x14ac:dyDescent="0.2">
      <c r="B4" s="274" t="s">
        <v>474</v>
      </c>
      <c r="C4" s="274"/>
    </row>
    <row r="5" spans="1:3" ht="16" x14ac:dyDescent="0.2">
      <c r="B5" s="274" t="s">
        <v>475</v>
      </c>
      <c r="C5" s="274"/>
    </row>
    <row r="6" spans="1:3" ht="16" x14ac:dyDescent="0.2">
      <c r="B6" s="274"/>
      <c r="C6" s="274"/>
    </row>
    <row r="7" spans="1:3" ht="16" x14ac:dyDescent="0.2">
      <c r="B7" s="274" t="s">
        <v>480</v>
      </c>
      <c r="C7" s="274"/>
    </row>
    <row r="8" spans="1:3" ht="16" x14ac:dyDescent="0.2">
      <c r="B8" s="274" t="s">
        <v>539</v>
      </c>
      <c r="C8" s="274"/>
    </row>
    <row r="9" spans="1:3" ht="16" x14ac:dyDescent="0.2">
      <c r="B9" s="274" t="s">
        <v>481</v>
      </c>
      <c r="C9" s="274"/>
    </row>
    <row r="10" spans="1:3" ht="16" x14ac:dyDescent="0.2">
      <c r="B10" s="274" t="s">
        <v>482</v>
      </c>
      <c r="C10" s="274"/>
    </row>
    <row r="11" spans="1:3" ht="16" x14ac:dyDescent="0.2">
      <c r="B11" s="274" t="s">
        <v>483</v>
      </c>
      <c r="C11" s="274"/>
    </row>
    <row r="12" spans="1:3" ht="18" x14ac:dyDescent="0.2">
      <c r="B12" s="274" t="s">
        <v>476</v>
      </c>
      <c r="C12" s="281"/>
    </row>
    <row r="13" spans="1:3" ht="16" x14ac:dyDescent="0.2">
      <c r="B13" s="274" t="s">
        <v>477</v>
      </c>
      <c r="C13" s="274"/>
    </row>
    <row r="14" spans="1:3" ht="16" x14ac:dyDescent="0.2">
      <c r="B14" s="274" t="s">
        <v>478</v>
      </c>
      <c r="C14" s="274"/>
    </row>
    <row r="15" spans="1:3" ht="16" x14ac:dyDescent="0.2">
      <c r="B15" s="274" t="s">
        <v>479</v>
      </c>
      <c r="C15" s="274"/>
    </row>
    <row r="16" spans="1:3" ht="16" x14ac:dyDescent="0.2">
      <c r="C16" s="274"/>
    </row>
    <row r="17" spans="3:3" ht="16" x14ac:dyDescent="0.2">
      <c r="C17" s="274"/>
    </row>
    <row r="18" spans="3:3" ht="16" x14ac:dyDescent="0.2">
      <c r="C18" s="274"/>
    </row>
    <row r="19" spans="3:3" ht="16" x14ac:dyDescent="0.2">
      <c r="C19" s="274"/>
    </row>
    <row r="20" spans="3:3" ht="16" x14ac:dyDescent="0.2">
      <c r="C20" s="274"/>
    </row>
    <row r="21" spans="3:3" ht="16" x14ac:dyDescent="0.2">
      <c r="C21" s="274"/>
    </row>
    <row r="22" spans="3:3" ht="16" x14ac:dyDescent="0.2">
      <c r="C22" s="274"/>
    </row>
    <row r="23" spans="3:3" ht="16" x14ac:dyDescent="0.2">
      <c r="C23" s="274"/>
    </row>
    <row r="24" spans="3:3" ht="16" x14ac:dyDescent="0.2">
      <c r="C24" s="274"/>
    </row>
    <row r="25" spans="3:3" ht="16" x14ac:dyDescent="0.2">
      <c r="C25" s="274"/>
    </row>
    <row r="26" spans="3:3" ht="16" x14ac:dyDescent="0.2">
      <c r="C26" s="274"/>
    </row>
    <row r="27" spans="3:3" ht="16" x14ac:dyDescent="0.2">
      <c r="C27" s="274"/>
    </row>
    <row r="28" spans="3:3" ht="16" x14ac:dyDescent="0.2">
      <c r="C28" s="274"/>
    </row>
    <row r="29" spans="3:3" ht="16" x14ac:dyDescent="0.2">
      <c r="C29" s="274"/>
    </row>
    <row r="30" spans="3:3" ht="16" x14ac:dyDescent="0.2">
      <c r="C30" s="274"/>
    </row>
    <row r="31" spans="3:3" ht="16" x14ac:dyDescent="0.2">
      <c r="C31" s="274"/>
    </row>
    <row r="32" spans="3:3" ht="16" x14ac:dyDescent="0.2">
      <c r="C32" s="274"/>
    </row>
    <row r="33" spans="3:3" ht="16" x14ac:dyDescent="0.2">
      <c r="C33" s="274"/>
    </row>
    <row r="34" spans="3:3" ht="16" x14ac:dyDescent="0.2">
      <c r="C34" s="274"/>
    </row>
    <row r="35" spans="3:3" ht="18" x14ac:dyDescent="0.2">
      <c r="C35" s="281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  <row r="40" spans="3:3" ht="16" x14ac:dyDescent="0.2">
      <c r="C40" s="274"/>
    </row>
    <row r="41" spans="3:3" ht="16" x14ac:dyDescent="0.2">
      <c r="C41" s="274"/>
    </row>
    <row r="42" spans="3:3" ht="16" x14ac:dyDescent="0.2">
      <c r="C42" s="274"/>
    </row>
    <row r="43" spans="3:3" ht="16" x14ac:dyDescent="0.2">
      <c r="C43" s="274"/>
    </row>
    <row r="44" spans="3:3" ht="16" x14ac:dyDescent="0.2">
      <c r="C44" s="274"/>
    </row>
    <row r="45" spans="3:3" ht="16" x14ac:dyDescent="0.2">
      <c r="C45" s="274"/>
    </row>
    <row r="46" spans="3:3" ht="16" x14ac:dyDescent="0.2">
      <c r="C46" s="274"/>
    </row>
    <row r="47" spans="3:3" ht="18" x14ac:dyDescent="0.2">
      <c r="C47" s="281"/>
    </row>
    <row r="48" spans="3:3" ht="16" x14ac:dyDescent="0.2">
      <c r="C48" s="274"/>
    </row>
    <row r="49" spans="3:3" ht="16" x14ac:dyDescent="0.2">
      <c r="C49" s="274"/>
    </row>
    <row r="50" spans="3:3" ht="16" x14ac:dyDescent="0.2">
      <c r="C50" s="274"/>
    </row>
    <row r="51" spans="3:3" ht="16" x14ac:dyDescent="0.2">
      <c r="C51" s="274"/>
    </row>
    <row r="52" spans="3:3" ht="16" x14ac:dyDescent="0.2">
      <c r="C52" s="274"/>
    </row>
    <row r="53" spans="3:3" ht="16" x14ac:dyDescent="0.2">
      <c r="C53" s="274"/>
    </row>
    <row r="54" spans="3:3" ht="16" x14ac:dyDescent="0.2">
      <c r="C54" s="27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9EB7-5EB1-4FB1-9CCA-00148E909BBF}">
  <dimension ref="A1:C60"/>
  <sheetViews>
    <sheetView workbookViewId="0">
      <selection activeCell="B13" sqref="B13"/>
    </sheetView>
  </sheetViews>
  <sheetFormatPr baseColWidth="10" defaultColWidth="8.83203125" defaultRowHeight="13" x14ac:dyDescent="0.15"/>
  <cols>
    <col min="2" max="2" width="112.1640625" customWidth="1"/>
    <col min="3" max="3" width="96.1640625" bestFit="1" customWidth="1"/>
  </cols>
  <sheetData>
    <row r="1" spans="1:3" ht="18" x14ac:dyDescent="0.2">
      <c r="C1" s="276" t="s">
        <v>358</v>
      </c>
    </row>
    <row r="2" spans="1:3" ht="16" x14ac:dyDescent="0.2">
      <c r="A2" s="1">
        <v>12</v>
      </c>
      <c r="B2" s="155" t="s">
        <v>484</v>
      </c>
      <c r="C2" s="277"/>
    </row>
    <row r="3" spans="1:3" ht="16" x14ac:dyDescent="0.2">
      <c r="B3" s="274"/>
      <c r="C3" s="277"/>
    </row>
    <row r="4" spans="1:3" ht="16" x14ac:dyDescent="0.2">
      <c r="B4" s="274" t="s">
        <v>485</v>
      </c>
      <c r="C4" s="274"/>
    </row>
    <row r="5" spans="1:3" ht="16" x14ac:dyDescent="0.2">
      <c r="B5" s="274" t="s">
        <v>486</v>
      </c>
      <c r="C5" s="274"/>
    </row>
    <row r="6" spans="1:3" ht="16" x14ac:dyDescent="0.2">
      <c r="B6" s="274"/>
      <c r="C6" s="274"/>
    </row>
    <row r="7" spans="1:3" ht="16" x14ac:dyDescent="0.2">
      <c r="B7" s="282" t="s">
        <v>487</v>
      </c>
      <c r="C7" s="274"/>
    </row>
    <row r="8" spans="1:3" ht="16" x14ac:dyDescent="0.2">
      <c r="B8" s="282" t="s">
        <v>488</v>
      </c>
      <c r="C8" s="274"/>
    </row>
    <row r="9" spans="1:3" ht="16" x14ac:dyDescent="0.2">
      <c r="B9" s="282" t="s">
        <v>489</v>
      </c>
      <c r="C9" s="274"/>
    </row>
    <row r="10" spans="1:3" ht="16" x14ac:dyDescent="0.2">
      <c r="B10" s="282" t="s">
        <v>490</v>
      </c>
      <c r="C10" s="274"/>
    </row>
    <row r="11" spans="1:3" ht="16" x14ac:dyDescent="0.2">
      <c r="B11" s="274"/>
      <c r="C11" s="274"/>
    </row>
    <row r="12" spans="1:3" ht="16" x14ac:dyDescent="0.2">
      <c r="B12" s="274" t="s">
        <v>491</v>
      </c>
      <c r="C12" s="274"/>
    </row>
    <row r="13" spans="1:3" ht="18" x14ac:dyDescent="0.2">
      <c r="B13" s="274" t="s">
        <v>492</v>
      </c>
      <c r="C13" s="281"/>
    </row>
    <row r="14" spans="1:3" ht="16" x14ac:dyDescent="0.2">
      <c r="C14" s="274"/>
    </row>
    <row r="15" spans="1:3" ht="16" x14ac:dyDescent="0.2">
      <c r="C15" s="274"/>
    </row>
    <row r="16" spans="1:3" ht="16" x14ac:dyDescent="0.2">
      <c r="C16" s="274"/>
    </row>
    <row r="17" spans="2:3" ht="18" x14ac:dyDescent="0.2">
      <c r="B17" s="153" t="s">
        <v>493</v>
      </c>
      <c r="C17" s="274"/>
    </row>
    <row r="18" spans="2:3" ht="16" x14ac:dyDescent="0.2">
      <c r="C18" s="274"/>
    </row>
    <row r="19" spans="2:3" ht="16" x14ac:dyDescent="0.2">
      <c r="B19" s="155" t="s">
        <v>494</v>
      </c>
      <c r="C19" s="274"/>
    </row>
    <row r="20" spans="2:3" ht="16" x14ac:dyDescent="0.2">
      <c r="C20" s="274"/>
    </row>
    <row r="21" spans="2:3" ht="16" x14ac:dyDescent="0.2">
      <c r="B21" s="274" t="s">
        <v>495</v>
      </c>
      <c r="C21" s="274"/>
    </row>
    <row r="22" spans="2:3" ht="16" x14ac:dyDescent="0.2">
      <c r="B22" s="274" t="s">
        <v>496</v>
      </c>
      <c r="C22" s="274"/>
    </row>
    <row r="23" spans="2:3" ht="16" x14ac:dyDescent="0.2">
      <c r="B23" s="274" t="s">
        <v>497</v>
      </c>
      <c r="C23" s="274"/>
    </row>
    <row r="24" spans="2:3" ht="16" x14ac:dyDescent="0.2">
      <c r="B24" s="274"/>
      <c r="C24" s="274"/>
    </row>
    <row r="25" spans="2:3" ht="16" x14ac:dyDescent="0.2">
      <c r="B25" s="274" t="s">
        <v>498</v>
      </c>
      <c r="C25" s="274"/>
    </row>
    <row r="26" spans="2:3" ht="16" x14ac:dyDescent="0.2">
      <c r="B26" s="274"/>
      <c r="C26" s="274"/>
    </row>
    <row r="27" spans="2:3" ht="16" x14ac:dyDescent="0.2">
      <c r="B27" s="274" t="s">
        <v>499</v>
      </c>
      <c r="C27" s="274"/>
    </row>
    <row r="28" spans="2:3" ht="16" x14ac:dyDescent="0.2">
      <c r="B28" s="274" t="s">
        <v>500</v>
      </c>
      <c r="C28" s="274"/>
    </row>
    <row r="29" spans="2:3" ht="16" x14ac:dyDescent="0.2">
      <c r="B29" s="274"/>
      <c r="C29" s="274"/>
    </row>
    <row r="30" spans="2:3" ht="16" x14ac:dyDescent="0.2">
      <c r="B30" s="274" t="s">
        <v>317</v>
      </c>
      <c r="C30" s="274"/>
    </row>
    <row r="31" spans="2:3" ht="16" x14ac:dyDescent="0.2">
      <c r="B31" s="274" t="s">
        <v>501</v>
      </c>
      <c r="C31" s="274"/>
    </row>
    <row r="32" spans="2:3" ht="16" x14ac:dyDescent="0.2">
      <c r="B32" s="274" t="s">
        <v>502</v>
      </c>
      <c r="C32" s="274"/>
    </row>
    <row r="33" spans="3:3" ht="16" x14ac:dyDescent="0.2">
      <c r="C33" s="274"/>
    </row>
    <row r="34" spans="3:3" ht="16" x14ac:dyDescent="0.2">
      <c r="C34" s="274"/>
    </row>
    <row r="35" spans="3:3" ht="16" x14ac:dyDescent="0.2">
      <c r="C35" s="274"/>
    </row>
    <row r="36" spans="3:3" ht="16" x14ac:dyDescent="0.2">
      <c r="C36" s="274"/>
    </row>
    <row r="37" spans="3:3" ht="16" x14ac:dyDescent="0.2">
      <c r="C37" s="274"/>
    </row>
    <row r="38" spans="3:3" ht="16" x14ac:dyDescent="0.2">
      <c r="C38" s="274"/>
    </row>
    <row r="39" spans="3:3" ht="16" x14ac:dyDescent="0.2">
      <c r="C39" s="274"/>
    </row>
    <row r="40" spans="3:3" ht="16" x14ac:dyDescent="0.2">
      <c r="C40" s="274"/>
    </row>
    <row r="41" spans="3:3" ht="18" x14ac:dyDescent="0.2">
      <c r="C41" s="281"/>
    </row>
    <row r="42" spans="3:3" ht="16" x14ac:dyDescent="0.2">
      <c r="C42" s="274"/>
    </row>
    <row r="43" spans="3:3" ht="16" x14ac:dyDescent="0.2">
      <c r="C43" s="274"/>
    </row>
    <row r="44" spans="3:3" ht="16" x14ac:dyDescent="0.2">
      <c r="C44" s="274"/>
    </row>
    <row r="45" spans="3:3" ht="16" x14ac:dyDescent="0.2">
      <c r="C45" s="274"/>
    </row>
    <row r="46" spans="3:3" ht="16" x14ac:dyDescent="0.2">
      <c r="C46" s="274"/>
    </row>
    <row r="47" spans="3:3" ht="16" x14ac:dyDescent="0.2">
      <c r="C47" s="274"/>
    </row>
    <row r="48" spans="3:3" ht="16" x14ac:dyDescent="0.2">
      <c r="C48" s="274"/>
    </row>
    <row r="49" spans="3:3" ht="16" x14ac:dyDescent="0.2">
      <c r="C49" s="274"/>
    </row>
    <row r="50" spans="3:3" ht="16" x14ac:dyDescent="0.2">
      <c r="C50" s="274"/>
    </row>
    <row r="51" spans="3:3" ht="16" x14ac:dyDescent="0.2">
      <c r="C51" s="274"/>
    </row>
    <row r="52" spans="3:3" ht="16" x14ac:dyDescent="0.2">
      <c r="C52" s="274"/>
    </row>
    <row r="53" spans="3:3" ht="18" x14ac:dyDescent="0.2">
      <c r="C53" s="281"/>
    </row>
    <row r="54" spans="3:3" ht="16" x14ac:dyDescent="0.2">
      <c r="C54" s="274"/>
    </row>
    <row r="55" spans="3:3" ht="16" x14ac:dyDescent="0.2">
      <c r="C55" s="274"/>
    </row>
    <row r="56" spans="3:3" ht="16" x14ac:dyDescent="0.2">
      <c r="C56" s="274"/>
    </row>
    <row r="57" spans="3:3" ht="16" x14ac:dyDescent="0.2">
      <c r="C57" s="274"/>
    </row>
    <row r="58" spans="3:3" ht="16" x14ac:dyDescent="0.2">
      <c r="C58" s="274"/>
    </row>
    <row r="59" spans="3:3" ht="16" x14ac:dyDescent="0.2">
      <c r="C59" s="274"/>
    </row>
    <row r="60" spans="3:3" ht="16" x14ac:dyDescent="0.2">
      <c r="C60" s="27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Topic xmlns="f0e86793-22c9-4829-81df-2d4a55612b78">Financial Model</Topic>
    <Library xmlns="f0e86793-22c9-4829-81df-2d4a55612b78">Origination</Library>
    <SharedWithUsers xmlns="862ad8af-098c-4076-aeec-6cc85525adb3">
      <UserInfo>
        <DisplayName>Nicholas-Harper, Megan</DisplayName>
        <AccountId>1513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7D4761AAA6C8468FB6A554870783A5" ma:contentTypeVersion="9" ma:contentTypeDescription="Create a new document." ma:contentTypeScope="" ma:versionID="c076611255e6363614ea982718c02fb5">
  <xsd:schema xmlns:xsd="http://www.w3.org/2001/XMLSchema" xmlns:xs="http://www.w3.org/2001/XMLSchema" xmlns:p="http://schemas.microsoft.com/office/2006/metadata/properties" xmlns:ns2="f0e86793-22c9-4829-81df-2d4a55612b78" xmlns:ns3="862ad8af-098c-4076-aeec-6cc85525adb3" xmlns:ns4="012a464e-2c3c-4402-9f42-87843251486c" targetNamespace="http://schemas.microsoft.com/office/2006/metadata/properties" ma:root="true" ma:fieldsID="4394dcf37b30c93a6d5a340158af86a9" ns2:_="" ns3:_="" ns4:_="">
    <xsd:import namespace="f0e86793-22c9-4829-81df-2d4a55612b78"/>
    <xsd:import namespace="862ad8af-098c-4076-aeec-6cc85525adb3"/>
    <xsd:import namespace="012a464e-2c3c-4402-9f42-87843251486c"/>
    <xsd:element name="properties">
      <xsd:complexType>
        <xsd:sequence>
          <xsd:element name="documentManagement">
            <xsd:complexType>
              <xsd:all>
                <xsd:element ref="ns2:Library"/>
                <xsd:element ref="ns2:Topic"/>
                <xsd:element ref="ns3:SharedWithUsers" minOccurs="0"/>
                <xsd:element ref="ns2:MediaServiceMetadata" minOccurs="0"/>
                <xsd:element ref="ns2:MediaServiceFastMetadata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e86793-22c9-4829-81df-2d4a55612b78" elementFormDefault="qualified">
    <xsd:import namespace="http://schemas.microsoft.com/office/2006/documentManagement/types"/>
    <xsd:import namespace="http://schemas.microsoft.com/office/infopath/2007/PartnerControls"/>
    <xsd:element name="Library" ma:index="8" ma:displayName="User Group" ma:format="Dropdown" ma:internalName="Library">
      <xsd:simpleType>
        <xsd:restriction base="dms:Choice">
          <xsd:enumeration value="Origination"/>
          <xsd:enumeration value="Origination &amp; Monitoring"/>
          <xsd:enumeration value="Monitoring"/>
          <xsd:enumeration value="Legal"/>
          <xsd:enumeration value="All"/>
        </xsd:restriction>
      </xsd:simpleType>
    </xsd:element>
    <xsd:element name="Topic" ma:index="9" ma:displayName="Topic" ma:format="Dropdown" ma:internalName="Topic">
      <xsd:simpleType>
        <xsd:restriction base="dms:Choice">
          <xsd:enumeration value="LOI-Screening-Retainer"/>
          <xsd:enumeration value="Non-Far Consultants"/>
          <xsd:enumeration value="Credit-IC-Board Approval"/>
          <xsd:enumeration value="Subsidy"/>
          <xsd:enumeration value="Financial Spreads"/>
          <xsd:enumeration value="Financial Model"/>
          <xsd:enumeration value="Bank-Trade Reference"/>
          <xsd:enumeration value="Commitment-Loan Agreement"/>
          <xsd:enumeration value="Commitment Extension"/>
          <xsd:enumeration value="Disbursement"/>
          <xsd:enumeration value="Filing"/>
          <xsd:enumeration value="Transfer to Monitoring"/>
          <xsd:enumeration value="Wire Instructions"/>
          <xsd:enumeration value="Office of Accountability"/>
          <xsd:enumeration value="Maintenance Fee"/>
          <xsd:enumeration value="US Nexus"/>
          <xsd:enumeration value="CRDD"/>
          <xsd:enumeration value="Congressional Notification"/>
          <xsd:enumeration value="DUNS Number"/>
          <xsd:enumeration value="Letterhead"/>
          <xsd:enumeration value="Portfolio Facility"/>
          <xsd:enumeration value="Confidentiality Letter"/>
          <xsd:enumeration value="Guaranty"/>
          <xsd:enumeration value="Project Completion"/>
          <xsd:enumeration value="Term Sheet"/>
          <xsd:enumeration value="Annual Loan Review"/>
          <xsd:enumeration value="Charge-Off"/>
          <xsd:enumeration value="Close-Out"/>
          <xsd:enumeration value="Rating Change"/>
          <xsd:enumeration value="Workout Action Plan"/>
          <xsd:enumeration value="Embassy Cable"/>
          <xsd:enumeration value="WBC"/>
          <xsd:enumeration value="Amethis"/>
          <xsd:enumeration value="SFC Finance"/>
          <xsd:enumeration value="Citibank"/>
          <xsd:enumeration value="Portfolio Facility Generic"/>
          <xsd:enumeration value="MENA Facilities"/>
          <xsd:enumeration value="Schulze Mongolia"/>
          <xsd:enumeration value="Change in Ownership-Control"/>
          <xsd:enumeration value="Travel Compensation Time"/>
          <xsd:enumeration value="Syndications"/>
        </xsd:restriction>
      </xsd:simpleType>
    </xsd:element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2ad8af-098c-4076-aeec-6cc85525adb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a464e-2c3c-4402-9f42-87843251486c" elementFormDefault="qualified">
    <xsd:import namespace="http://schemas.microsoft.com/office/2006/documentManagement/types"/>
    <xsd:import namespace="http://schemas.microsoft.com/office/infopath/2007/PartnerControls"/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08A323-7A71-496A-BEF4-031FB79458E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78665CE2-C0A4-4484-B19C-E5C03EBE56FB}">
  <ds:schemaRefs>
    <ds:schemaRef ds:uri="http://schemas.microsoft.com/office/2006/metadata/properties"/>
    <ds:schemaRef ds:uri="http://www.w3.org/2000/xmlns/"/>
    <ds:schemaRef ds:uri="f0e86793-22c9-4829-81df-2d4a55612b78"/>
    <ds:schemaRef ds:uri="862ad8af-098c-4076-aeec-6cc85525adb3"/>
  </ds:schemaRefs>
</ds:datastoreItem>
</file>

<file path=customXml/itemProps3.xml><?xml version="1.0" encoding="utf-8"?>
<ds:datastoreItem xmlns:ds="http://schemas.openxmlformats.org/officeDocument/2006/customXml" ds:itemID="{B5EF276C-7E70-46D3-887C-C19842A0501D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f0e86793-22c9-4829-81df-2d4a55612b78"/>
    <ds:schemaRef ds:uri="862ad8af-098c-4076-aeec-6cc85525adb3"/>
    <ds:schemaRef ds:uri="012a464e-2c3c-4402-9f42-87843251486c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6751268-4D1E-4FF2-B844-4542F39CCE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Start</vt:lpstr>
      <vt:lpstr>HistoricalData</vt:lpstr>
      <vt:lpstr>Assumptions</vt:lpstr>
      <vt:lpstr>Mortgage-StyleDetail</vt:lpstr>
      <vt:lpstr>Income</vt:lpstr>
      <vt:lpstr>CashFlow</vt:lpstr>
      <vt:lpstr>Balance</vt:lpstr>
      <vt:lpstr>SourcesUses</vt:lpstr>
      <vt:lpstr>Ratios</vt:lpstr>
      <vt:lpstr>Application Q2</vt:lpstr>
      <vt:lpstr>Application Q3</vt:lpstr>
      <vt:lpstr>Application Q4</vt:lpstr>
      <vt:lpstr>Application Q5</vt:lpstr>
      <vt:lpstr>Application Q6</vt:lpstr>
      <vt:lpstr>Application Q7</vt:lpstr>
      <vt:lpstr>Application Q8</vt:lpstr>
      <vt:lpstr>Application Q9</vt:lpstr>
      <vt:lpstr>Application Q10</vt:lpstr>
      <vt:lpstr>Application Q11</vt:lpstr>
      <vt:lpstr>Application Q12</vt:lpstr>
      <vt:lpstr>Assumptions!Print_Area</vt:lpstr>
      <vt:lpstr>Balance!Print_Area</vt:lpstr>
      <vt:lpstr>CashFlow!Print_Area</vt:lpstr>
      <vt:lpstr>HistoricalData!Print_Area</vt:lpstr>
      <vt:lpstr>Income!Print_Area</vt:lpstr>
      <vt:lpstr>Ratios!Print_Area</vt:lpstr>
      <vt:lpstr>SourcesUses!Print_Area</vt:lpstr>
      <vt:lpstr>Assumptions!Print_Titles</vt:lpstr>
      <vt:lpstr>CashFlow!Print_Titles</vt:lpstr>
      <vt:lpstr>HistoricalData!Print_Titles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Analysis Model</dc:title>
  <dc:creator>(undefined Excel user)</dc:creator>
  <cp:lastModifiedBy>William kwende</cp:lastModifiedBy>
  <cp:lastPrinted>2021-11-07T18:16:38Z</cp:lastPrinted>
  <dcterms:created xsi:type="dcterms:W3CDTF">2000-12-08T14:09:03Z</dcterms:created>
  <dcterms:modified xsi:type="dcterms:W3CDTF">2022-03-14T08:55:06Z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d_Signature">
    <vt:lpwstr/>
  </property>
  <property fmtid="{D5CDD505-2E9C-101B-9397-08002B2CF9AE}" pid="3" name="TemplateUrl">
    <vt:lpwstr/>
  </property>
  <property fmtid="{D5CDD505-2E9C-101B-9397-08002B2CF9AE}" pid="4" name="xd_ProgID">
    <vt:lpwstr/>
  </property>
  <property fmtid="{D5CDD505-2E9C-101B-9397-08002B2CF9AE}" pid="5" name="ContentTypeId">
    <vt:lpwstr>0x010100C47D4761AAA6C8468FB6A554870783A5</vt:lpwstr>
  </property>
  <property fmtid="{D5CDD505-2E9C-101B-9397-08002B2CF9AE}" pid="6" name="Order">
    <vt:r8>15400</vt:r8>
  </property>
</Properties>
</file>